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ngermund Transport\Income&amp;Expense Per truck\Trip Reports July 2024\"/>
    </mc:Choice>
  </mc:AlternateContent>
  <xr:revisionPtr revIDLastSave="0" documentId="8_{E5C7C7B5-DF07-476A-91F4-3AE0E2EF706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No 9" sheetId="17" state="hidden" r:id="rId1"/>
    <sheet name="No 3 Victor" sheetId="8" r:id="rId2"/>
    <sheet name="Inc&amp;Exp July 2022" sheetId="18" state="hidden" r:id="rId3"/>
    <sheet name="Inc&amp;Exp Aug 2022 plz do" sheetId="19" state="hidden" r:id="rId4"/>
    <sheet name="Inc&amp;Exp Sep 2022" sheetId="23" state="hidden" r:id="rId5"/>
    <sheet name="Inc&amp;Exp Nov 2022" sheetId="24" state="hidden" r:id="rId6"/>
    <sheet name="Inc&amp;Exp Dec 2022" sheetId="25" state="hidden" r:id="rId7"/>
  </sheets>
  <definedNames>
    <definedName name="_xlnm.Print_Area" localSheetId="1">'No 3 Victor'!$A$1:$M$3956</definedName>
    <definedName name="_xlnm.Print_Area" localSheetId="0">'No 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66" i="8" l="1"/>
  <c r="A5103" i="8"/>
  <c r="C5071" i="8"/>
  <c r="H5099" i="8"/>
  <c r="L5093" i="8"/>
  <c r="E5092" i="8"/>
  <c r="D5100" i="8" s="1"/>
  <c r="D5092" i="8"/>
  <c r="F5084" i="8"/>
  <c r="F5092" i="8" s="1"/>
  <c r="G5074" i="8"/>
  <c r="B5099" i="8"/>
  <c r="E5045" i="8"/>
  <c r="D5053" i="8" s="1"/>
  <c r="F5045" i="8"/>
  <c r="F5041" i="8"/>
  <c r="F5038" i="8"/>
  <c r="F5039" i="8"/>
  <c r="F5040" i="8"/>
  <c r="K5054" i="8"/>
  <c r="H5052" i="8"/>
  <c r="L5046" i="8"/>
  <c r="D5045" i="8"/>
  <c r="F5037" i="8"/>
  <c r="G5027" i="8"/>
  <c r="C5024" i="8"/>
  <c r="B5052" i="8" s="1"/>
  <c r="A5060" i="8" s="1"/>
  <c r="C5060" i="8" s="1"/>
  <c r="A5010" i="8"/>
  <c r="M4813" i="8"/>
  <c r="M4812" i="8"/>
  <c r="O4950" i="8"/>
  <c r="N4950" i="8"/>
  <c r="F4951" i="8"/>
  <c r="F4953" i="8"/>
  <c r="N5035" i="8"/>
  <c r="M5036" i="8"/>
  <c r="N5036" i="8" s="1"/>
  <c r="M5035" i="8"/>
  <c r="M5031" i="8"/>
  <c r="M5033" i="8" s="1"/>
  <c r="M5030" i="8"/>
  <c r="N5029" i="8"/>
  <c r="N5028" i="8"/>
  <c r="N5027" i="8"/>
  <c r="N5026" i="8"/>
  <c r="Q5057" i="8"/>
  <c r="N5053" i="8"/>
  <c r="O5053" i="8"/>
  <c r="Q5056" i="8"/>
  <c r="Q5055" i="8"/>
  <c r="Q5054" i="8"/>
  <c r="Q5053" i="8"/>
  <c r="P5051" i="8"/>
  <c r="P5052" i="8"/>
  <c r="P5050" i="8"/>
  <c r="N5050" i="8"/>
  <c r="F4950" i="8"/>
  <c r="D4815" i="8"/>
  <c r="M4811" i="8"/>
  <c r="M4808" i="8"/>
  <c r="M4809" i="8"/>
  <c r="M4810" i="8"/>
  <c r="M4807" i="8"/>
  <c r="I5103" i="8" l="1"/>
  <c r="I5104" i="8" s="1"/>
  <c r="I5105" i="8" s="1"/>
  <c r="B5100" i="8"/>
  <c r="H5100" i="8"/>
  <c r="F5100" i="8" s="1"/>
  <c r="B5101" i="8"/>
  <c r="A5056" i="8"/>
  <c r="N5037" i="8"/>
  <c r="I5056" i="8"/>
  <c r="I5057" i="8" s="1"/>
  <c r="I5058" i="8" s="1"/>
  <c r="B5054" i="8"/>
  <c r="B5053" i="8"/>
  <c r="H5053" i="8"/>
  <c r="F5053" i="8" s="1"/>
  <c r="I5101" i="8" l="1"/>
  <c r="J5105" i="8" s="1"/>
  <c r="I5054" i="8"/>
  <c r="J5058" i="8" s="1"/>
  <c r="J4950" i="8" l="1"/>
  <c r="J4949" i="8"/>
  <c r="J4948" i="8"/>
  <c r="J4947" i="8"/>
  <c r="J4946" i="8"/>
  <c r="J4945" i="8"/>
  <c r="F4946" i="8"/>
  <c r="F4947" i="8"/>
  <c r="F4948" i="8"/>
  <c r="F4949" i="8"/>
  <c r="D4963" i="8"/>
  <c r="H4957" i="8"/>
  <c r="K5008" i="8" l="1"/>
  <c r="H5006" i="8"/>
  <c r="L5000" i="8"/>
  <c r="F4999" i="8"/>
  <c r="E4999" i="8"/>
  <c r="D5007" i="8" s="1"/>
  <c r="D4999" i="8"/>
  <c r="F4991" i="8"/>
  <c r="G4981" i="8"/>
  <c r="C4978" i="8"/>
  <c r="B5006" i="8" s="1"/>
  <c r="K4962" i="8"/>
  <c r="H4960" i="8"/>
  <c r="L4954" i="8"/>
  <c r="N4954" i="8" s="1"/>
  <c r="E4953" i="8"/>
  <c r="D4961" i="8" s="1"/>
  <c r="D4953" i="8"/>
  <c r="F4945" i="8"/>
  <c r="G4935" i="8"/>
  <c r="C4932" i="8"/>
  <c r="B4960" i="8" s="1"/>
  <c r="K4916" i="8"/>
  <c r="H4914" i="8"/>
  <c r="E4907" i="8"/>
  <c r="D4915" i="8" s="1"/>
  <c r="F4901" i="8"/>
  <c r="L4908" i="8"/>
  <c r="F4900" i="8"/>
  <c r="D4907" i="8"/>
  <c r="G4889" i="8"/>
  <c r="C4886" i="8"/>
  <c r="B4914" i="8" s="1"/>
  <c r="J4859" i="8"/>
  <c r="J4854" i="8"/>
  <c r="J4856" i="8"/>
  <c r="J4857" i="8"/>
  <c r="J4853" i="8"/>
  <c r="D4853" i="8"/>
  <c r="D4861" i="8" s="1"/>
  <c r="K4870" i="8"/>
  <c r="H4868" i="8"/>
  <c r="E4861" i="8"/>
  <c r="D4869" i="8" s="1"/>
  <c r="F4855" i="8"/>
  <c r="F4854" i="8"/>
  <c r="G4843" i="8"/>
  <c r="C4840" i="8"/>
  <c r="B4868" i="8" s="1"/>
  <c r="B4829" i="8"/>
  <c r="F4853" i="8" l="1"/>
  <c r="H5007" i="8"/>
  <c r="I5010" i="8"/>
  <c r="I5011" i="8" s="1"/>
  <c r="I5012" i="8" s="1"/>
  <c r="B5007" i="8"/>
  <c r="B5008" i="8"/>
  <c r="A4964" i="8"/>
  <c r="B4962" i="8"/>
  <c r="I4964" i="8"/>
  <c r="I4965" i="8" s="1"/>
  <c r="B4961" i="8"/>
  <c r="H4961" i="8"/>
  <c r="B4916" i="8"/>
  <c r="A4918" i="8"/>
  <c r="H4915" i="8" s="1"/>
  <c r="I4918" i="8"/>
  <c r="I4919" i="8" s="1"/>
  <c r="B4915" i="8"/>
  <c r="F4899" i="8"/>
  <c r="F4907" i="8" s="1"/>
  <c r="L4862" i="8"/>
  <c r="F4861" i="8"/>
  <c r="I4872" i="8"/>
  <c r="I4873" i="8" s="1"/>
  <c r="B4869" i="8"/>
  <c r="B4870" i="8"/>
  <c r="A4872" i="8"/>
  <c r="I5008" i="8" l="1"/>
  <c r="J5012" i="8" s="1"/>
  <c r="F5007" i="8"/>
  <c r="I4966" i="8"/>
  <c r="F4961" i="8"/>
  <c r="I4962" i="8"/>
  <c r="F4915" i="8"/>
  <c r="I4916" i="8"/>
  <c r="I4920" i="8"/>
  <c r="H4869" i="8"/>
  <c r="F4869" i="8" s="1"/>
  <c r="I4874" i="8"/>
  <c r="J4966" i="8" l="1"/>
  <c r="J4920" i="8"/>
  <c r="I4870" i="8"/>
  <c r="J4874" i="8" s="1"/>
  <c r="J4814" i="8"/>
  <c r="J4807" i="8"/>
  <c r="J4812" i="8"/>
  <c r="J4810" i="8"/>
  <c r="J4808" i="8"/>
  <c r="K4824" i="8"/>
  <c r="H4822" i="8"/>
  <c r="E4815" i="8"/>
  <c r="F4811" i="8"/>
  <c r="F4810" i="8"/>
  <c r="F4809" i="8"/>
  <c r="F4808" i="8"/>
  <c r="F4807" i="8"/>
  <c r="G4797" i="8"/>
  <c r="C4794" i="8"/>
  <c r="B4822" i="8" s="1"/>
  <c r="F4765" i="8"/>
  <c r="F4764" i="8"/>
  <c r="J4762" i="8"/>
  <c r="K4778" i="8"/>
  <c r="H4776" i="8"/>
  <c r="E4769" i="8"/>
  <c r="D4777" i="8" s="1"/>
  <c r="L4770" i="8"/>
  <c r="F4763" i="8"/>
  <c r="F4762" i="8"/>
  <c r="D4769" i="8"/>
  <c r="G4751" i="8"/>
  <c r="C4748" i="8"/>
  <c r="B4776" i="8" s="1"/>
  <c r="E4723" i="8"/>
  <c r="F4717" i="8"/>
  <c r="H4727" i="8"/>
  <c r="D4823" i="8" l="1"/>
  <c r="L4816" i="8"/>
  <c r="F4815" i="8"/>
  <c r="A4826" i="8"/>
  <c r="H4823" i="8" s="1"/>
  <c r="B4824" i="8"/>
  <c r="I4826" i="8"/>
  <c r="I4827" i="8" s="1"/>
  <c r="B4823" i="8"/>
  <c r="B4778" i="8"/>
  <c r="A4780" i="8"/>
  <c r="H4777" i="8" s="1"/>
  <c r="B4777" i="8"/>
  <c r="I4780" i="8"/>
  <c r="I4781" i="8" s="1"/>
  <c r="F4761" i="8"/>
  <c r="F4769" i="8" s="1"/>
  <c r="J4721" i="8"/>
  <c r="D4715" i="8"/>
  <c r="D4723" i="8" s="1"/>
  <c r="K4732" i="8"/>
  <c r="H4730" i="8"/>
  <c r="L4724" i="8"/>
  <c r="D4731" i="8"/>
  <c r="F4716" i="8"/>
  <c r="F4715" i="8"/>
  <c r="F4723" i="8" s="1"/>
  <c r="G4705" i="8"/>
  <c r="C4702" i="8"/>
  <c r="B4730" i="8" s="1"/>
  <c r="F4672" i="8"/>
  <c r="K4686" i="8"/>
  <c r="H4684" i="8"/>
  <c r="L4678" i="8"/>
  <c r="E4677" i="8"/>
  <c r="D4685" i="8" s="1"/>
  <c r="D4677" i="8"/>
  <c r="F4671" i="8"/>
  <c r="F4670" i="8"/>
  <c r="F4669" i="8"/>
  <c r="F4677" i="8" s="1"/>
  <c r="G4659" i="8"/>
  <c r="C4656" i="8"/>
  <c r="B4684" i="8" s="1"/>
  <c r="H4589" i="8"/>
  <c r="H4592" i="8" s="1"/>
  <c r="K4640" i="8"/>
  <c r="H4638" i="8"/>
  <c r="L4632" i="8"/>
  <c r="E4631" i="8"/>
  <c r="D4639" i="8" s="1"/>
  <c r="D4631" i="8"/>
  <c r="F4625" i="8"/>
  <c r="F4624" i="8"/>
  <c r="F4623" i="8"/>
  <c r="G4613" i="8"/>
  <c r="C4610" i="8"/>
  <c r="B4638" i="8" s="1"/>
  <c r="K4594" i="8"/>
  <c r="L4586" i="8"/>
  <c r="E4585" i="8"/>
  <c r="D4593" i="8" s="1"/>
  <c r="D4585" i="8"/>
  <c r="F4579" i="8"/>
  <c r="F4578" i="8"/>
  <c r="F4577" i="8"/>
  <c r="G4567" i="8"/>
  <c r="C4564" i="8"/>
  <c r="B4592" i="8" s="1"/>
  <c r="F4532" i="8"/>
  <c r="F4533" i="8"/>
  <c r="K4548" i="8"/>
  <c r="H4546" i="8"/>
  <c r="L4540" i="8"/>
  <c r="E4539" i="8"/>
  <c r="D4547" i="8" s="1"/>
  <c r="D4539" i="8"/>
  <c r="F4531" i="8"/>
  <c r="G4521" i="8"/>
  <c r="C4518" i="8"/>
  <c r="B4546" i="8" s="1"/>
  <c r="K4502" i="8"/>
  <c r="H4500" i="8"/>
  <c r="L4494" i="8"/>
  <c r="E4493" i="8"/>
  <c r="D4501" i="8" s="1"/>
  <c r="D4493" i="8"/>
  <c r="F4485" i="8"/>
  <c r="F4493" i="8" s="1"/>
  <c r="G4475" i="8"/>
  <c r="C4472" i="8"/>
  <c r="B4500" i="8" s="1"/>
  <c r="H4451" i="8"/>
  <c r="H4454" i="8" s="1"/>
  <c r="K4456" i="8"/>
  <c r="L4448" i="8"/>
  <c r="E4447" i="8"/>
  <c r="D4455" i="8" s="1"/>
  <c r="D4447" i="8"/>
  <c r="F4441" i="8"/>
  <c r="F4440" i="8"/>
  <c r="F4439" i="8"/>
  <c r="G4429" i="8"/>
  <c r="C4426" i="8"/>
  <c r="B4454" i="8" s="1"/>
  <c r="A4458" i="8" s="1"/>
  <c r="I4782" i="8" l="1"/>
  <c r="F4539" i="8"/>
  <c r="I4828" i="8"/>
  <c r="F4823" i="8"/>
  <c r="I4824" i="8"/>
  <c r="F4777" i="8"/>
  <c r="I4778" i="8"/>
  <c r="J4782" i="8" s="1"/>
  <c r="A4734" i="8"/>
  <c r="H4731" i="8" s="1"/>
  <c r="I4734" i="8"/>
  <c r="I4735" i="8" s="1"/>
  <c r="I4736" i="8" s="1"/>
  <c r="B4731" i="8"/>
  <c r="B4732" i="8"/>
  <c r="A4688" i="8"/>
  <c r="B4686" i="8"/>
  <c r="I4688" i="8"/>
  <c r="I4689" i="8" s="1"/>
  <c r="I4690" i="8" s="1"/>
  <c r="B4685" i="8"/>
  <c r="H4685" i="8"/>
  <c r="F4631" i="8"/>
  <c r="A4642" i="8"/>
  <c r="H4639" i="8" s="1"/>
  <c r="I4642" i="8"/>
  <c r="I4643" i="8" s="1"/>
  <c r="B4640" i="8"/>
  <c r="B4639" i="8"/>
  <c r="F4585" i="8"/>
  <c r="A4596" i="8"/>
  <c r="I4596" i="8"/>
  <c r="I4597" i="8" s="1"/>
  <c r="B4594" i="8"/>
  <c r="B4593" i="8"/>
  <c r="H4593" i="8"/>
  <c r="A4550" i="8"/>
  <c r="H4547" i="8" s="1"/>
  <c r="B4547" i="8"/>
  <c r="I4550" i="8"/>
  <c r="I4551" i="8" s="1"/>
  <c r="I4552" i="8" s="1"/>
  <c r="B4548" i="8"/>
  <c r="A4504" i="8"/>
  <c r="H4501" i="8" s="1"/>
  <c r="F4501" i="8" s="1"/>
  <c r="I4504" i="8"/>
  <c r="I4505" i="8" s="1"/>
  <c r="I4506" i="8" s="1"/>
  <c r="B4501" i="8"/>
  <c r="B4502" i="8"/>
  <c r="F4447" i="8"/>
  <c r="B4456" i="8"/>
  <c r="H4455" i="8"/>
  <c r="F4455" i="8" s="1"/>
  <c r="I4458" i="8"/>
  <c r="I4459" i="8" s="1"/>
  <c r="B4455" i="8"/>
  <c r="I4598" i="8" l="1"/>
  <c r="J4828" i="8"/>
  <c r="F4731" i="8"/>
  <c r="I4732" i="8"/>
  <c r="J4736" i="8" s="1"/>
  <c r="I4686" i="8"/>
  <c r="J4690" i="8" s="1"/>
  <c r="F4685" i="8"/>
  <c r="I4644" i="8"/>
  <c r="F4639" i="8"/>
  <c r="I4640" i="8"/>
  <c r="J4644" i="8" s="1"/>
  <c r="I4594" i="8"/>
  <c r="J4598" i="8" s="1"/>
  <c r="F4593" i="8"/>
  <c r="I4548" i="8"/>
  <c r="J4552" i="8" s="1"/>
  <c r="F4547" i="8"/>
  <c r="I4502" i="8"/>
  <c r="J4506" i="8" s="1"/>
  <c r="I4460" i="8"/>
  <c r="I4456" i="8"/>
  <c r="J4460" i="8" l="1"/>
  <c r="F4397" i="8"/>
  <c r="H4405" i="8"/>
  <c r="H4408" i="8" s="1"/>
  <c r="F4396" i="8"/>
  <c r="K4410" i="8"/>
  <c r="L4402" i="8"/>
  <c r="E4401" i="8"/>
  <c r="D4409" i="8" s="1"/>
  <c r="D4401" i="8"/>
  <c r="F4395" i="8"/>
  <c r="F4394" i="8"/>
  <c r="F4393" i="8"/>
  <c r="G4383" i="8"/>
  <c r="C4380" i="8"/>
  <c r="B4408" i="8" s="1"/>
  <c r="A4412" i="8" s="1"/>
  <c r="F4349" i="8"/>
  <c r="F4348" i="8"/>
  <c r="K4364" i="8"/>
  <c r="H4362" i="8"/>
  <c r="L4356" i="8"/>
  <c r="E4355" i="8"/>
  <c r="D4363" i="8" s="1"/>
  <c r="D4355" i="8"/>
  <c r="F4347" i="8"/>
  <c r="G4337" i="8"/>
  <c r="C4334" i="8"/>
  <c r="B4362" i="8" s="1"/>
  <c r="A4366" i="8" s="1"/>
  <c r="K4318" i="8"/>
  <c r="H4316" i="8"/>
  <c r="L4310" i="8"/>
  <c r="E4309" i="8"/>
  <c r="D4317" i="8" s="1"/>
  <c r="D4309" i="8"/>
  <c r="F4301" i="8"/>
  <c r="F4309" i="8" s="1"/>
  <c r="G4291" i="8"/>
  <c r="C4288" i="8"/>
  <c r="B4316" i="8" s="1"/>
  <c r="A4320" i="8" s="1"/>
  <c r="K4272" i="8"/>
  <c r="H4270" i="8"/>
  <c r="L4264" i="8"/>
  <c r="E4263" i="8"/>
  <c r="D4271" i="8" s="1"/>
  <c r="F4257" i="8"/>
  <c r="D4263" i="8"/>
  <c r="F4255" i="8"/>
  <c r="G4245" i="8"/>
  <c r="C4242" i="8"/>
  <c r="B4270" i="8" s="1"/>
  <c r="A4274" i="8" s="1"/>
  <c r="F4211" i="8"/>
  <c r="D4210" i="8"/>
  <c r="F4210" i="8" s="1"/>
  <c r="K4226" i="8"/>
  <c r="H4224" i="8"/>
  <c r="E4217" i="8"/>
  <c r="D4225" i="8" s="1"/>
  <c r="L4218" i="8"/>
  <c r="F4209" i="8"/>
  <c r="G4199" i="8"/>
  <c r="C4196" i="8"/>
  <c r="B4224" i="8" s="1"/>
  <c r="A4228" i="8" s="1"/>
  <c r="F4355" i="8" l="1"/>
  <c r="F4401" i="8"/>
  <c r="H4409" i="8"/>
  <c r="I4412" i="8"/>
  <c r="I4413" i="8" s="1"/>
  <c r="B4410" i="8"/>
  <c r="B4409" i="8"/>
  <c r="H4363" i="8"/>
  <c r="B4364" i="8"/>
  <c r="B4363" i="8"/>
  <c r="I4366" i="8"/>
  <c r="I4367" i="8" s="1"/>
  <c r="I4368" i="8" s="1"/>
  <c r="H4317" i="8"/>
  <c r="B4318" i="8"/>
  <c r="I4320" i="8"/>
  <c r="I4321" i="8" s="1"/>
  <c r="I4322" i="8" s="1"/>
  <c r="B4317" i="8"/>
  <c r="B4272" i="8"/>
  <c r="I4274" i="8"/>
  <c r="I4275" i="8" s="1"/>
  <c r="B4271" i="8"/>
  <c r="H4271" i="8"/>
  <c r="F4256" i="8"/>
  <c r="F4263" i="8" s="1"/>
  <c r="F4217" i="8"/>
  <c r="H4225" i="8"/>
  <c r="F4225" i="8" s="1"/>
  <c r="D4217" i="8"/>
  <c r="B4226" i="8" s="1"/>
  <c r="I4228" i="8"/>
  <c r="I4414" i="8" l="1"/>
  <c r="F4409" i="8"/>
  <c r="I4410" i="8"/>
  <c r="F4363" i="8"/>
  <c r="I4364" i="8"/>
  <c r="J4368" i="8" s="1"/>
  <c r="F4317" i="8"/>
  <c r="I4318" i="8"/>
  <c r="J4322" i="8" s="1"/>
  <c r="I4276" i="8"/>
  <c r="F4271" i="8"/>
  <c r="I4272" i="8"/>
  <c r="B4225" i="8"/>
  <c r="I4229" i="8"/>
  <c r="I4230" i="8" s="1"/>
  <c r="I4226" i="8"/>
  <c r="J4414" i="8" l="1"/>
  <c r="J4276" i="8"/>
  <c r="J4230" i="8"/>
  <c r="K4180" i="8" l="1"/>
  <c r="D4163" i="8" l="1"/>
  <c r="D4171" i="8" s="1"/>
  <c r="J4163" i="8"/>
  <c r="H4178" i="8"/>
  <c r="L4172" i="8"/>
  <c r="E4171" i="8"/>
  <c r="D4179" i="8" s="1"/>
  <c r="F4164" i="8"/>
  <c r="G4153" i="8"/>
  <c r="C4150" i="8"/>
  <c r="B4178" i="8" s="1"/>
  <c r="H4132" i="8"/>
  <c r="L4126" i="8"/>
  <c r="E4125" i="8"/>
  <c r="D4133" i="8" s="1"/>
  <c r="F4119" i="8"/>
  <c r="D4125" i="8"/>
  <c r="F4117" i="8"/>
  <c r="G4107" i="8"/>
  <c r="C4104" i="8"/>
  <c r="B4132" i="8" s="1"/>
  <c r="J4071" i="8"/>
  <c r="L4080" i="8" s="1"/>
  <c r="D4072" i="8"/>
  <c r="F4072" i="8" s="1"/>
  <c r="H4086" i="8"/>
  <c r="E4079" i="8"/>
  <c r="D4087" i="8" s="1"/>
  <c r="D4079" i="8"/>
  <c r="F4073" i="8"/>
  <c r="F4071" i="8"/>
  <c r="G4061" i="8"/>
  <c r="C4058" i="8"/>
  <c r="B4086" i="8" s="1"/>
  <c r="D4033" i="8"/>
  <c r="E4033" i="8"/>
  <c r="D4041" i="8" s="1"/>
  <c r="F4027" i="8"/>
  <c r="H4040" i="8"/>
  <c r="F4026" i="8"/>
  <c r="L4034" i="8"/>
  <c r="F4025" i="8"/>
  <c r="G4015" i="8"/>
  <c r="C4012" i="8"/>
  <c r="B4040" i="8" s="1"/>
  <c r="H3994" i="8"/>
  <c r="E3987" i="8"/>
  <c r="D3995" i="8" s="1"/>
  <c r="D3987" i="8"/>
  <c r="F3980" i="8"/>
  <c r="J3979" i="8"/>
  <c r="L3988" i="8" s="1"/>
  <c r="F3979" i="8"/>
  <c r="G3969" i="8"/>
  <c r="C3966" i="8"/>
  <c r="B3994" i="8" s="1"/>
  <c r="F4163" i="8" l="1"/>
  <c r="B4180" i="8"/>
  <c r="F4171" i="8"/>
  <c r="A4182" i="8"/>
  <c r="H4179" i="8" s="1"/>
  <c r="I4182" i="8"/>
  <c r="I4183" i="8" s="1"/>
  <c r="I4184" i="8" s="1"/>
  <c r="B4179" i="8"/>
  <c r="A4136" i="8"/>
  <c r="H4133" i="8" s="1"/>
  <c r="B4133" i="8"/>
  <c r="I4136" i="8"/>
  <c r="I4137" i="8" s="1"/>
  <c r="B4134" i="8"/>
  <c r="F4118" i="8"/>
  <c r="F4125" i="8" s="1"/>
  <c r="F4079" i="8"/>
  <c r="A4090" i="8"/>
  <c r="H4087" i="8" s="1"/>
  <c r="B4088" i="8"/>
  <c r="B4087" i="8"/>
  <c r="I4090" i="8"/>
  <c r="I4091" i="8" s="1"/>
  <c r="F4033" i="8"/>
  <c r="B4042" i="8"/>
  <c r="A4044" i="8"/>
  <c r="H4041" i="8" s="1"/>
  <c r="F4041" i="8" s="1"/>
  <c r="B4041" i="8"/>
  <c r="I4044" i="8"/>
  <c r="I4045" i="8" s="1"/>
  <c r="F3987" i="8"/>
  <c r="B3996" i="8"/>
  <c r="A3998" i="8"/>
  <c r="H3995" i="8" s="1"/>
  <c r="B3995" i="8"/>
  <c r="I3998" i="8"/>
  <c r="I3999" i="8" s="1"/>
  <c r="F4179" i="8" l="1"/>
  <c r="I4180" i="8"/>
  <c r="J4184" i="8" s="1"/>
  <c r="I4138" i="8"/>
  <c r="F4133" i="8"/>
  <c r="I4134" i="8"/>
  <c r="I4092" i="8"/>
  <c r="F4087" i="8"/>
  <c r="I4088" i="8"/>
  <c r="I4046" i="8"/>
  <c r="I4042" i="8"/>
  <c r="I4000" i="8"/>
  <c r="F3995" i="8"/>
  <c r="I3996" i="8"/>
  <c r="J4138" i="8" l="1"/>
  <c r="J4092" i="8"/>
  <c r="J4046" i="8"/>
  <c r="J4000" i="8"/>
  <c r="D3934" i="8" l="1"/>
  <c r="F3934" i="8" s="1"/>
  <c r="D3933" i="8"/>
  <c r="F3933" i="8" s="1"/>
  <c r="H3948" i="8"/>
  <c r="E3941" i="8"/>
  <c r="D3949" i="8" s="1"/>
  <c r="J3933" i="8"/>
  <c r="L3942" i="8" s="1"/>
  <c r="G3923" i="8"/>
  <c r="C3920" i="8"/>
  <c r="B3948" i="8" s="1"/>
  <c r="J3887" i="8"/>
  <c r="L3896" i="8" s="1"/>
  <c r="F3888" i="8"/>
  <c r="H3902" i="8"/>
  <c r="E3895" i="8"/>
  <c r="D3903" i="8" s="1"/>
  <c r="D3895" i="8"/>
  <c r="F3887" i="8"/>
  <c r="F3895" i="8" s="1"/>
  <c r="G3877" i="8"/>
  <c r="C3874" i="8"/>
  <c r="B3902" i="8" s="1"/>
  <c r="H3856" i="8"/>
  <c r="L3850" i="8"/>
  <c r="E3849" i="8"/>
  <c r="D3857" i="8" s="1"/>
  <c r="F3841" i="8"/>
  <c r="F3849" i="8" s="1"/>
  <c r="D3849" i="8"/>
  <c r="G3831" i="8"/>
  <c r="C3828" i="8"/>
  <c r="B3856" i="8" s="1"/>
  <c r="D3795" i="8"/>
  <c r="F3795" i="8" s="1"/>
  <c r="H3810" i="8"/>
  <c r="L3804" i="8"/>
  <c r="E3803" i="8"/>
  <c r="D3811" i="8" s="1"/>
  <c r="F3797" i="8"/>
  <c r="F3796" i="8"/>
  <c r="G3785" i="8"/>
  <c r="C3782" i="8"/>
  <c r="B3810" i="8" s="1"/>
  <c r="D3749" i="8"/>
  <c r="D3757" i="8" s="1"/>
  <c r="H3764" i="8"/>
  <c r="L3758" i="8"/>
  <c r="E3757" i="8"/>
  <c r="D3765" i="8" s="1"/>
  <c r="F3751" i="8"/>
  <c r="F3750" i="8"/>
  <c r="G3739" i="8"/>
  <c r="C3736" i="8"/>
  <c r="B3764" i="8" s="1"/>
  <c r="I3768" i="8" s="1"/>
  <c r="F3749" i="8" l="1"/>
  <c r="F3757" i="8" s="1"/>
  <c r="F3941" i="8"/>
  <c r="D3941" i="8"/>
  <c r="B3950" i="8" s="1"/>
  <c r="A3952" i="8"/>
  <c r="H3949" i="8" s="1"/>
  <c r="F3949" i="8" s="1"/>
  <c r="I3952" i="8"/>
  <c r="B3904" i="8"/>
  <c r="A3906" i="8"/>
  <c r="H3903" i="8" s="1"/>
  <c r="F3903" i="8" s="1"/>
  <c r="I3906" i="8"/>
  <c r="I3907" i="8" s="1"/>
  <c r="I3908" i="8" s="1"/>
  <c r="B3903" i="8"/>
  <c r="B3858" i="8"/>
  <c r="A3860" i="8"/>
  <c r="H3857" i="8" s="1"/>
  <c r="I3860" i="8"/>
  <c r="I3861" i="8" s="1"/>
  <c r="I3862" i="8" s="1"/>
  <c r="B3857" i="8"/>
  <c r="F3803" i="8"/>
  <c r="D3803" i="8"/>
  <c r="B3812" i="8" s="1"/>
  <c r="A3814" i="8"/>
  <c r="H3811" i="8" s="1"/>
  <c r="I3814" i="8"/>
  <c r="I3769" i="8"/>
  <c r="I3770" i="8" s="1"/>
  <c r="B3766" i="8"/>
  <c r="B3765" i="8"/>
  <c r="A3768" i="8"/>
  <c r="H3765" i="8" s="1"/>
  <c r="B3811" i="8" l="1"/>
  <c r="I3815" i="8"/>
  <c r="I3816" i="8" s="1"/>
  <c r="B3949" i="8"/>
  <c r="I3953" i="8"/>
  <c r="I3954" i="8" s="1"/>
  <c r="I3950" i="8"/>
  <c r="I3904" i="8"/>
  <c r="J3908" i="8" s="1"/>
  <c r="F3857" i="8"/>
  <c r="I3858" i="8"/>
  <c r="J3862" i="8" s="1"/>
  <c r="F3811" i="8"/>
  <c r="I3812" i="8"/>
  <c r="F3765" i="8"/>
  <c r="I3766" i="8"/>
  <c r="J3770" i="8" s="1"/>
  <c r="J3816" i="8" l="1"/>
  <c r="J3954" i="8"/>
  <c r="H3718" i="8" l="1"/>
  <c r="L3712" i="8"/>
  <c r="E3711" i="8"/>
  <c r="D3719" i="8" s="1"/>
  <c r="D3711" i="8"/>
  <c r="F3705" i="8"/>
  <c r="F3704" i="8"/>
  <c r="F3703" i="8"/>
  <c r="F3711" i="8" s="1"/>
  <c r="G3693" i="8"/>
  <c r="C3690" i="8"/>
  <c r="B3718" i="8" s="1"/>
  <c r="B3720" i="8" l="1"/>
  <c r="A3722" i="8"/>
  <c r="H3719" i="8" s="1"/>
  <c r="B3719" i="8"/>
  <c r="I3722" i="8"/>
  <c r="I3723" i="8" s="1"/>
  <c r="I3724" i="8" s="1"/>
  <c r="F3719" i="8" l="1"/>
  <c r="I3720" i="8"/>
  <c r="J3724" i="8" s="1"/>
  <c r="H3672" i="8" l="1"/>
  <c r="L3666" i="8"/>
  <c r="E3665" i="8"/>
  <c r="D3673" i="8" s="1"/>
  <c r="D3665" i="8"/>
  <c r="F3659" i="8"/>
  <c r="F3658" i="8"/>
  <c r="F3657" i="8"/>
  <c r="G3647" i="8"/>
  <c r="C3644" i="8"/>
  <c r="B3672" i="8" s="1"/>
  <c r="C3598" i="8"/>
  <c r="B3626" i="8" s="1"/>
  <c r="H3626" i="8"/>
  <c r="L3620" i="8"/>
  <c r="E3619" i="8"/>
  <c r="D3627" i="8" s="1"/>
  <c r="D3619" i="8"/>
  <c r="F3613" i="8"/>
  <c r="F3612" i="8"/>
  <c r="F3611" i="8"/>
  <c r="G3601" i="8"/>
  <c r="C3552" i="8"/>
  <c r="B3580" i="8" s="1"/>
  <c r="H3580" i="8"/>
  <c r="E3573" i="8"/>
  <c r="D3581" i="8" s="1"/>
  <c r="F3567" i="8"/>
  <c r="F3566" i="8"/>
  <c r="L3574" i="8"/>
  <c r="D3573" i="8"/>
  <c r="G3555" i="8"/>
  <c r="J3518" i="8"/>
  <c r="L3527" i="8" s="1"/>
  <c r="F3519" i="8"/>
  <c r="F3520" i="8"/>
  <c r="D3518" i="8"/>
  <c r="D3526" i="8" s="1"/>
  <c r="H3533" i="8"/>
  <c r="E3526" i="8"/>
  <c r="D3534" i="8" s="1"/>
  <c r="G3508" i="8"/>
  <c r="C3505" i="8"/>
  <c r="B3533" i="8" s="1"/>
  <c r="H3487" i="8"/>
  <c r="L3481" i="8"/>
  <c r="E3480" i="8"/>
  <c r="D3488" i="8" s="1"/>
  <c r="D3480" i="8"/>
  <c r="F3472" i="8"/>
  <c r="F3480" i="8" s="1"/>
  <c r="G3462" i="8"/>
  <c r="C3459" i="8"/>
  <c r="B3487" i="8" s="1"/>
  <c r="D3434" i="8"/>
  <c r="F3428" i="8"/>
  <c r="E3426" i="8"/>
  <c r="E3434" i="8" s="1"/>
  <c r="F3427" i="8"/>
  <c r="F3337" i="8"/>
  <c r="H3441" i="8"/>
  <c r="L3435" i="8"/>
  <c r="G3416" i="8"/>
  <c r="C3413" i="8"/>
  <c r="B3441" i="8" s="1"/>
  <c r="F3426" i="8" l="1"/>
  <c r="F3434" i="8" s="1"/>
  <c r="F3619" i="8"/>
  <c r="F3665" i="8"/>
  <c r="A3676" i="8"/>
  <c r="H3673" i="8" s="1"/>
  <c r="F3673" i="8" s="1"/>
  <c r="B3673" i="8"/>
  <c r="I3676" i="8"/>
  <c r="I3677" i="8" s="1"/>
  <c r="B3674" i="8"/>
  <c r="A3630" i="8"/>
  <c r="H3627" i="8" s="1"/>
  <c r="I3630" i="8"/>
  <c r="I3631" i="8" s="1"/>
  <c r="B3628" i="8"/>
  <c r="B3627" i="8"/>
  <c r="B3582" i="8"/>
  <c r="A3584" i="8"/>
  <c r="H3581" i="8" s="1"/>
  <c r="B3581" i="8"/>
  <c r="I3584" i="8"/>
  <c r="I3585" i="8" s="1"/>
  <c r="F3565" i="8"/>
  <c r="F3573" i="8" s="1"/>
  <c r="F3518" i="8"/>
  <c r="F3526" i="8" s="1"/>
  <c r="A3537" i="8"/>
  <c r="H3534" i="8" s="1"/>
  <c r="B3534" i="8"/>
  <c r="I3537" i="8"/>
  <c r="I3538" i="8" s="1"/>
  <c r="B3535" i="8"/>
  <c r="B3489" i="8"/>
  <c r="A3491" i="8"/>
  <c r="H3488" i="8" s="1"/>
  <c r="I3491" i="8"/>
  <c r="I3492" i="8" s="1"/>
  <c r="I3493" i="8" s="1"/>
  <c r="B3488" i="8"/>
  <c r="D3442" i="8"/>
  <c r="A3445" i="8"/>
  <c r="B3442" i="8"/>
  <c r="I3445" i="8"/>
  <c r="I3446" i="8" s="1"/>
  <c r="B3443" i="8"/>
  <c r="H3442" i="8" l="1"/>
  <c r="F3442" i="8" s="1"/>
  <c r="I3447" i="8"/>
  <c r="I3632" i="8"/>
  <c r="I3539" i="8"/>
  <c r="I3678" i="8"/>
  <c r="I3674" i="8"/>
  <c r="F3627" i="8"/>
  <c r="I3628" i="8"/>
  <c r="F3581" i="8"/>
  <c r="I3582" i="8"/>
  <c r="I3586" i="8"/>
  <c r="F3534" i="8"/>
  <c r="I3535" i="8"/>
  <c r="J3539" i="8" s="1"/>
  <c r="F3488" i="8"/>
  <c r="I3489" i="8"/>
  <c r="J3493" i="8" s="1"/>
  <c r="I3443" i="8"/>
  <c r="J3447" i="8" s="1"/>
  <c r="J3678" i="8" l="1"/>
  <c r="J3632" i="8"/>
  <c r="N3633" i="8"/>
  <c r="J3586" i="8"/>
  <c r="H3395" i="8" l="1"/>
  <c r="L3389" i="8"/>
  <c r="E3388" i="8"/>
  <c r="D3396" i="8" s="1"/>
  <c r="D3388" i="8"/>
  <c r="F3380" i="8"/>
  <c r="F3388" i="8" s="1"/>
  <c r="G3371" i="8"/>
  <c r="G3370" i="8"/>
  <c r="C3367" i="8"/>
  <c r="B3395" i="8" s="1"/>
  <c r="O3340" i="8"/>
  <c r="N3338" i="8"/>
  <c r="H3349" i="8"/>
  <c r="L3343" i="8"/>
  <c r="E3342" i="8"/>
  <c r="D3350" i="8" s="1"/>
  <c r="D3342" i="8"/>
  <c r="F3336" i="8"/>
  <c r="F3335" i="8"/>
  <c r="F3334" i="8"/>
  <c r="G3325" i="8"/>
  <c r="G3324" i="8"/>
  <c r="C3321" i="8"/>
  <c r="B3349" i="8" s="1"/>
  <c r="A3353" i="8" s="1"/>
  <c r="H3303" i="8"/>
  <c r="L3297" i="8"/>
  <c r="E3296" i="8"/>
  <c r="D3304" i="8" s="1"/>
  <c r="D3296" i="8"/>
  <c r="F3290" i="8"/>
  <c r="F3289" i="8"/>
  <c r="F3288" i="8"/>
  <c r="G3279" i="8"/>
  <c r="G3278" i="8"/>
  <c r="C3275" i="8"/>
  <c r="B3303" i="8" s="1"/>
  <c r="H3257" i="8"/>
  <c r="L3251" i="8"/>
  <c r="E3250" i="8"/>
  <c r="D3258" i="8" s="1"/>
  <c r="D3250" i="8"/>
  <c r="F3245" i="8"/>
  <c r="F3244" i="8"/>
  <c r="F3243" i="8"/>
  <c r="F3242" i="8"/>
  <c r="G3233" i="8"/>
  <c r="G3232" i="8"/>
  <c r="C3229" i="8"/>
  <c r="B3257" i="8" s="1"/>
  <c r="D3204" i="8"/>
  <c r="F3199" i="8"/>
  <c r="H3211" i="8"/>
  <c r="L3205" i="8"/>
  <c r="E3204" i="8"/>
  <c r="D3212" i="8" s="1"/>
  <c r="F3198" i="8"/>
  <c r="F3197" i="8"/>
  <c r="F3196" i="8"/>
  <c r="G3187" i="8"/>
  <c r="G3186" i="8"/>
  <c r="C3183" i="8"/>
  <c r="B3211" i="8" s="1"/>
  <c r="D3158" i="8"/>
  <c r="F3152" i="8"/>
  <c r="H3165" i="8"/>
  <c r="L3159" i="8"/>
  <c r="E3158" i="8"/>
  <c r="D3166" i="8" s="1"/>
  <c r="F3151" i="8"/>
  <c r="F3150" i="8"/>
  <c r="G3141" i="8"/>
  <c r="G3140" i="8"/>
  <c r="C3137" i="8"/>
  <c r="B3165" i="8" s="1"/>
  <c r="B3166" i="8" l="1"/>
  <c r="A3399" i="8"/>
  <c r="H3396" i="8" s="1"/>
  <c r="F3396" i="8" s="1"/>
  <c r="B3397" i="8"/>
  <c r="B3396" i="8"/>
  <c r="I3399" i="8"/>
  <c r="I3400" i="8" s="1"/>
  <c r="I3401" i="8" s="1"/>
  <c r="F3342" i="8"/>
  <c r="H3350" i="8"/>
  <c r="B3351" i="8"/>
  <c r="B3350" i="8"/>
  <c r="I3353" i="8"/>
  <c r="I3354" i="8" s="1"/>
  <c r="F3296" i="8"/>
  <c r="A3307" i="8"/>
  <c r="B3305" i="8"/>
  <c r="B3304" i="8"/>
  <c r="I3307" i="8"/>
  <c r="I3308" i="8" s="1"/>
  <c r="H3304" i="8"/>
  <c r="F3304" i="8" s="1"/>
  <c r="F3250" i="8"/>
  <c r="A3261" i="8"/>
  <c r="B3259" i="8"/>
  <c r="B3258" i="8"/>
  <c r="I3261" i="8"/>
  <c r="I3262" i="8" s="1"/>
  <c r="H3258" i="8"/>
  <c r="F3258" i="8" s="1"/>
  <c r="F3204" i="8"/>
  <c r="B3212" i="8"/>
  <c r="B3213" i="8"/>
  <c r="A3215" i="8"/>
  <c r="H3212" i="8" s="1"/>
  <c r="I3215" i="8"/>
  <c r="I3216" i="8" s="1"/>
  <c r="I3217" i="8" s="1"/>
  <c r="F3158" i="8"/>
  <c r="B3167" i="8"/>
  <c r="A3169" i="8"/>
  <c r="H3166" i="8" s="1"/>
  <c r="I3169" i="8"/>
  <c r="I3170" i="8" s="1"/>
  <c r="I3309" i="8" l="1"/>
  <c r="I3305" i="8"/>
  <c r="J3309" i="8" s="1"/>
  <c r="I3171" i="8"/>
  <c r="I3355" i="8"/>
  <c r="I3397" i="8"/>
  <c r="J3401" i="8" s="1"/>
  <c r="F3350" i="8"/>
  <c r="I3351" i="8"/>
  <c r="J3355" i="8" s="1"/>
  <c r="I3259" i="8"/>
  <c r="I3263" i="8"/>
  <c r="J3263" i="8" s="1"/>
  <c r="F3212" i="8"/>
  <c r="I3213" i="8"/>
  <c r="J3217" i="8" s="1"/>
  <c r="F3166" i="8"/>
  <c r="I3167" i="8"/>
  <c r="J3171" i="8" l="1"/>
  <c r="E2927" i="8" l="1"/>
  <c r="D2921" i="8"/>
  <c r="F2921" i="8" s="1"/>
  <c r="E3105" i="8" l="1"/>
  <c r="D3105" i="8"/>
  <c r="J3104" i="8"/>
  <c r="L3113" i="8" s="1"/>
  <c r="H3119" i="8"/>
  <c r="E3112" i="8"/>
  <c r="D3120" i="8" s="1"/>
  <c r="D3112" i="8"/>
  <c r="F3104" i="8"/>
  <c r="G3095" i="8"/>
  <c r="G3094" i="8"/>
  <c r="C3091" i="8"/>
  <c r="B3119" i="8" s="1"/>
  <c r="D3060" i="8"/>
  <c r="D3066" i="8" s="1"/>
  <c r="C3045" i="8"/>
  <c r="H3073" i="8"/>
  <c r="L3067" i="8"/>
  <c r="E3066" i="8"/>
  <c r="D3074" i="8" s="1"/>
  <c r="F3059" i="8"/>
  <c r="F3058" i="8"/>
  <c r="G3049" i="8"/>
  <c r="G3048" i="8"/>
  <c r="B3073" i="8"/>
  <c r="C2999" i="8"/>
  <c r="B3027" i="8" s="1"/>
  <c r="D3015" i="8"/>
  <c r="D3020" i="8" s="1"/>
  <c r="F3014" i="8"/>
  <c r="O3015" i="8"/>
  <c r="H3027" i="8"/>
  <c r="L3021" i="8"/>
  <c r="E3020" i="8"/>
  <c r="D3028" i="8" s="1"/>
  <c r="F3012" i="8"/>
  <c r="G3003" i="8"/>
  <c r="G3002" i="8"/>
  <c r="D2966" i="8"/>
  <c r="F2966" i="8" s="1"/>
  <c r="H2980" i="8"/>
  <c r="L2974" i="8"/>
  <c r="E2973" i="8"/>
  <c r="D2981" i="8" s="1"/>
  <c r="D2973" i="8"/>
  <c r="F2965" i="8"/>
  <c r="G2956" i="8"/>
  <c r="G2955" i="8"/>
  <c r="C2952" i="8"/>
  <c r="B2980" i="8" s="1"/>
  <c r="H2934" i="8"/>
  <c r="D2935" i="8"/>
  <c r="D2927" i="8"/>
  <c r="F2920" i="8"/>
  <c r="L2928" i="8"/>
  <c r="F2919" i="8"/>
  <c r="G2910" i="8"/>
  <c r="G2909" i="8"/>
  <c r="C2906" i="8"/>
  <c r="B2934" i="8" s="1"/>
  <c r="F2828" i="8"/>
  <c r="M2820" i="8"/>
  <c r="F2927" i="8" l="1"/>
  <c r="F2973" i="8"/>
  <c r="F3015" i="8"/>
  <c r="B3121" i="8"/>
  <c r="F3105" i="8"/>
  <c r="A3123" i="8"/>
  <c r="H3120" i="8" s="1"/>
  <c r="B3120" i="8"/>
  <c r="I3123" i="8"/>
  <c r="I3124" i="8" s="1"/>
  <c r="F3112" i="8"/>
  <c r="F3060" i="8"/>
  <c r="B3075" i="8"/>
  <c r="A3077" i="8"/>
  <c r="B3074" i="8"/>
  <c r="I3077" i="8"/>
  <c r="I3078" i="8" s="1"/>
  <c r="F3066" i="8"/>
  <c r="A3031" i="8"/>
  <c r="B3028" i="8"/>
  <c r="I3031" i="8"/>
  <c r="I3032" i="8" s="1"/>
  <c r="B3029" i="8"/>
  <c r="H3028" i="8"/>
  <c r="F3028" i="8" s="1"/>
  <c r="F3013" i="8"/>
  <c r="A2984" i="8"/>
  <c r="H2981" i="8" s="1"/>
  <c r="B2982" i="8"/>
  <c r="B2981" i="8"/>
  <c r="I2984" i="8"/>
  <c r="I2985" i="8" s="1"/>
  <c r="I2986" i="8" s="1"/>
  <c r="B2936" i="8"/>
  <c r="A2938" i="8"/>
  <c r="H2935" i="8" s="1"/>
  <c r="F2935" i="8" s="1"/>
  <c r="B2935" i="8"/>
  <c r="I2938" i="8"/>
  <c r="I2939" i="8" s="1"/>
  <c r="I2940" i="8" s="1"/>
  <c r="F3020" i="8" l="1"/>
  <c r="H3074" i="8"/>
  <c r="F3074" i="8" s="1"/>
  <c r="C3078" i="8"/>
  <c r="F3120" i="8"/>
  <c r="I3121" i="8"/>
  <c r="I3125" i="8"/>
  <c r="I3079" i="8"/>
  <c r="I3029" i="8"/>
  <c r="I3033" i="8"/>
  <c r="F2981" i="8"/>
  <c r="I2982" i="8"/>
  <c r="J2986" i="8" s="1"/>
  <c r="I2936" i="8"/>
  <c r="J2940" i="8" s="1"/>
  <c r="I3075" i="8" l="1"/>
  <c r="J3125" i="8"/>
  <c r="J3079" i="8"/>
  <c r="J3033" i="8"/>
  <c r="J2873" i="8" l="1"/>
  <c r="F2875" i="8"/>
  <c r="F2874" i="8"/>
  <c r="C2860" i="8"/>
  <c r="H2888" i="8" l="1"/>
  <c r="L2882" i="8"/>
  <c r="E2881" i="8"/>
  <c r="D2889" i="8" s="1"/>
  <c r="D2881" i="8"/>
  <c r="F2873" i="8"/>
  <c r="F2881" i="8" s="1"/>
  <c r="G2864" i="8"/>
  <c r="G2863" i="8"/>
  <c r="B2888" i="8"/>
  <c r="A2892" i="8" s="1"/>
  <c r="H2842" i="8"/>
  <c r="L2836" i="8"/>
  <c r="E2835" i="8"/>
  <c r="D2843" i="8" s="1"/>
  <c r="D2835" i="8"/>
  <c r="G2818" i="8"/>
  <c r="G2817" i="8"/>
  <c r="C2814" i="8"/>
  <c r="B2842" i="8" s="1"/>
  <c r="A2846" i="8" s="1"/>
  <c r="D2781" i="8"/>
  <c r="F2781" i="8" s="1"/>
  <c r="H2796" i="8"/>
  <c r="L2790" i="8"/>
  <c r="G2772" i="8"/>
  <c r="G2771" i="8"/>
  <c r="C2768" i="8"/>
  <c r="B2796" i="8" s="1"/>
  <c r="F2737" i="8"/>
  <c r="J2735" i="8"/>
  <c r="E2736" i="8"/>
  <c r="E2743" i="8" s="1"/>
  <c r="D2751" i="8" s="1"/>
  <c r="D2736" i="8"/>
  <c r="D2743" i="8" s="1"/>
  <c r="H2750" i="8"/>
  <c r="L2744" i="8"/>
  <c r="F2735" i="8"/>
  <c r="G2726" i="8"/>
  <c r="G2725" i="8"/>
  <c r="C2722" i="8"/>
  <c r="B2750" i="8" s="1"/>
  <c r="H2704" i="8"/>
  <c r="L2698" i="8"/>
  <c r="E2697" i="8"/>
  <c r="D2705" i="8" s="1"/>
  <c r="D2697" i="8"/>
  <c r="F2689" i="8"/>
  <c r="G2680" i="8"/>
  <c r="G2679" i="8"/>
  <c r="C2676" i="8"/>
  <c r="B2704" i="8" s="1"/>
  <c r="H2658" i="8"/>
  <c r="L2652" i="8"/>
  <c r="E2651" i="8"/>
  <c r="D2659" i="8" s="1"/>
  <c r="D2651" i="8"/>
  <c r="F2646" i="8"/>
  <c r="F2645" i="8"/>
  <c r="F2644" i="8"/>
  <c r="F2643" i="8"/>
  <c r="G2634" i="8"/>
  <c r="G2633" i="8"/>
  <c r="C2630" i="8"/>
  <c r="B2658" i="8" s="1"/>
  <c r="B2619" i="8"/>
  <c r="F2600" i="8"/>
  <c r="D2789" i="8" l="1"/>
  <c r="F2736" i="8"/>
  <c r="F2743" i="8" s="1"/>
  <c r="H2889" i="8"/>
  <c r="B2890" i="8"/>
  <c r="B2889" i="8"/>
  <c r="I2892" i="8"/>
  <c r="I2893" i="8" s="1"/>
  <c r="I2894" i="8" s="1"/>
  <c r="I2846" i="8"/>
  <c r="B2844" i="8"/>
  <c r="B2843" i="8"/>
  <c r="H2843" i="8"/>
  <c r="F2843" i="8" s="1"/>
  <c r="I2847" i="8"/>
  <c r="F2827" i="8"/>
  <c r="F2835" i="8" s="1"/>
  <c r="F2789" i="8"/>
  <c r="B2798" i="8"/>
  <c r="A2800" i="8"/>
  <c r="I2800" i="8"/>
  <c r="I2801" i="8" s="1"/>
  <c r="B2797" i="8"/>
  <c r="E2789" i="8"/>
  <c r="D2797" i="8" s="1"/>
  <c r="A2754" i="8"/>
  <c r="H2751" i="8" s="1"/>
  <c r="B2752" i="8"/>
  <c r="I2754" i="8"/>
  <c r="I2755" i="8" s="1"/>
  <c r="B2751" i="8"/>
  <c r="F2697" i="8"/>
  <c r="A2708" i="8"/>
  <c r="B2706" i="8"/>
  <c r="B2705" i="8"/>
  <c r="I2708" i="8"/>
  <c r="I2709" i="8" s="1"/>
  <c r="I2710" i="8" s="1"/>
  <c r="H2705" i="8"/>
  <c r="F2705" i="8" s="1"/>
  <c r="F2651" i="8"/>
  <c r="I2662" i="8"/>
  <c r="I2663" i="8" s="1"/>
  <c r="A2662" i="8"/>
  <c r="H2659" i="8" s="1"/>
  <c r="F2659" i="8" s="1"/>
  <c r="B2659" i="8"/>
  <c r="B2660" i="8"/>
  <c r="F2598" i="8"/>
  <c r="F2599" i="8"/>
  <c r="H2612" i="8"/>
  <c r="L2606" i="8"/>
  <c r="E2605" i="8"/>
  <c r="D2613" i="8" s="1"/>
  <c r="D2605" i="8"/>
  <c r="G2588" i="8"/>
  <c r="G2587" i="8"/>
  <c r="C2584" i="8"/>
  <c r="B2612" i="8" s="1"/>
  <c r="D2551" i="8"/>
  <c r="D2559" i="8" s="1"/>
  <c r="H2566" i="8"/>
  <c r="L2560" i="8"/>
  <c r="E2559" i="8"/>
  <c r="D2567" i="8" s="1"/>
  <c r="G2542" i="8"/>
  <c r="G2541" i="8"/>
  <c r="C2538" i="8"/>
  <c r="B2566" i="8" s="1"/>
  <c r="H2520" i="8"/>
  <c r="L2514" i="8"/>
  <c r="E2513" i="8"/>
  <c r="D2521" i="8" s="1"/>
  <c r="D2513" i="8"/>
  <c r="F2505" i="8"/>
  <c r="G2496" i="8"/>
  <c r="G2495" i="8"/>
  <c r="C2492" i="8"/>
  <c r="B2520" i="8" s="1"/>
  <c r="F2460" i="8"/>
  <c r="H2474" i="8"/>
  <c r="L2468" i="8"/>
  <c r="E2467" i="8"/>
  <c r="D2475" i="8" s="1"/>
  <c r="D2467" i="8"/>
  <c r="F2462" i="8"/>
  <c r="F2461" i="8"/>
  <c r="F2459" i="8"/>
  <c r="G2450" i="8"/>
  <c r="G2449" i="8"/>
  <c r="C2446" i="8"/>
  <c r="B2474" i="8" s="1"/>
  <c r="H2428" i="8"/>
  <c r="L2422" i="8"/>
  <c r="E2421" i="8"/>
  <c r="D2429" i="8" s="1"/>
  <c r="D2421" i="8"/>
  <c r="F2416" i="8"/>
  <c r="F2415" i="8"/>
  <c r="F2414" i="8"/>
  <c r="F2413" i="8"/>
  <c r="G2404" i="8"/>
  <c r="G2403" i="8"/>
  <c r="C2400" i="8"/>
  <c r="B2428" i="8" s="1"/>
  <c r="G2357" i="8"/>
  <c r="F2370" i="8"/>
  <c r="F2551" i="8" l="1"/>
  <c r="F2559" i="8" s="1"/>
  <c r="I2706" i="8"/>
  <c r="J2710" i="8" s="1"/>
  <c r="I2756" i="8"/>
  <c r="F2889" i="8"/>
  <c r="I2890" i="8"/>
  <c r="J2894" i="8" s="1"/>
  <c r="I2844" i="8"/>
  <c r="I2848" i="8"/>
  <c r="H2797" i="8"/>
  <c r="F2797" i="8" s="1"/>
  <c r="I2802" i="8"/>
  <c r="F2751" i="8"/>
  <c r="I2752" i="8"/>
  <c r="I2664" i="8"/>
  <c r="I2660" i="8"/>
  <c r="B2614" i="8"/>
  <c r="A2616" i="8"/>
  <c r="H2613" i="8" s="1"/>
  <c r="F2613" i="8" s="1"/>
  <c r="B2613" i="8"/>
  <c r="I2616" i="8"/>
  <c r="I2617" i="8" s="1"/>
  <c r="F2597" i="8"/>
  <c r="F2605" i="8" s="1"/>
  <c r="A2570" i="8"/>
  <c r="H2567" i="8" s="1"/>
  <c r="F2567" i="8" s="1"/>
  <c r="B2568" i="8"/>
  <c r="B2567" i="8"/>
  <c r="I2570" i="8"/>
  <c r="I2571" i="8" s="1"/>
  <c r="F2513" i="8"/>
  <c r="A2524" i="8"/>
  <c r="H2521" i="8" s="1"/>
  <c r="F2521" i="8" s="1"/>
  <c r="B2522" i="8"/>
  <c r="B2521" i="8"/>
  <c r="I2524" i="8"/>
  <c r="I2525" i="8" s="1"/>
  <c r="F2467" i="8"/>
  <c r="B2476" i="8"/>
  <c r="A2478" i="8"/>
  <c r="H2475" i="8" s="1"/>
  <c r="I2478" i="8"/>
  <c r="I2479" i="8" s="1"/>
  <c r="B2475" i="8"/>
  <c r="F2421" i="8"/>
  <c r="B2430" i="8"/>
  <c r="B2429" i="8"/>
  <c r="A2432" i="8"/>
  <c r="H2429" i="8" s="1"/>
  <c r="I2432" i="8"/>
  <c r="I2433" i="8" s="1"/>
  <c r="I2434" i="8" s="1"/>
  <c r="J2664" i="8" l="1"/>
  <c r="I2572" i="8"/>
  <c r="I2798" i="8"/>
  <c r="J2802" i="8" s="1"/>
  <c r="J2756" i="8"/>
  <c r="J2848" i="8"/>
  <c r="I2618" i="8"/>
  <c r="I2614" i="8"/>
  <c r="I2568" i="8"/>
  <c r="J2572" i="8" s="1"/>
  <c r="I2526" i="8"/>
  <c r="I2522" i="8"/>
  <c r="I2480" i="8"/>
  <c r="F2475" i="8"/>
  <c r="I2476" i="8"/>
  <c r="F2429" i="8"/>
  <c r="I2430" i="8"/>
  <c r="J2434" i="8" s="1"/>
  <c r="J2480" i="8" l="1"/>
  <c r="J2526" i="8"/>
  <c r="J2618" i="8"/>
  <c r="F2369" i="8" l="1"/>
  <c r="F2368" i="8"/>
  <c r="H2382" i="8"/>
  <c r="L2376" i="8"/>
  <c r="E2375" i="8"/>
  <c r="D2383" i="8" s="1"/>
  <c r="D2375" i="8"/>
  <c r="F2367" i="8"/>
  <c r="G2358" i="8"/>
  <c r="C2354" i="8"/>
  <c r="B2382" i="8" s="1"/>
  <c r="H2336" i="8"/>
  <c r="L2330" i="8"/>
  <c r="E2329" i="8"/>
  <c r="D2337" i="8" s="1"/>
  <c r="D2329" i="8"/>
  <c r="F2321" i="8"/>
  <c r="F2329" i="8" s="1"/>
  <c r="G2312" i="8"/>
  <c r="C2308" i="8"/>
  <c r="B2336" i="8" s="1"/>
  <c r="F2279" i="8"/>
  <c r="F2278" i="8"/>
  <c r="F2277" i="8"/>
  <c r="H2287" i="8"/>
  <c r="H2290" i="8" s="1"/>
  <c r="E2283" i="8"/>
  <c r="D2291" i="8" s="1"/>
  <c r="L2284" i="8"/>
  <c r="F2276" i="8"/>
  <c r="F2275" i="8"/>
  <c r="D2283" i="8"/>
  <c r="G2266" i="8"/>
  <c r="C2262" i="8"/>
  <c r="B2290" i="8" s="1"/>
  <c r="D2230" i="8"/>
  <c r="F2230" i="8" s="1"/>
  <c r="D2229" i="8"/>
  <c r="F2229" i="8" s="1"/>
  <c r="H2244" i="8"/>
  <c r="E2237" i="8"/>
  <c r="D2245" i="8" s="1"/>
  <c r="J2235" i="8"/>
  <c r="L2238" i="8" s="1"/>
  <c r="G2220" i="8"/>
  <c r="C2216" i="8"/>
  <c r="B2244" i="8" s="1"/>
  <c r="J2189" i="8"/>
  <c r="L2192" i="8" s="1"/>
  <c r="F2184" i="8"/>
  <c r="H2198" i="8"/>
  <c r="E2191" i="8"/>
  <c r="D2199" i="8" s="1"/>
  <c r="D2191" i="8"/>
  <c r="G2174" i="8"/>
  <c r="C2170" i="8"/>
  <c r="B2198" i="8" s="1"/>
  <c r="D2137" i="8"/>
  <c r="D2145" i="8" s="1"/>
  <c r="C2114" i="8"/>
  <c r="F2094" i="8"/>
  <c r="H2152" i="8"/>
  <c r="L2146" i="8"/>
  <c r="E2145" i="8"/>
  <c r="D2153" i="8" s="1"/>
  <c r="G2128" i="8"/>
  <c r="C2124" i="8"/>
  <c r="B2152" i="8" s="1"/>
  <c r="F2048" i="8"/>
  <c r="F2375" i="8" l="1"/>
  <c r="F2137" i="8"/>
  <c r="D2237" i="8"/>
  <c r="B2245" i="8" s="1"/>
  <c r="A2386" i="8"/>
  <c r="H2383" i="8" s="1"/>
  <c r="B2384" i="8"/>
  <c r="B2383" i="8"/>
  <c r="I2386" i="8"/>
  <c r="I2387" i="8" s="1"/>
  <c r="I2388" i="8" s="1"/>
  <c r="A2340" i="8"/>
  <c r="B2338" i="8"/>
  <c r="B2337" i="8"/>
  <c r="I2340" i="8"/>
  <c r="I2341" i="8" s="1"/>
  <c r="I2342" i="8" s="1"/>
  <c r="H2337" i="8"/>
  <c r="F2337" i="8" s="1"/>
  <c r="F2283" i="8"/>
  <c r="A2294" i="8"/>
  <c r="H2291" i="8" s="1"/>
  <c r="B2291" i="8"/>
  <c r="I2294" i="8"/>
  <c r="I2295" i="8" s="1"/>
  <c r="B2292" i="8"/>
  <c r="F2237" i="8"/>
  <c r="A2248" i="8"/>
  <c r="H2245" i="8" s="1"/>
  <c r="F2245" i="8" s="1"/>
  <c r="B2246" i="8"/>
  <c r="I2248" i="8"/>
  <c r="B2200" i="8"/>
  <c r="A2202" i="8"/>
  <c r="H2199" i="8" s="1"/>
  <c r="B2199" i="8"/>
  <c r="I2202" i="8"/>
  <c r="I2203" i="8" s="1"/>
  <c r="F2183" i="8"/>
  <c r="F2191" i="8" s="1"/>
  <c r="B2154" i="8"/>
  <c r="F2145" i="8"/>
  <c r="A2156" i="8"/>
  <c r="H2153" i="8" s="1"/>
  <c r="B2153" i="8"/>
  <c r="I2156" i="8"/>
  <c r="I2157" i="8" s="1"/>
  <c r="I2249" i="8" l="1"/>
  <c r="I2250" i="8" s="1"/>
  <c r="I2204" i="8"/>
  <c r="I2158" i="8"/>
  <c r="I2246" i="8"/>
  <c r="I2296" i="8"/>
  <c r="F2383" i="8"/>
  <c r="I2384" i="8"/>
  <c r="J2388" i="8" s="1"/>
  <c r="I2338" i="8"/>
  <c r="J2342" i="8" s="1"/>
  <c r="F2291" i="8"/>
  <c r="I2292" i="8"/>
  <c r="J2250" i="8"/>
  <c r="F2199" i="8"/>
  <c r="I2200" i="8"/>
  <c r="F2153" i="8"/>
  <c r="I2154" i="8"/>
  <c r="H2106" i="8"/>
  <c r="L2100" i="8"/>
  <c r="E2099" i="8"/>
  <c r="D2107" i="8" s="1"/>
  <c r="D2099" i="8"/>
  <c r="F2093" i="8"/>
  <c r="F2092" i="8"/>
  <c r="F2091" i="8"/>
  <c r="G2082" i="8"/>
  <c r="C2078" i="8"/>
  <c r="B2106" i="8" s="1"/>
  <c r="N2047" i="8"/>
  <c r="H2060" i="8"/>
  <c r="L2054" i="8"/>
  <c r="E2053" i="8"/>
  <c r="D2061" i="8" s="1"/>
  <c r="D2053" i="8"/>
  <c r="F2047" i="8"/>
  <c r="F2046" i="8"/>
  <c r="F2045" i="8"/>
  <c r="G2036" i="8"/>
  <c r="C2032" i="8"/>
  <c r="B2060" i="8" s="1"/>
  <c r="H2014" i="8"/>
  <c r="L2008" i="8"/>
  <c r="E2007" i="8"/>
  <c r="D2015" i="8" s="1"/>
  <c r="D2007" i="8"/>
  <c r="F2001" i="8"/>
  <c r="F2000" i="8"/>
  <c r="F1999" i="8"/>
  <c r="G1990" i="8"/>
  <c r="C1986" i="8"/>
  <c r="B2014" i="8" s="1"/>
  <c r="C1940" i="8"/>
  <c r="B1968" i="8" s="1"/>
  <c r="H1968" i="8"/>
  <c r="L1962" i="8"/>
  <c r="E1961" i="8"/>
  <c r="D1969" i="8" s="1"/>
  <c r="F1956" i="8"/>
  <c r="F1955" i="8"/>
  <c r="F1954" i="8"/>
  <c r="D1961" i="8"/>
  <c r="G1944" i="8"/>
  <c r="D1907" i="8"/>
  <c r="D1915" i="8" s="1"/>
  <c r="H1922" i="8"/>
  <c r="L1916" i="8"/>
  <c r="E1915" i="8"/>
  <c r="D1923" i="8" s="1"/>
  <c r="F1911" i="8"/>
  <c r="F1910" i="8"/>
  <c r="F1909" i="8"/>
  <c r="F1908" i="8"/>
  <c r="G1898" i="8"/>
  <c r="C1894" i="8"/>
  <c r="B1922" i="8" s="1"/>
  <c r="C1884" i="8"/>
  <c r="F1864" i="8"/>
  <c r="H1872" i="8"/>
  <c r="J2204" i="8" l="1"/>
  <c r="J2296" i="8"/>
  <c r="J2158" i="8"/>
  <c r="F2053" i="8"/>
  <c r="F2099" i="8"/>
  <c r="A2110" i="8"/>
  <c r="H2107" i="8" s="1"/>
  <c r="B2108" i="8"/>
  <c r="B2107" i="8"/>
  <c r="I2110" i="8"/>
  <c r="I2111" i="8" s="1"/>
  <c r="A2064" i="8"/>
  <c r="H2061" i="8" s="1"/>
  <c r="B2061" i="8"/>
  <c r="B2062" i="8"/>
  <c r="I2064" i="8"/>
  <c r="I2065" i="8" s="1"/>
  <c r="F2007" i="8"/>
  <c r="A2018" i="8"/>
  <c r="H2015" i="8" s="1"/>
  <c r="B2015" i="8"/>
  <c r="I2018" i="8"/>
  <c r="I2019" i="8" s="1"/>
  <c r="B2016" i="8"/>
  <c r="B1970" i="8"/>
  <c r="A1972" i="8"/>
  <c r="H1969" i="8" s="1"/>
  <c r="B1969" i="8"/>
  <c r="I1972" i="8"/>
  <c r="I1973" i="8" s="1"/>
  <c r="F1953" i="8"/>
  <c r="F1961" i="8" s="1"/>
  <c r="F1907" i="8"/>
  <c r="B1924" i="8"/>
  <c r="F1915" i="8"/>
  <c r="I1926" i="8"/>
  <c r="I1927" i="8" s="1"/>
  <c r="B1923" i="8"/>
  <c r="A1926" i="8"/>
  <c r="H1923" i="8" s="1"/>
  <c r="I2066" i="8" l="1"/>
  <c r="I2112" i="8"/>
  <c r="F2107" i="8"/>
  <c r="I2108" i="8"/>
  <c r="J2112" i="8" s="1"/>
  <c r="F2061" i="8"/>
  <c r="I2062" i="8"/>
  <c r="J2066" i="8" s="1"/>
  <c r="I2020" i="8"/>
  <c r="F2015" i="8"/>
  <c r="I2016" i="8"/>
  <c r="F1969" i="8"/>
  <c r="I1970" i="8"/>
  <c r="I1974" i="8"/>
  <c r="I1928" i="8"/>
  <c r="F1923" i="8"/>
  <c r="I1924" i="8"/>
  <c r="J2020" i="8" l="1"/>
  <c r="J1974" i="8"/>
  <c r="J1928" i="8"/>
  <c r="C1847" i="8"/>
  <c r="D1770" i="8"/>
  <c r="C1754" i="8"/>
  <c r="H1875" i="8" l="1"/>
  <c r="L1869" i="8"/>
  <c r="E1868" i="8"/>
  <c r="D1876" i="8" s="1"/>
  <c r="D1868" i="8"/>
  <c r="F1863" i="8"/>
  <c r="F1862" i="8"/>
  <c r="F1861" i="8"/>
  <c r="F1860" i="8"/>
  <c r="G1851" i="8"/>
  <c r="B1875" i="8"/>
  <c r="H1828" i="8"/>
  <c r="L1822" i="8"/>
  <c r="E1821" i="8"/>
  <c r="D1829" i="8" s="1"/>
  <c r="D1821" i="8"/>
  <c r="F1816" i="8"/>
  <c r="F1815" i="8"/>
  <c r="F1814" i="8"/>
  <c r="F1813" i="8"/>
  <c r="G1804" i="8"/>
  <c r="C1800" i="8"/>
  <c r="B1828" i="8" s="1"/>
  <c r="H1782" i="8"/>
  <c r="L1776" i="8"/>
  <c r="E1775" i="8"/>
  <c r="D1783" i="8" s="1"/>
  <c r="D1775" i="8"/>
  <c r="F1770" i="8"/>
  <c r="F1769" i="8"/>
  <c r="F1768" i="8"/>
  <c r="F1767" i="8"/>
  <c r="G1758" i="8"/>
  <c r="B1782" i="8"/>
  <c r="H1736" i="8"/>
  <c r="L1730" i="8"/>
  <c r="E1729" i="8"/>
  <c r="D1737" i="8" s="1"/>
  <c r="D1729" i="8"/>
  <c r="F1723" i="8"/>
  <c r="F1722" i="8"/>
  <c r="F1721" i="8"/>
  <c r="G1712" i="8"/>
  <c r="C1708" i="8"/>
  <c r="B1736" i="8" s="1"/>
  <c r="B1737" i="8" l="1"/>
  <c r="F1729" i="8"/>
  <c r="F1821" i="8"/>
  <c r="F1868" i="8"/>
  <c r="F1775" i="8"/>
  <c r="A1879" i="8"/>
  <c r="H1876" i="8" s="1"/>
  <c r="B1877" i="8"/>
  <c r="B1876" i="8"/>
  <c r="I1879" i="8"/>
  <c r="I1880" i="8" s="1"/>
  <c r="A1832" i="8"/>
  <c r="B1829" i="8"/>
  <c r="B1830" i="8"/>
  <c r="I1832" i="8"/>
  <c r="I1833" i="8" s="1"/>
  <c r="H1829" i="8"/>
  <c r="F1829" i="8" s="1"/>
  <c r="A1786" i="8"/>
  <c r="H1783" i="8" s="1"/>
  <c r="B1784" i="8"/>
  <c r="B1783" i="8"/>
  <c r="I1786" i="8"/>
  <c r="I1787" i="8" s="1"/>
  <c r="B1738" i="8"/>
  <c r="I1740" i="8"/>
  <c r="I1741" i="8" s="1"/>
  <c r="A1740" i="8"/>
  <c r="H1737" i="8" s="1"/>
  <c r="I1742" i="8" l="1"/>
  <c r="I1834" i="8"/>
  <c r="I1881" i="8"/>
  <c r="I1788" i="8"/>
  <c r="F1876" i="8"/>
  <c r="I1877" i="8"/>
  <c r="I1830" i="8"/>
  <c r="F1783" i="8"/>
  <c r="I1784" i="8"/>
  <c r="J1788" i="8" s="1"/>
  <c r="F1737" i="8"/>
  <c r="I1738" i="8"/>
  <c r="J1742" i="8" l="1"/>
  <c r="J1834" i="8"/>
  <c r="J1881" i="8"/>
  <c r="H1690" i="8" l="1"/>
  <c r="L1684" i="8"/>
  <c r="E1683" i="8"/>
  <c r="D1691" i="8" s="1"/>
  <c r="D1683" i="8"/>
  <c r="F1677" i="8"/>
  <c r="F1676" i="8"/>
  <c r="F1675" i="8"/>
  <c r="G1666" i="8"/>
  <c r="C1662" i="8"/>
  <c r="B1690" i="8" s="1"/>
  <c r="D1632" i="8"/>
  <c r="D1637" i="8" s="1"/>
  <c r="H1644" i="8"/>
  <c r="L1638" i="8"/>
  <c r="E1637" i="8"/>
  <c r="D1645" i="8" s="1"/>
  <c r="F1631" i="8"/>
  <c r="F1630" i="8"/>
  <c r="F1629" i="8"/>
  <c r="G1620" i="8"/>
  <c r="C1616" i="8"/>
  <c r="B1644" i="8" s="1"/>
  <c r="A1648" i="8" s="1"/>
  <c r="F1586" i="8"/>
  <c r="F1585" i="8"/>
  <c r="F1584" i="8"/>
  <c r="H1598" i="8"/>
  <c r="L1592" i="8"/>
  <c r="E1591" i="8"/>
  <c r="D1599" i="8" s="1"/>
  <c r="D1591" i="8"/>
  <c r="F1583" i="8"/>
  <c r="G1574" i="8"/>
  <c r="C1570" i="8"/>
  <c r="B1598" i="8" s="1"/>
  <c r="A1602" i="8" s="1"/>
  <c r="H1552" i="8"/>
  <c r="L1546" i="8"/>
  <c r="E1545" i="8"/>
  <c r="D1553" i="8" s="1"/>
  <c r="D1545" i="8"/>
  <c r="F1537" i="8"/>
  <c r="F1545" i="8" s="1"/>
  <c r="G1528" i="8"/>
  <c r="C1524" i="8"/>
  <c r="B1552" i="8" s="1"/>
  <c r="B1503" i="8"/>
  <c r="H1506" i="8" s="1"/>
  <c r="L1500" i="8"/>
  <c r="E1499" i="8"/>
  <c r="D1507" i="8" s="1"/>
  <c r="D1499" i="8"/>
  <c r="F1492" i="8"/>
  <c r="F1491" i="8"/>
  <c r="G1482" i="8"/>
  <c r="C1478" i="8"/>
  <c r="B1506" i="8" s="1"/>
  <c r="A1510" i="8" s="1"/>
  <c r="F1591" i="8" l="1"/>
  <c r="F1632" i="8"/>
  <c r="B1692" i="8"/>
  <c r="A1694" i="8"/>
  <c r="H1691" i="8" s="1"/>
  <c r="B1691" i="8"/>
  <c r="I1694" i="8"/>
  <c r="I1695" i="8" s="1"/>
  <c r="F1678" i="8"/>
  <c r="F1683" i="8" s="1"/>
  <c r="F1637" i="8"/>
  <c r="H1645" i="8"/>
  <c r="B1646" i="8"/>
  <c r="B1645" i="8"/>
  <c r="I1648" i="8"/>
  <c r="I1649" i="8" s="1"/>
  <c r="B1599" i="8"/>
  <c r="I1602" i="8"/>
  <c r="I1603" i="8" s="1"/>
  <c r="I1604" i="8" s="1"/>
  <c r="B1600" i="8"/>
  <c r="H1599" i="8"/>
  <c r="F1599" i="8" s="1"/>
  <c r="A1556" i="8"/>
  <c r="H1553" i="8" s="1"/>
  <c r="F1553" i="8" s="1"/>
  <c r="B1554" i="8"/>
  <c r="I1556" i="8"/>
  <c r="I1557" i="8" s="1"/>
  <c r="I1558" i="8" s="1"/>
  <c r="B1553" i="8"/>
  <c r="F1499" i="8"/>
  <c r="H1507" i="8"/>
  <c r="B1508" i="8"/>
  <c r="B1507" i="8"/>
  <c r="I1510" i="8"/>
  <c r="I1511" i="8" s="1"/>
  <c r="M1439" i="8"/>
  <c r="H1460" i="8"/>
  <c r="L1454" i="8"/>
  <c r="E1453" i="8"/>
  <c r="D1461" i="8" s="1"/>
  <c r="D1453" i="8"/>
  <c r="F1448" i="8"/>
  <c r="F1447" i="8"/>
  <c r="F1446" i="8"/>
  <c r="F1445" i="8"/>
  <c r="G1436" i="8"/>
  <c r="C1432" i="8"/>
  <c r="B1460" i="8" s="1"/>
  <c r="A1464" i="8" s="1"/>
  <c r="F1691" i="8" l="1"/>
  <c r="I1692" i="8"/>
  <c r="I1696" i="8"/>
  <c r="I1650" i="8"/>
  <c r="F1645" i="8"/>
  <c r="I1646" i="8"/>
  <c r="J1650" i="8" s="1"/>
  <c r="I1600" i="8"/>
  <c r="J1604" i="8" s="1"/>
  <c r="I1554" i="8"/>
  <c r="J1558" i="8" s="1"/>
  <c r="I1512" i="8"/>
  <c r="F1507" i="8"/>
  <c r="I1508" i="8"/>
  <c r="F1453" i="8"/>
  <c r="H1461" i="8"/>
  <c r="B1462" i="8"/>
  <c r="B1461" i="8"/>
  <c r="I1464" i="8"/>
  <c r="I1465" i="8" s="1"/>
  <c r="J1512" i="8" l="1"/>
  <c r="J1696" i="8"/>
  <c r="I1466" i="8"/>
  <c r="F1461" i="8"/>
  <c r="I1462" i="8"/>
  <c r="J1466" i="8" l="1"/>
  <c r="F1402" i="8" l="1"/>
  <c r="H1414" i="8"/>
  <c r="L1408" i="8"/>
  <c r="E1407" i="8"/>
  <c r="D1415" i="8" s="1"/>
  <c r="D1407" i="8"/>
  <c r="F1401" i="8"/>
  <c r="F1400" i="8"/>
  <c r="F1399" i="8"/>
  <c r="G1390" i="8"/>
  <c r="C1386" i="8"/>
  <c r="B1414" i="8" s="1"/>
  <c r="A1418" i="8" s="1"/>
  <c r="H1368" i="8"/>
  <c r="L1362" i="8"/>
  <c r="E1361" i="8"/>
  <c r="D1369" i="8" s="1"/>
  <c r="D1361" i="8"/>
  <c r="F1355" i="8"/>
  <c r="F1354" i="8"/>
  <c r="F1353" i="8"/>
  <c r="G1344" i="8"/>
  <c r="C1340" i="8"/>
  <c r="B1368" i="8" s="1"/>
  <c r="H1322" i="8"/>
  <c r="L1316" i="8"/>
  <c r="E1315" i="8"/>
  <c r="D1323" i="8" s="1"/>
  <c r="D1315" i="8"/>
  <c r="F1310" i="8"/>
  <c r="F1309" i="8"/>
  <c r="F1308" i="8"/>
  <c r="F1307" i="8"/>
  <c r="G1298" i="8"/>
  <c r="C1294" i="8"/>
  <c r="B1322" i="8" s="1"/>
  <c r="C1248" i="8"/>
  <c r="B1276" i="8" s="1"/>
  <c r="A1280" i="8" s="1"/>
  <c r="H1276" i="8"/>
  <c r="L1270" i="8"/>
  <c r="E1269" i="8"/>
  <c r="D1277" i="8" s="1"/>
  <c r="D1269" i="8"/>
  <c r="F1264" i="8"/>
  <c r="F1263" i="8"/>
  <c r="F1262" i="8"/>
  <c r="F1261" i="8"/>
  <c r="G1252" i="8"/>
  <c r="F1407" i="8" l="1"/>
  <c r="H1415" i="8"/>
  <c r="I1418" i="8"/>
  <c r="I1419" i="8" s="1"/>
  <c r="B1416" i="8"/>
  <c r="B1415" i="8"/>
  <c r="F1361" i="8"/>
  <c r="A1372" i="8"/>
  <c r="H1369" i="8" s="1"/>
  <c r="B1370" i="8"/>
  <c r="B1369" i="8"/>
  <c r="I1372" i="8"/>
  <c r="I1373" i="8" s="1"/>
  <c r="F1315" i="8"/>
  <c r="A1326" i="8"/>
  <c r="H1323" i="8" s="1"/>
  <c r="B1323" i="8"/>
  <c r="B1324" i="8"/>
  <c r="I1326" i="8"/>
  <c r="I1327" i="8" s="1"/>
  <c r="I1328" i="8" s="1"/>
  <c r="F1269" i="8"/>
  <c r="H1277" i="8"/>
  <c r="I1278" i="8" s="1"/>
  <c r="B1278" i="8"/>
  <c r="B1277" i="8"/>
  <c r="I1280" i="8"/>
  <c r="I1281" i="8" s="1"/>
  <c r="F1170" i="8"/>
  <c r="I1420" i="8" l="1"/>
  <c r="F1415" i="8"/>
  <c r="I1416" i="8"/>
  <c r="I1374" i="8"/>
  <c r="F1369" i="8"/>
  <c r="I1370" i="8"/>
  <c r="F1323" i="8"/>
  <c r="I1324" i="8"/>
  <c r="J1328" i="8" s="1"/>
  <c r="I1282" i="8"/>
  <c r="J1282" i="8" s="1"/>
  <c r="F1277" i="8"/>
  <c r="C1202" i="8"/>
  <c r="B1230" i="8" s="1"/>
  <c r="H1230" i="8"/>
  <c r="L1224" i="8"/>
  <c r="E1223" i="8"/>
  <c r="D1231" i="8" s="1"/>
  <c r="D1223" i="8"/>
  <c r="F1218" i="8"/>
  <c r="F1217" i="8"/>
  <c r="F1216" i="8"/>
  <c r="F1215" i="8"/>
  <c r="G1206" i="8"/>
  <c r="C1155" i="8"/>
  <c r="B1183" i="8" s="1"/>
  <c r="A1187" i="8" s="1"/>
  <c r="H1183" i="8"/>
  <c r="L1177" i="8"/>
  <c r="E1176" i="8"/>
  <c r="D1184" i="8" s="1"/>
  <c r="D1176" i="8"/>
  <c r="F1169" i="8"/>
  <c r="F1168" i="8"/>
  <c r="G1159" i="8"/>
  <c r="E1130" i="8"/>
  <c r="D1138" i="8" s="1"/>
  <c r="C1109" i="8"/>
  <c r="B1137" i="8" s="1"/>
  <c r="F1124" i="8"/>
  <c r="F1125" i="8"/>
  <c r="F1123" i="8"/>
  <c r="H1137" i="8"/>
  <c r="L1131" i="8"/>
  <c r="D1130" i="8"/>
  <c r="G1113" i="8"/>
  <c r="D1075" i="8"/>
  <c r="D1083" i="8" s="1"/>
  <c r="H1090" i="8"/>
  <c r="L1084" i="8"/>
  <c r="E1083" i="8"/>
  <c r="D1091" i="8" s="1"/>
  <c r="F1075" i="8"/>
  <c r="G1066" i="8"/>
  <c r="C1062" i="8"/>
  <c r="B1090" i="8" s="1"/>
  <c r="E1030" i="8"/>
  <c r="D1030" i="8"/>
  <c r="H1044" i="8"/>
  <c r="L1038" i="8"/>
  <c r="E1037" i="8"/>
  <c r="D1045" i="8" s="1"/>
  <c r="D1037" i="8"/>
  <c r="F1031" i="8"/>
  <c r="F1029" i="8"/>
  <c r="G1020" i="8"/>
  <c r="C1016" i="8"/>
  <c r="B1044" i="8" s="1"/>
  <c r="F1030" i="8" l="1"/>
  <c r="F1037" i="8" s="1"/>
  <c r="F1176" i="8"/>
  <c r="J1420" i="8"/>
  <c r="J1374" i="8"/>
  <c r="F1223" i="8"/>
  <c r="A1234" i="8"/>
  <c r="H1231" i="8" s="1"/>
  <c r="I1232" i="8" s="1"/>
  <c r="B1231" i="8"/>
  <c r="I1234" i="8"/>
  <c r="I1235" i="8" s="1"/>
  <c r="B1232" i="8"/>
  <c r="B1185" i="8"/>
  <c r="H1184" i="8"/>
  <c r="B1184" i="8"/>
  <c r="I1187" i="8"/>
  <c r="I1188" i="8" s="1"/>
  <c r="B1139" i="8"/>
  <c r="A1141" i="8"/>
  <c r="H1138" i="8" s="1"/>
  <c r="F1138" i="8" s="1"/>
  <c r="I1141" i="8"/>
  <c r="I1142" i="8" s="1"/>
  <c r="B1138" i="8"/>
  <c r="F1122" i="8"/>
  <c r="F1130" i="8" s="1"/>
  <c r="B1092" i="8"/>
  <c r="A1094" i="8"/>
  <c r="H1091" i="8" s="1"/>
  <c r="I1094" i="8"/>
  <c r="I1095" i="8" s="1"/>
  <c r="B1091" i="8"/>
  <c r="F1083" i="8"/>
  <c r="A1048" i="8"/>
  <c r="H1045" i="8" s="1"/>
  <c r="B1045" i="8"/>
  <c r="I1048" i="8"/>
  <c r="I1049" i="8" s="1"/>
  <c r="B1046" i="8"/>
  <c r="I1189" i="8" l="1"/>
  <c r="I1236" i="8"/>
  <c r="J1236" i="8" s="1"/>
  <c r="F1231" i="8"/>
  <c r="F1184" i="8"/>
  <c r="I1185" i="8"/>
  <c r="J1189" i="8" s="1"/>
  <c r="I1143" i="8"/>
  <c r="I1139" i="8"/>
  <c r="F1091" i="8"/>
  <c r="I1092" i="8"/>
  <c r="I1096" i="8"/>
  <c r="I1050" i="8"/>
  <c r="F1045" i="8"/>
  <c r="I1046" i="8"/>
  <c r="J1050" i="8" l="1"/>
  <c r="J1143" i="8"/>
  <c r="J1096" i="8"/>
  <c r="H998" i="8" l="1"/>
  <c r="L992" i="8"/>
  <c r="E991" i="8"/>
  <c r="D999" i="8" s="1"/>
  <c r="F986" i="8"/>
  <c r="F985" i="8"/>
  <c r="F984" i="8"/>
  <c r="F983" i="8"/>
  <c r="G974" i="8"/>
  <c r="C970" i="8"/>
  <c r="B998" i="8" s="1"/>
  <c r="A1002" i="8" s="1"/>
  <c r="H949" i="8"/>
  <c r="D940" i="8"/>
  <c r="F940" i="8" s="1"/>
  <c r="D939" i="8"/>
  <c r="C924" i="8"/>
  <c r="B952" i="8" s="1"/>
  <c r="A956" i="8" s="1"/>
  <c r="H952" i="8"/>
  <c r="L946" i="8"/>
  <c r="E945" i="8"/>
  <c r="D953" i="8" s="1"/>
  <c r="F938" i="8"/>
  <c r="F937" i="8"/>
  <c r="G928" i="8"/>
  <c r="C878" i="8"/>
  <c r="B906" i="8" s="1"/>
  <c r="A910" i="8" s="1"/>
  <c r="H906" i="8"/>
  <c r="L900" i="8"/>
  <c r="E899" i="8"/>
  <c r="D907" i="8" s="1"/>
  <c r="F894" i="8"/>
  <c r="F893" i="8"/>
  <c r="F892" i="8"/>
  <c r="F891" i="8"/>
  <c r="G882" i="8"/>
  <c r="H858" i="8"/>
  <c r="H861" i="8" s="1"/>
  <c r="C833" i="8"/>
  <c r="B861" i="8" s="1"/>
  <c r="A865" i="8" s="1"/>
  <c r="D849" i="8"/>
  <c r="F849" i="8" s="1"/>
  <c r="L855" i="8"/>
  <c r="E854" i="8"/>
  <c r="D862" i="8" s="1"/>
  <c r="F848" i="8"/>
  <c r="F847" i="8"/>
  <c r="F846" i="8"/>
  <c r="G837" i="8"/>
  <c r="C787" i="8"/>
  <c r="B815" i="8" s="1"/>
  <c r="H815" i="8"/>
  <c r="L809" i="8"/>
  <c r="E808" i="8"/>
  <c r="D816" i="8" s="1"/>
  <c r="D808" i="8"/>
  <c r="F802" i="8"/>
  <c r="F801" i="8"/>
  <c r="F800" i="8"/>
  <c r="G791" i="8"/>
  <c r="C742" i="8"/>
  <c r="B770" i="8" s="1"/>
  <c r="H770" i="8"/>
  <c r="L764" i="8"/>
  <c r="E763" i="8"/>
  <c r="D771" i="8" s="1"/>
  <c r="D763" i="8"/>
  <c r="F757" i="8"/>
  <c r="F756" i="8"/>
  <c r="F755" i="8"/>
  <c r="G746" i="8"/>
  <c r="E701" i="8"/>
  <c r="D854" i="8" l="1"/>
  <c r="B862" i="8" s="1"/>
  <c r="F808" i="8"/>
  <c r="F763" i="8"/>
  <c r="F854" i="8"/>
  <c r="F991" i="8"/>
  <c r="H999" i="8"/>
  <c r="I1002" i="8"/>
  <c r="D991" i="8"/>
  <c r="B1000" i="8" s="1"/>
  <c r="D945" i="8"/>
  <c r="B953" i="8" s="1"/>
  <c r="F939" i="8"/>
  <c r="F945" i="8" s="1"/>
  <c r="I956" i="8"/>
  <c r="H953" i="8"/>
  <c r="F953" i="8" s="1"/>
  <c r="F899" i="8"/>
  <c r="H907" i="8"/>
  <c r="I910" i="8"/>
  <c r="D899" i="8"/>
  <c r="B908" i="8" s="1"/>
  <c r="H862" i="8"/>
  <c r="I865" i="8"/>
  <c r="I866" i="8" s="1"/>
  <c r="B863" i="8"/>
  <c r="A819" i="8"/>
  <c r="H816" i="8" s="1"/>
  <c r="F816" i="8" s="1"/>
  <c r="I819" i="8"/>
  <c r="I820" i="8" s="1"/>
  <c r="I821" i="8" s="1"/>
  <c r="B817" i="8"/>
  <c r="B816" i="8"/>
  <c r="A774" i="8"/>
  <c r="B772" i="8"/>
  <c r="B771" i="8"/>
  <c r="I774" i="8"/>
  <c r="I775" i="8" s="1"/>
  <c r="H771" i="8"/>
  <c r="F771" i="8" s="1"/>
  <c r="I867" i="8" l="1"/>
  <c r="B954" i="8"/>
  <c r="I957" i="8"/>
  <c r="I776" i="8"/>
  <c r="I1003" i="8"/>
  <c r="I1004" i="8" s="1"/>
  <c r="B999" i="8"/>
  <c r="F999" i="8"/>
  <c r="I1000" i="8"/>
  <c r="I958" i="8"/>
  <c r="I954" i="8"/>
  <c r="I911" i="8"/>
  <c r="I912" i="8" s="1"/>
  <c r="B907" i="8"/>
  <c r="F907" i="8"/>
  <c r="I908" i="8"/>
  <c r="F862" i="8"/>
  <c r="I863" i="8"/>
  <c r="J867" i="8" s="1"/>
  <c r="I817" i="8"/>
  <c r="J821" i="8" s="1"/>
  <c r="I772" i="8"/>
  <c r="J776" i="8" s="1"/>
  <c r="C696" i="8"/>
  <c r="B724" i="8" s="1"/>
  <c r="H724" i="8"/>
  <c r="L718" i="8"/>
  <c r="E717" i="8"/>
  <c r="D725" i="8" s="1"/>
  <c r="D717" i="8"/>
  <c r="F711" i="8"/>
  <c r="F710" i="8"/>
  <c r="F709" i="8"/>
  <c r="G700" i="8"/>
  <c r="J1004" i="8" l="1"/>
  <c r="J958" i="8"/>
  <c r="J912" i="8"/>
  <c r="F717" i="8"/>
  <c r="B726" i="8"/>
  <c r="A728" i="8"/>
  <c r="H725" i="8" s="1"/>
  <c r="B725" i="8"/>
  <c r="I728" i="8"/>
  <c r="I729" i="8" s="1"/>
  <c r="I730" i="8" l="1"/>
  <c r="F725" i="8"/>
  <c r="I726" i="8"/>
  <c r="J730" i="8" l="1"/>
  <c r="H679" i="8"/>
  <c r="L673" i="8"/>
  <c r="E672" i="8"/>
  <c r="D680" i="8" s="1"/>
  <c r="D672" i="8"/>
  <c r="F666" i="8"/>
  <c r="F665" i="8"/>
  <c r="F664" i="8"/>
  <c r="G655" i="8"/>
  <c r="C651" i="8"/>
  <c r="B679" i="8" s="1"/>
  <c r="H633" i="8"/>
  <c r="L627" i="8"/>
  <c r="E626" i="8"/>
  <c r="D634" i="8" s="1"/>
  <c r="F620" i="8"/>
  <c r="F619" i="8"/>
  <c r="D626" i="8"/>
  <c r="F618" i="8"/>
  <c r="G609" i="8"/>
  <c r="C605" i="8"/>
  <c r="B633" i="8" s="1"/>
  <c r="C559" i="8"/>
  <c r="B587" i="8" s="1"/>
  <c r="D574" i="8"/>
  <c r="E573" i="8"/>
  <c r="D573" i="8"/>
  <c r="P574" i="8"/>
  <c r="O577" i="8"/>
  <c r="O575" i="8"/>
  <c r="H587" i="8"/>
  <c r="L581" i="8"/>
  <c r="F572" i="8"/>
  <c r="G563" i="8"/>
  <c r="J526" i="8"/>
  <c r="L535" i="8" s="1"/>
  <c r="D528" i="8"/>
  <c r="D534" i="8" s="1"/>
  <c r="C513" i="8"/>
  <c r="B541" i="8" s="1"/>
  <c r="A545" i="8" s="1"/>
  <c r="H541" i="8"/>
  <c r="E534" i="8"/>
  <c r="D542" i="8" s="1"/>
  <c r="F527" i="8"/>
  <c r="F526" i="8"/>
  <c r="G517" i="8"/>
  <c r="D483" i="8"/>
  <c r="D580" i="8" l="1"/>
  <c r="F573" i="8"/>
  <c r="F672" i="8"/>
  <c r="A683" i="8"/>
  <c r="H680" i="8" s="1"/>
  <c r="B681" i="8"/>
  <c r="I683" i="8"/>
  <c r="I684" i="8" s="1"/>
  <c r="B680" i="8"/>
  <c r="B635" i="8"/>
  <c r="A637" i="8"/>
  <c r="H634" i="8" s="1"/>
  <c r="B634" i="8"/>
  <c r="I637" i="8"/>
  <c r="I638" i="8" s="1"/>
  <c r="F626" i="8"/>
  <c r="E580" i="8"/>
  <c r="D588" i="8" s="1"/>
  <c r="A591" i="8"/>
  <c r="I591" i="8"/>
  <c r="I592" i="8" s="1"/>
  <c r="B588" i="8"/>
  <c r="B589" i="8"/>
  <c r="F574" i="8"/>
  <c r="B543" i="8"/>
  <c r="H542" i="8"/>
  <c r="B542" i="8"/>
  <c r="I545" i="8"/>
  <c r="I546" i="8" s="1"/>
  <c r="F528" i="8"/>
  <c r="F534" i="8" s="1"/>
  <c r="F580" i="8" l="1"/>
  <c r="I685" i="8"/>
  <c r="F680" i="8"/>
  <c r="I681" i="8"/>
  <c r="I639" i="8"/>
  <c r="F634" i="8"/>
  <c r="I635" i="8"/>
  <c r="H588" i="8"/>
  <c r="F588" i="8" s="1"/>
  <c r="I593" i="8"/>
  <c r="F542" i="8"/>
  <c r="I543" i="8"/>
  <c r="I547" i="8"/>
  <c r="J685" i="8" l="1"/>
  <c r="J639" i="8"/>
  <c r="I589" i="8"/>
  <c r="J593" i="8"/>
  <c r="J547" i="8"/>
  <c r="H496" i="8"/>
  <c r="L490" i="8"/>
  <c r="E489" i="8"/>
  <c r="D497" i="8" s="1"/>
  <c r="D489" i="8"/>
  <c r="F483" i="8"/>
  <c r="F482" i="8"/>
  <c r="F481" i="8"/>
  <c r="G472" i="8"/>
  <c r="C468" i="8"/>
  <c r="B496" i="8" s="1"/>
  <c r="C422" i="8"/>
  <c r="B450" i="8" s="1"/>
  <c r="H450" i="8"/>
  <c r="L444" i="8"/>
  <c r="E443" i="8"/>
  <c r="D451" i="8" s="1"/>
  <c r="D443" i="8"/>
  <c r="F437" i="8"/>
  <c r="F436" i="8"/>
  <c r="F435" i="8"/>
  <c r="G426" i="8"/>
  <c r="C376" i="8"/>
  <c r="H404" i="8"/>
  <c r="F391" i="8"/>
  <c r="D397" i="8"/>
  <c r="F390" i="8"/>
  <c r="L398" i="8"/>
  <c r="F389" i="8"/>
  <c r="G380" i="8"/>
  <c r="B404" i="8"/>
  <c r="F347" i="8"/>
  <c r="E346" i="8"/>
  <c r="D346" i="8"/>
  <c r="D352" i="8" s="1"/>
  <c r="H359" i="8"/>
  <c r="F345" i="8"/>
  <c r="L353" i="8"/>
  <c r="F344" i="8"/>
  <c r="G335" i="8"/>
  <c r="C331" i="8"/>
  <c r="B359" i="8" s="1"/>
  <c r="J298" i="8"/>
  <c r="D299" i="8"/>
  <c r="F299" i="8" s="1"/>
  <c r="D298" i="8"/>
  <c r="F298" i="8" s="1"/>
  <c r="H313" i="8"/>
  <c r="L307" i="8"/>
  <c r="E306" i="8"/>
  <c r="D314" i="8" s="1"/>
  <c r="G289" i="8"/>
  <c r="C285" i="8"/>
  <c r="B313" i="8" s="1"/>
  <c r="A317" i="8" s="1"/>
  <c r="H264" i="8"/>
  <c r="D254" i="8"/>
  <c r="N298" i="8" l="1"/>
  <c r="N299" i="8" s="1"/>
  <c r="F346" i="8"/>
  <c r="F352" i="8" s="1"/>
  <c r="E352" i="8"/>
  <c r="D360" i="8" s="1"/>
  <c r="F397" i="8"/>
  <c r="F489" i="8"/>
  <c r="A500" i="8"/>
  <c r="H497" i="8" s="1"/>
  <c r="B497" i="8"/>
  <c r="I500" i="8"/>
  <c r="I501" i="8" s="1"/>
  <c r="B498" i="8"/>
  <c r="F443" i="8"/>
  <c r="A454" i="8"/>
  <c r="H451" i="8" s="1"/>
  <c r="I452" i="8" s="1"/>
  <c r="B451" i="8"/>
  <c r="I454" i="8"/>
  <c r="I455" i="8" s="1"/>
  <c r="B452" i="8"/>
  <c r="B406" i="8"/>
  <c r="A408" i="8"/>
  <c r="I408" i="8"/>
  <c r="I409" i="8" s="1"/>
  <c r="B405" i="8"/>
  <c r="E397" i="8"/>
  <c r="D405" i="8" s="1"/>
  <c r="B361" i="8"/>
  <c r="A363" i="8"/>
  <c r="B360" i="8"/>
  <c r="I363" i="8"/>
  <c r="I364" i="8" s="1"/>
  <c r="F306" i="8"/>
  <c r="I317" i="8"/>
  <c r="H314" i="8"/>
  <c r="F314" i="8" s="1"/>
  <c r="D306" i="8"/>
  <c r="B315" i="8" s="1"/>
  <c r="I410" i="8" l="1"/>
  <c r="I365" i="8"/>
  <c r="H360" i="8"/>
  <c r="I361" i="8" s="1"/>
  <c r="I456" i="8"/>
  <c r="J456" i="8" s="1"/>
  <c r="I502" i="8"/>
  <c r="F497" i="8"/>
  <c r="I498" i="8"/>
  <c r="F451" i="8"/>
  <c r="H405" i="8"/>
  <c r="F405" i="8" s="1"/>
  <c r="B314" i="8"/>
  <c r="I318" i="8"/>
  <c r="I319" i="8" s="1"/>
  <c r="I315" i="8"/>
  <c r="J365" i="8" l="1"/>
  <c r="F360" i="8"/>
  <c r="J502" i="8"/>
  <c r="I406" i="8"/>
  <c r="J410" i="8" s="1"/>
  <c r="J319" i="8"/>
  <c r="H267" i="8" l="1"/>
  <c r="L261" i="8"/>
  <c r="E260" i="8"/>
  <c r="D268" i="8" s="1"/>
  <c r="D260" i="8"/>
  <c r="F254" i="8"/>
  <c r="F253" i="8"/>
  <c r="F252" i="8"/>
  <c r="G243" i="8"/>
  <c r="C239" i="8"/>
  <c r="B267" i="8" s="1"/>
  <c r="A271" i="8" s="1"/>
  <c r="H221" i="8"/>
  <c r="L215" i="8"/>
  <c r="E214" i="8"/>
  <c r="D222" i="8" s="1"/>
  <c r="D214" i="8"/>
  <c r="F208" i="8"/>
  <c r="F207" i="8"/>
  <c r="F206" i="8"/>
  <c r="G197" i="8"/>
  <c r="C193" i="8"/>
  <c r="B221" i="8" s="1"/>
  <c r="D163" i="8"/>
  <c r="F163" i="8" s="1"/>
  <c r="F162" i="8"/>
  <c r="H175" i="8"/>
  <c r="E168" i="8"/>
  <c r="D176" i="8" s="1"/>
  <c r="D168" i="8"/>
  <c r="F161" i="8"/>
  <c r="L169" i="8"/>
  <c r="F160" i="8"/>
  <c r="G151" i="8"/>
  <c r="C147" i="8"/>
  <c r="B175" i="8" s="1"/>
  <c r="D122" i="8"/>
  <c r="C101" i="8"/>
  <c r="B129" i="8" s="1"/>
  <c r="I133" i="8" s="1"/>
  <c r="H129" i="8"/>
  <c r="E122" i="8"/>
  <c r="D130" i="8" s="1"/>
  <c r="F115" i="8"/>
  <c r="J114" i="8"/>
  <c r="L123" i="8" s="1"/>
  <c r="F114" i="8"/>
  <c r="G105" i="8"/>
  <c r="H83" i="8"/>
  <c r="J68" i="8"/>
  <c r="L77" i="8" s="1"/>
  <c r="C55" i="8"/>
  <c r="B83" i="8" s="1"/>
  <c r="A87" i="8" s="1"/>
  <c r="E76" i="8"/>
  <c r="D84" i="8" s="1"/>
  <c r="D76" i="8"/>
  <c r="F69" i="8"/>
  <c r="F68" i="8"/>
  <c r="G59" i="8"/>
  <c r="B37" i="8"/>
  <c r="I41" i="8" s="1"/>
  <c r="F24" i="8"/>
  <c r="F76" i="8" l="1"/>
  <c r="F122" i="8"/>
  <c r="F168" i="8"/>
  <c r="H84" i="8"/>
  <c r="A41" i="8"/>
  <c r="B131" i="8"/>
  <c r="F260" i="8"/>
  <c r="B269" i="8"/>
  <c r="B268" i="8"/>
  <c r="I271" i="8"/>
  <c r="I272" i="8" s="1"/>
  <c r="H268" i="8"/>
  <c r="A225" i="8"/>
  <c r="I225" i="8"/>
  <c r="I226" i="8" s="1"/>
  <c r="B222" i="8"/>
  <c r="B223" i="8"/>
  <c r="H222" i="8"/>
  <c r="F222" i="8" s="1"/>
  <c r="F209" i="8"/>
  <c r="F214" i="8" s="1"/>
  <c r="A179" i="8"/>
  <c r="I179" i="8"/>
  <c r="I180" i="8" s="1"/>
  <c r="B176" i="8"/>
  <c r="B177" i="8"/>
  <c r="H176" i="8"/>
  <c r="F176" i="8" s="1"/>
  <c r="A133" i="8"/>
  <c r="H130" i="8" s="1"/>
  <c r="I134" i="8"/>
  <c r="I135" i="8" s="1"/>
  <c r="B130" i="8"/>
  <c r="B85" i="8"/>
  <c r="I87" i="8"/>
  <c r="I88" i="8" s="1"/>
  <c r="F84" i="8"/>
  <c r="B84" i="8"/>
  <c r="I273" i="8" l="1"/>
  <c r="F130" i="8"/>
  <c r="I131" i="8"/>
  <c r="J135" i="8" s="1"/>
  <c r="I177" i="8"/>
  <c r="I223" i="8"/>
  <c r="F268" i="8"/>
  <c r="I269" i="8"/>
  <c r="I227" i="8"/>
  <c r="I181" i="8"/>
  <c r="I89" i="8"/>
  <c r="I85" i="8"/>
  <c r="J89" i="8" l="1"/>
  <c r="J181" i="8"/>
  <c r="J273" i="8"/>
  <c r="J227" i="8"/>
  <c r="G13" i="8"/>
  <c r="F23" i="8" l="1"/>
  <c r="H37" i="8"/>
  <c r="L31" i="8"/>
  <c r="D30" i="8"/>
  <c r="F22" i="8"/>
  <c r="F30" i="8" s="1"/>
  <c r="B39" i="8" l="1"/>
  <c r="B38" i="8"/>
  <c r="I42" i="8"/>
  <c r="I43" i="8" s="1"/>
  <c r="E30" i="8"/>
  <c r="D38" i="8" l="1"/>
  <c r="H38" i="8" s="1"/>
  <c r="H1925" i="17"/>
  <c r="L1919" i="17"/>
  <c r="E1918" i="17"/>
  <c r="D1926" i="17" s="1"/>
  <c r="D1918" i="17"/>
  <c r="F1917" i="17"/>
  <c r="F1916" i="17"/>
  <c r="F1915" i="17"/>
  <c r="F1914" i="17"/>
  <c r="F1913" i="17"/>
  <c r="F1912" i="17"/>
  <c r="G1902" i="17"/>
  <c r="C1899" i="17"/>
  <c r="B1925" i="17" s="1"/>
  <c r="F38" i="8" l="1"/>
  <c r="I39" i="8"/>
  <c r="J43" i="8" s="1"/>
  <c r="A1929" i="17"/>
  <c r="H1926" i="17" s="1"/>
  <c r="F1926" i="17" s="1"/>
  <c r="B1926" i="17"/>
  <c r="B1927" i="17"/>
  <c r="I1927" i="17" l="1"/>
  <c r="M1882" i="17" l="1"/>
  <c r="M1879" i="17"/>
  <c r="H1880" i="17"/>
  <c r="L1874" i="17"/>
  <c r="E1873" i="17"/>
  <c r="D1881" i="17" s="1"/>
  <c r="D1873" i="17"/>
  <c r="F1872" i="17"/>
  <c r="F1871" i="17"/>
  <c r="F1870" i="17"/>
  <c r="F1869" i="17"/>
  <c r="F1868" i="17"/>
  <c r="F1867" i="17"/>
  <c r="G1857" i="17"/>
  <c r="C1854" i="17"/>
  <c r="B1880" i="17" s="1"/>
  <c r="A1884" i="17" s="1"/>
  <c r="H1835" i="17"/>
  <c r="L1829" i="17"/>
  <c r="E1828" i="17"/>
  <c r="D1836" i="17" s="1"/>
  <c r="D1828" i="17"/>
  <c r="F1827" i="17"/>
  <c r="F1826" i="17"/>
  <c r="F1825" i="17"/>
  <c r="F1824" i="17"/>
  <c r="F1823" i="17"/>
  <c r="F1822" i="17"/>
  <c r="G1812" i="17"/>
  <c r="C1809" i="17"/>
  <c r="B1835" i="17" s="1"/>
  <c r="H1790" i="17"/>
  <c r="L1784" i="17"/>
  <c r="E1783" i="17"/>
  <c r="D1791" i="17" s="1"/>
  <c r="D1783" i="17"/>
  <c r="F1782" i="17"/>
  <c r="F1781" i="17"/>
  <c r="F1780" i="17"/>
  <c r="F1779" i="17"/>
  <c r="F1778" i="17"/>
  <c r="F1777" i="17"/>
  <c r="G1767" i="17"/>
  <c r="C1764" i="17"/>
  <c r="B1790" i="17" s="1"/>
  <c r="B1742" i="17"/>
  <c r="H1745" i="17" s="1"/>
  <c r="M1681" i="17"/>
  <c r="L1739" i="17"/>
  <c r="E1738" i="17"/>
  <c r="D1746" i="17" s="1"/>
  <c r="D1738" i="17"/>
  <c r="F1737" i="17"/>
  <c r="F1736" i="17"/>
  <c r="F1735" i="17"/>
  <c r="F1734" i="17"/>
  <c r="F1733" i="17"/>
  <c r="F1732" i="17"/>
  <c r="G1722" i="17"/>
  <c r="C1719" i="17"/>
  <c r="B1745" i="17" s="1"/>
  <c r="A1749" i="17" s="1"/>
  <c r="H1881" i="17" l="1"/>
  <c r="F1881" i="17" s="1"/>
  <c r="B1881" i="17"/>
  <c r="B1882" i="17"/>
  <c r="A1839" i="17"/>
  <c r="H1836" i="17" s="1"/>
  <c r="B1836" i="17"/>
  <c r="B1837" i="17"/>
  <c r="A1794" i="17"/>
  <c r="H1791" i="17" s="1"/>
  <c r="B1791" i="17"/>
  <c r="B1792" i="17"/>
  <c r="H1746" i="17"/>
  <c r="B1746" i="17"/>
  <c r="B1747" i="17"/>
  <c r="I1882" i="17" l="1"/>
  <c r="F1836" i="17"/>
  <c r="I1837" i="17"/>
  <c r="F1791" i="17"/>
  <c r="I1792" i="17"/>
  <c r="F1746" i="17"/>
  <c r="I1747" i="17"/>
  <c r="B107" i="24" l="1"/>
  <c r="C25" i="25"/>
  <c r="C27" i="25" s="1"/>
  <c r="H25" i="25"/>
  <c r="H27" i="25" s="1"/>
  <c r="C55" i="25"/>
  <c r="C57" i="25" s="1"/>
  <c r="C40" i="25"/>
  <c r="C42" i="25" s="1"/>
  <c r="G38" i="25"/>
  <c r="H40" i="25" s="1"/>
  <c r="H42" i="25" s="1"/>
  <c r="H9" i="25"/>
  <c r="H11" i="25" s="1"/>
  <c r="C9" i="25"/>
  <c r="C11" i="25" s="1"/>
  <c r="B63" i="25" s="1"/>
  <c r="B89" i="25" s="1"/>
  <c r="B91" i="25" s="1"/>
  <c r="B107" i="25" s="1"/>
  <c r="H25" i="24"/>
  <c r="H27" i="24" s="1"/>
  <c r="G38" i="24"/>
  <c r="C55" i="24"/>
  <c r="C57" i="24" s="1"/>
  <c r="H40" i="24"/>
  <c r="H42" i="24" s="1"/>
  <c r="C40" i="24"/>
  <c r="C42" i="24" s="1"/>
  <c r="C25" i="24"/>
  <c r="C27" i="24" s="1"/>
  <c r="H9" i="24"/>
  <c r="H11" i="24" s="1"/>
  <c r="C9" i="24"/>
  <c r="C11" i="24" s="1"/>
  <c r="B63" i="24" s="1"/>
  <c r="B89" i="24" s="1"/>
  <c r="F1687" i="17" l="1"/>
  <c r="H1700" i="17"/>
  <c r="L1694" i="17"/>
  <c r="F1692" i="17"/>
  <c r="F1691" i="17"/>
  <c r="F1690" i="17"/>
  <c r="F1689" i="17"/>
  <c r="F1688" i="17"/>
  <c r="D1693" i="17"/>
  <c r="G1677" i="17"/>
  <c r="C1674" i="17"/>
  <c r="B1700" i="17" s="1"/>
  <c r="B1702" i="17" l="1"/>
  <c r="A1704" i="17"/>
  <c r="B1701" i="17"/>
  <c r="E1693" i="17"/>
  <c r="D1701" i="17" s="1"/>
  <c r="H1701" i="17" s="1"/>
  <c r="F1701" i="17" s="1"/>
  <c r="I1702" i="17" l="1"/>
  <c r="E1642" i="17" l="1"/>
  <c r="E1648" i="17" s="1"/>
  <c r="D1642" i="17"/>
  <c r="H1655" i="17" l="1"/>
  <c r="L1649" i="17"/>
  <c r="D1656" i="17"/>
  <c r="D1648" i="17"/>
  <c r="F1647" i="17"/>
  <c r="F1646" i="17"/>
  <c r="F1645" i="17"/>
  <c r="F1644" i="17"/>
  <c r="F1643" i="17"/>
  <c r="F1642" i="17"/>
  <c r="G1632" i="17"/>
  <c r="C1629" i="17"/>
  <c r="B1655" i="17" s="1"/>
  <c r="A1659" i="17" s="1"/>
  <c r="D1603" i="17"/>
  <c r="H1610" i="17"/>
  <c r="L1604" i="17"/>
  <c r="E1603" i="17"/>
  <c r="D1611" i="17" s="1"/>
  <c r="F1602" i="17"/>
  <c r="F1601" i="17"/>
  <c r="F1600" i="17"/>
  <c r="F1599" i="17"/>
  <c r="F1598" i="17"/>
  <c r="F1597" i="17"/>
  <c r="G1587" i="17"/>
  <c r="C1584" i="17"/>
  <c r="B1610" i="17" s="1"/>
  <c r="A1614" i="17" s="1"/>
  <c r="E1558" i="17"/>
  <c r="D1558" i="17"/>
  <c r="H1656" i="17" l="1"/>
  <c r="B1656" i="17"/>
  <c r="B1657" i="17"/>
  <c r="H1611" i="17"/>
  <c r="B1611" i="17"/>
  <c r="B1612" i="17"/>
  <c r="F1656" i="17" l="1"/>
  <c r="I1657" i="17"/>
  <c r="F1611" i="17"/>
  <c r="I1612" i="17"/>
  <c r="H1565" i="17" l="1"/>
  <c r="L1559" i="17"/>
  <c r="D1566" i="17"/>
  <c r="F1557" i="17"/>
  <c r="F1556" i="17"/>
  <c r="F1555" i="17"/>
  <c r="F1554" i="17"/>
  <c r="F1553" i="17"/>
  <c r="F1552" i="17"/>
  <c r="G1542" i="17"/>
  <c r="C1539" i="17"/>
  <c r="B1565" i="17" s="1"/>
  <c r="A1569" i="17" l="1"/>
  <c r="B1566" i="17"/>
  <c r="B1567" i="17"/>
  <c r="H1566" i="17"/>
  <c r="F1566" i="17" s="1"/>
  <c r="I1567" i="17" l="1"/>
  <c r="I1524" i="17" l="1"/>
  <c r="D1523" i="17"/>
  <c r="L1514" i="17"/>
  <c r="E1509" i="17"/>
  <c r="E1513" i="17" s="1"/>
  <c r="D1521" i="17" s="1"/>
  <c r="D1509" i="17"/>
  <c r="H1520" i="17"/>
  <c r="F1512" i="17"/>
  <c r="F1511" i="17"/>
  <c r="F1510" i="17"/>
  <c r="F1508" i="17"/>
  <c r="F1507" i="17"/>
  <c r="G1500" i="17"/>
  <c r="G1497" i="17"/>
  <c r="C1494" i="17"/>
  <c r="B1520" i="17" s="1"/>
  <c r="A1524" i="17" s="1"/>
  <c r="I1482" i="17"/>
  <c r="F1509" i="17" l="1"/>
  <c r="D1513" i="17"/>
  <c r="B1522" i="17" s="1"/>
  <c r="H1521" i="17"/>
  <c r="B1521" i="17"/>
  <c r="H1475" i="17"/>
  <c r="L1469" i="17"/>
  <c r="E1468" i="17"/>
  <c r="D1476" i="17" s="1"/>
  <c r="D1468" i="17"/>
  <c r="F1467" i="17"/>
  <c r="F1466" i="17"/>
  <c r="F1465" i="17"/>
  <c r="F1464" i="17"/>
  <c r="F1463" i="17"/>
  <c r="F1462" i="17"/>
  <c r="G1455" i="17"/>
  <c r="G1452" i="17"/>
  <c r="C1449" i="17"/>
  <c r="B1475" i="17" s="1"/>
  <c r="B1477" i="17" l="1"/>
  <c r="F1521" i="17"/>
  <c r="I1522" i="17"/>
  <c r="A1479" i="17"/>
  <c r="H1476" i="17" s="1"/>
  <c r="B1476" i="17"/>
  <c r="F1476" i="17" l="1"/>
  <c r="I1477" i="17"/>
  <c r="H1430" i="17" l="1"/>
  <c r="L1424" i="17"/>
  <c r="E1423" i="17"/>
  <c r="D1431" i="17" s="1"/>
  <c r="D1423" i="17"/>
  <c r="F1422" i="17"/>
  <c r="F1421" i="17"/>
  <c r="F1420" i="17"/>
  <c r="F1419" i="17"/>
  <c r="F1418" i="17"/>
  <c r="F1417" i="17"/>
  <c r="G1410" i="17"/>
  <c r="G1407" i="17"/>
  <c r="C1404" i="17"/>
  <c r="B1430" i="17" s="1"/>
  <c r="A1434" i="17" s="1"/>
  <c r="H1385" i="17"/>
  <c r="L1379" i="17"/>
  <c r="E1378" i="17"/>
  <c r="D1386" i="17" s="1"/>
  <c r="D1378" i="17"/>
  <c r="F1377" i="17"/>
  <c r="F1376" i="17"/>
  <c r="F1375" i="17"/>
  <c r="F1374" i="17"/>
  <c r="F1373" i="17"/>
  <c r="F1372" i="17"/>
  <c r="G1365" i="17"/>
  <c r="G1362" i="17"/>
  <c r="C1359" i="17"/>
  <c r="B1385" i="17" s="1"/>
  <c r="B1387" i="17" l="1"/>
  <c r="B1432" i="17"/>
  <c r="H1431" i="17"/>
  <c r="F1431" i="17" s="1"/>
  <c r="B1431" i="17"/>
  <c r="A1389" i="17"/>
  <c r="H1386" i="17" s="1"/>
  <c r="B1386" i="17"/>
  <c r="I1432" i="17" l="1"/>
  <c r="F1386" i="17"/>
  <c r="I1387" i="17"/>
  <c r="H1340" i="17" l="1"/>
  <c r="L1334" i="17"/>
  <c r="E1333" i="17"/>
  <c r="D1341" i="17" s="1"/>
  <c r="D1333" i="17"/>
  <c r="F1332" i="17"/>
  <c r="F1331" i="17"/>
  <c r="F1330" i="17"/>
  <c r="F1329" i="17"/>
  <c r="F1328" i="17"/>
  <c r="F1327" i="17"/>
  <c r="G1320" i="17"/>
  <c r="G1317" i="17"/>
  <c r="C1314" i="17"/>
  <c r="B1340" i="17" s="1"/>
  <c r="B1342" i="17" l="1"/>
  <c r="A1344" i="17"/>
  <c r="B1341" i="17"/>
  <c r="H1341" i="17"/>
  <c r="F1341" i="17" s="1"/>
  <c r="C55" i="23"/>
  <c r="C57" i="23" s="1"/>
  <c r="H40" i="23"/>
  <c r="H42" i="23" s="1"/>
  <c r="C40" i="23"/>
  <c r="H25" i="23"/>
  <c r="H27" i="23" s="1"/>
  <c r="C25" i="23"/>
  <c r="C27" i="23" s="1"/>
  <c r="H9" i="23"/>
  <c r="H11" i="23" s="1"/>
  <c r="C9" i="23"/>
  <c r="C11" i="23" s="1"/>
  <c r="I1342" i="17" l="1"/>
  <c r="C42" i="23"/>
  <c r="H1295" i="17" l="1"/>
  <c r="L1289" i="17"/>
  <c r="E1288" i="17"/>
  <c r="D1296" i="17" s="1"/>
  <c r="D1288" i="17"/>
  <c r="B1297" i="17" s="1"/>
  <c r="F1287" i="17"/>
  <c r="F1286" i="17"/>
  <c r="F1285" i="17"/>
  <c r="F1284" i="17"/>
  <c r="F1283" i="17"/>
  <c r="F1282" i="17"/>
  <c r="G1275" i="17"/>
  <c r="G1272" i="17"/>
  <c r="C1269" i="17"/>
  <c r="B1295" i="17" s="1"/>
  <c r="A1299" i="17" s="1"/>
  <c r="H1250" i="17"/>
  <c r="L1244" i="17"/>
  <c r="E1243" i="17"/>
  <c r="D1251" i="17" s="1"/>
  <c r="D1243" i="17"/>
  <c r="F1242" i="17"/>
  <c r="F1241" i="17"/>
  <c r="F1240" i="17"/>
  <c r="F1239" i="17"/>
  <c r="F1238" i="17"/>
  <c r="F1237" i="17"/>
  <c r="G1230" i="17"/>
  <c r="G1227" i="17"/>
  <c r="C1224" i="17"/>
  <c r="B1250" i="17" s="1"/>
  <c r="A1254" i="17" s="1"/>
  <c r="H1205" i="17"/>
  <c r="L1199" i="17"/>
  <c r="E1198" i="17"/>
  <c r="D1206" i="17" s="1"/>
  <c r="D1198" i="17"/>
  <c r="F1197" i="17"/>
  <c r="F1196" i="17"/>
  <c r="F1195" i="17"/>
  <c r="F1194" i="17"/>
  <c r="F1193" i="17"/>
  <c r="F1192" i="17"/>
  <c r="G1185" i="17"/>
  <c r="G1182" i="17"/>
  <c r="C1179" i="17"/>
  <c r="B1205" i="17" s="1"/>
  <c r="H1160" i="17"/>
  <c r="L1154" i="17"/>
  <c r="E1153" i="17"/>
  <c r="D1161" i="17" s="1"/>
  <c r="D1153" i="17"/>
  <c r="F1152" i="17"/>
  <c r="F1151" i="17"/>
  <c r="F1150" i="17"/>
  <c r="F1149" i="17"/>
  <c r="F1148" i="17"/>
  <c r="F1147" i="17"/>
  <c r="G1140" i="17"/>
  <c r="G1137" i="17"/>
  <c r="C1134" i="17"/>
  <c r="B1160" i="17" s="1"/>
  <c r="H1115" i="17"/>
  <c r="L1109" i="17"/>
  <c r="E1108" i="17"/>
  <c r="D1116" i="17" s="1"/>
  <c r="D1108" i="17"/>
  <c r="F1107" i="17"/>
  <c r="F1106" i="17"/>
  <c r="F1105" i="17"/>
  <c r="F1104" i="17"/>
  <c r="F1103" i="17"/>
  <c r="F1102" i="17"/>
  <c r="G1095" i="17"/>
  <c r="G1092" i="17"/>
  <c r="C1089" i="17"/>
  <c r="B1115" i="17" s="1"/>
  <c r="H1070" i="17"/>
  <c r="L1064" i="17"/>
  <c r="E1063" i="17"/>
  <c r="D1071" i="17" s="1"/>
  <c r="D1063" i="17"/>
  <c r="F1062" i="17"/>
  <c r="F1061" i="17"/>
  <c r="F1060" i="17"/>
  <c r="F1059" i="17"/>
  <c r="F1058" i="17"/>
  <c r="F1057" i="17"/>
  <c r="G1050" i="17"/>
  <c r="G1047" i="17"/>
  <c r="C1044" i="17"/>
  <c r="B1070" i="17" s="1"/>
  <c r="B1207" i="17" l="1"/>
  <c r="B1072" i="17"/>
  <c r="B1252" i="17"/>
  <c r="B1117" i="17"/>
  <c r="H1296" i="17"/>
  <c r="I1297" i="17" s="1"/>
  <c r="B1296" i="17"/>
  <c r="H1251" i="17"/>
  <c r="B1251" i="17"/>
  <c r="A1209" i="17"/>
  <c r="H1206" i="17" s="1"/>
  <c r="B1206" i="17"/>
  <c r="B1162" i="17"/>
  <c r="A1164" i="17"/>
  <c r="H1161" i="17" s="1"/>
  <c r="B1161" i="17"/>
  <c r="A1119" i="17"/>
  <c r="H1116" i="17" s="1"/>
  <c r="B1116" i="17"/>
  <c r="A1074" i="17"/>
  <c r="H1071" i="17" s="1"/>
  <c r="B1071" i="17"/>
  <c r="F1296" i="17" l="1"/>
  <c r="F1251" i="17"/>
  <c r="I1252" i="17"/>
  <c r="F1206" i="17"/>
  <c r="I1207" i="17"/>
  <c r="F1161" i="17"/>
  <c r="I1162" i="17"/>
  <c r="F1116" i="17"/>
  <c r="I1117" i="17"/>
  <c r="F1071" i="17"/>
  <c r="I1072" i="17"/>
  <c r="C999" i="17" l="1"/>
  <c r="H1025" i="17"/>
  <c r="L1019" i="17"/>
  <c r="E1018" i="17"/>
  <c r="D1026" i="17" s="1"/>
  <c r="D1018" i="17"/>
  <c r="F1017" i="17"/>
  <c r="F1016" i="17"/>
  <c r="F1015" i="17"/>
  <c r="F1014" i="17"/>
  <c r="F1013" i="17"/>
  <c r="F1012" i="17"/>
  <c r="G1005" i="17"/>
  <c r="G1002" i="17"/>
  <c r="B1025" i="17"/>
  <c r="B1026" i="17" l="1"/>
  <c r="A1029" i="17"/>
  <c r="H1026" i="17" s="1"/>
  <c r="B1027" i="17"/>
  <c r="F1026" i="17" l="1"/>
  <c r="I1027" i="17"/>
  <c r="C954" i="17" l="1"/>
  <c r="C907" i="17"/>
  <c r="H980" i="17"/>
  <c r="L974" i="17"/>
  <c r="E973" i="17"/>
  <c r="D981" i="17" s="1"/>
  <c r="D973" i="17"/>
  <c r="F972" i="17"/>
  <c r="F971" i="17"/>
  <c r="F970" i="17"/>
  <c r="F969" i="17"/>
  <c r="F968" i="17"/>
  <c r="F967" i="17"/>
  <c r="G960" i="17"/>
  <c r="G957" i="17"/>
  <c r="B980" i="17"/>
  <c r="H933" i="17"/>
  <c r="L927" i="17"/>
  <c r="E926" i="17"/>
  <c r="D934" i="17" s="1"/>
  <c r="D926" i="17"/>
  <c r="F925" i="17"/>
  <c r="F924" i="17"/>
  <c r="F923" i="17"/>
  <c r="F922" i="17"/>
  <c r="F921" i="17"/>
  <c r="F920" i="17"/>
  <c r="G913" i="17"/>
  <c r="G910" i="17"/>
  <c r="B933" i="17"/>
  <c r="B982" i="17" l="1"/>
  <c r="A984" i="17"/>
  <c r="H981" i="17" s="1"/>
  <c r="B981" i="17"/>
  <c r="A937" i="17"/>
  <c r="H934" i="17" s="1"/>
  <c r="B935" i="17"/>
  <c r="B934" i="17"/>
  <c r="F981" i="17" l="1"/>
  <c r="I982" i="17"/>
  <c r="F934" i="17"/>
  <c r="I935" i="17"/>
  <c r="G804" i="17" l="1"/>
  <c r="H888" i="17" l="1"/>
  <c r="L882" i="17"/>
  <c r="E881" i="17"/>
  <c r="D889" i="17" s="1"/>
  <c r="D881" i="17"/>
  <c r="B890" i="17" s="1"/>
  <c r="F880" i="17"/>
  <c r="F879" i="17"/>
  <c r="F878" i="17"/>
  <c r="F877" i="17"/>
  <c r="F876" i="17"/>
  <c r="F875" i="17"/>
  <c r="G868" i="17"/>
  <c r="G865" i="17"/>
  <c r="C862" i="17"/>
  <c r="B888" i="17" s="1"/>
  <c r="H843" i="17"/>
  <c r="L837" i="17"/>
  <c r="E836" i="17"/>
  <c r="D844" i="17" s="1"/>
  <c r="D836" i="17"/>
  <c r="F835" i="17"/>
  <c r="F834" i="17"/>
  <c r="F833" i="17"/>
  <c r="F832" i="17"/>
  <c r="F831" i="17"/>
  <c r="F830" i="17"/>
  <c r="G823" i="17"/>
  <c r="G820" i="17"/>
  <c r="C817" i="17"/>
  <c r="B843" i="17" s="1"/>
  <c r="A847" i="17" s="1"/>
  <c r="N790" i="17"/>
  <c r="H795" i="17"/>
  <c r="H798" i="17" s="1"/>
  <c r="C772" i="17"/>
  <c r="G775" i="17"/>
  <c r="G778" i="17"/>
  <c r="F785" i="17"/>
  <c r="F786" i="17"/>
  <c r="F787" i="17"/>
  <c r="F788" i="17"/>
  <c r="F789" i="17"/>
  <c r="F790" i="17"/>
  <c r="D791" i="17"/>
  <c r="E791" i="17"/>
  <c r="D799" i="17" s="1"/>
  <c r="L792" i="17"/>
  <c r="B798" i="17"/>
  <c r="B800" i="17" l="1"/>
  <c r="B799" i="17"/>
  <c r="A802" i="17"/>
  <c r="H799" i="17" s="1"/>
  <c r="A892" i="17"/>
  <c r="H889" i="17" s="1"/>
  <c r="B889" i="17"/>
  <c r="B845" i="17"/>
  <c r="H844" i="17"/>
  <c r="F844" i="17" s="1"/>
  <c r="B844" i="17"/>
  <c r="F889" i="17" l="1"/>
  <c r="I890" i="17"/>
  <c r="I845" i="17"/>
  <c r="F799" i="17"/>
  <c r="I800" i="17"/>
  <c r="B40" i="19" l="1"/>
  <c r="C35" i="19"/>
  <c r="C35" i="18"/>
  <c r="B40" i="18"/>
  <c r="C40" i="18" s="1"/>
  <c r="C42" i="18" s="1"/>
  <c r="C54" i="19"/>
  <c r="C56" i="19" s="1"/>
  <c r="H40" i="19"/>
  <c r="H42" i="19" s="1"/>
  <c r="C40" i="19"/>
  <c r="C27" i="19"/>
  <c r="H25" i="19"/>
  <c r="H27" i="19" s="1"/>
  <c r="C25" i="19"/>
  <c r="H9" i="19"/>
  <c r="H11" i="19" s="1"/>
  <c r="C9" i="19"/>
  <c r="C11" i="19" s="1"/>
  <c r="C42" i="19" l="1"/>
  <c r="C54" i="18"/>
  <c r="C56" i="18" s="1"/>
  <c r="H40" i="18"/>
  <c r="H42" i="18" s="1"/>
  <c r="H25" i="18"/>
  <c r="H27" i="18" s="1"/>
  <c r="C25" i="18"/>
  <c r="C27" i="18" s="1"/>
  <c r="H9" i="18"/>
  <c r="H11" i="18" s="1"/>
  <c r="C9" i="18"/>
  <c r="C11" i="18" s="1"/>
  <c r="H750" i="17" l="1"/>
  <c r="H753" i="17" s="1"/>
  <c r="L747" i="17"/>
  <c r="E746" i="17"/>
  <c r="D754" i="17" s="1"/>
  <c r="D746" i="17"/>
  <c r="F745" i="17"/>
  <c r="F744" i="17"/>
  <c r="F743" i="17"/>
  <c r="F742" i="17"/>
  <c r="F741" i="17"/>
  <c r="F740" i="17"/>
  <c r="G733" i="17"/>
  <c r="G730" i="17"/>
  <c r="C727" i="17"/>
  <c r="B753" i="17" s="1"/>
  <c r="D711" i="17"/>
  <c r="H705" i="17"/>
  <c r="H708" i="17" s="1"/>
  <c r="L702" i="17"/>
  <c r="E701" i="17"/>
  <c r="D709" i="17" s="1"/>
  <c r="D701" i="17"/>
  <c r="F700" i="17"/>
  <c r="F699" i="17"/>
  <c r="F698" i="17"/>
  <c r="F697" i="17"/>
  <c r="F696" i="17"/>
  <c r="F695" i="17"/>
  <c r="G688" i="17"/>
  <c r="G685" i="17"/>
  <c r="C682" i="17"/>
  <c r="B708" i="17" s="1"/>
  <c r="A712" i="17" s="1"/>
  <c r="H663" i="17"/>
  <c r="L657" i="17"/>
  <c r="E656" i="17"/>
  <c r="D664" i="17" s="1"/>
  <c r="D656" i="17"/>
  <c r="F655" i="17"/>
  <c r="F654" i="17"/>
  <c r="F653" i="17"/>
  <c r="F652" i="17"/>
  <c r="F651" i="17"/>
  <c r="F650" i="17"/>
  <c r="G643" i="17"/>
  <c r="G640" i="17"/>
  <c r="C637" i="17"/>
  <c r="B663" i="17" s="1"/>
  <c r="B754" i="17" l="1"/>
  <c r="A757" i="17"/>
  <c r="H754" i="17" s="1"/>
  <c r="F754" i="17" s="1"/>
  <c r="B755" i="17"/>
  <c r="B710" i="17"/>
  <c r="H709" i="17"/>
  <c r="B709" i="17"/>
  <c r="A667" i="17"/>
  <c r="H664" i="17" s="1"/>
  <c r="B665" i="17"/>
  <c r="B664" i="17"/>
  <c r="I755" i="17" l="1"/>
  <c r="F709" i="17"/>
  <c r="I710" i="17"/>
  <c r="F664" i="17"/>
  <c r="I665" i="17"/>
  <c r="H618" i="17" l="1"/>
  <c r="L612" i="17"/>
  <c r="E611" i="17"/>
  <c r="D619" i="17" s="1"/>
  <c r="D611" i="17"/>
  <c r="F610" i="17"/>
  <c r="F609" i="17"/>
  <c r="F608" i="17"/>
  <c r="F607" i="17"/>
  <c r="F606" i="17"/>
  <c r="F605" i="17"/>
  <c r="G598" i="17"/>
  <c r="G595" i="17"/>
  <c r="C592" i="17"/>
  <c r="B618" i="17" s="1"/>
  <c r="A622" i="17" s="1"/>
  <c r="H573" i="17"/>
  <c r="L567" i="17"/>
  <c r="E566" i="17"/>
  <c r="D574" i="17" s="1"/>
  <c r="D566" i="17"/>
  <c r="F565" i="17"/>
  <c r="F564" i="17"/>
  <c r="F563" i="17"/>
  <c r="F562" i="17"/>
  <c r="F561" i="17"/>
  <c r="F560" i="17"/>
  <c r="G553" i="17"/>
  <c r="G550" i="17"/>
  <c r="B573" i="17"/>
  <c r="A577" i="17" s="1"/>
  <c r="H528" i="17"/>
  <c r="L522" i="17"/>
  <c r="E521" i="17"/>
  <c r="D529" i="17" s="1"/>
  <c r="D521" i="17"/>
  <c r="F520" i="17"/>
  <c r="F519" i="17"/>
  <c r="F518" i="17"/>
  <c r="F517" i="17"/>
  <c r="F516" i="17"/>
  <c r="F515" i="17"/>
  <c r="G508" i="17"/>
  <c r="G505" i="17"/>
  <c r="C502" i="17"/>
  <c r="B528" i="17" s="1"/>
  <c r="B575" i="17" l="1"/>
  <c r="B619" i="17"/>
  <c r="H619" i="17"/>
  <c r="B620" i="17"/>
  <c r="H574" i="17"/>
  <c r="F574" i="17" s="1"/>
  <c r="B574" i="17"/>
  <c r="B530" i="17"/>
  <c r="A532" i="17"/>
  <c r="H529" i="17" s="1"/>
  <c r="B529" i="17"/>
  <c r="H483" i="17"/>
  <c r="L477" i="17"/>
  <c r="E476" i="17"/>
  <c r="D484" i="17" s="1"/>
  <c r="D476" i="17"/>
  <c r="F475" i="17"/>
  <c r="F474" i="17"/>
  <c r="F473" i="17"/>
  <c r="F472" i="17"/>
  <c r="F471" i="17"/>
  <c r="F470" i="17"/>
  <c r="G463" i="17"/>
  <c r="G460" i="17"/>
  <c r="C457" i="17"/>
  <c r="B483" i="17" s="1"/>
  <c r="F619" i="17" l="1"/>
  <c r="I620" i="17"/>
  <c r="I575" i="17"/>
  <c r="F529" i="17"/>
  <c r="I530" i="17"/>
  <c r="A487" i="17"/>
  <c r="H484" i="17" s="1"/>
  <c r="B485" i="17"/>
  <c r="B484" i="17"/>
  <c r="D445" i="17"/>
  <c r="H435" i="17"/>
  <c r="H438" i="17" s="1"/>
  <c r="L432" i="17"/>
  <c r="E431" i="17"/>
  <c r="D439" i="17" s="1"/>
  <c r="D431" i="17"/>
  <c r="F430" i="17"/>
  <c r="F429" i="17"/>
  <c r="F428" i="17"/>
  <c r="F427" i="17"/>
  <c r="F426" i="17"/>
  <c r="F425" i="17"/>
  <c r="G418" i="17"/>
  <c r="G415" i="17"/>
  <c r="C412" i="17"/>
  <c r="B438" i="17" s="1"/>
  <c r="B440" i="17" l="1"/>
  <c r="F484" i="17"/>
  <c r="I485" i="17"/>
  <c r="A442" i="17"/>
  <c r="H439" i="17" s="1"/>
  <c r="B439" i="17"/>
  <c r="F439" i="17" l="1"/>
  <c r="I440" i="17"/>
  <c r="C367" i="17" l="1"/>
  <c r="G370" i="17"/>
  <c r="G373" i="17"/>
  <c r="F380" i="17"/>
  <c r="F381" i="17"/>
  <c r="F382" i="17"/>
  <c r="F383" i="17"/>
  <c r="F384" i="17"/>
  <c r="F385" i="17"/>
  <c r="D386" i="17"/>
  <c r="E386" i="17"/>
  <c r="L387" i="17"/>
  <c r="B393" i="17"/>
  <c r="H393" i="17"/>
  <c r="D394" i="17"/>
  <c r="H348" i="17"/>
  <c r="L342" i="17"/>
  <c r="E341" i="17"/>
  <c r="D349" i="17" s="1"/>
  <c r="D341" i="17"/>
  <c r="F340" i="17"/>
  <c r="F339" i="17"/>
  <c r="F338" i="17"/>
  <c r="F337" i="17"/>
  <c r="F336" i="17"/>
  <c r="F335" i="17"/>
  <c r="G328" i="17"/>
  <c r="G325" i="17"/>
  <c r="C322" i="17"/>
  <c r="B348" i="17" s="1"/>
  <c r="A352" i="17" s="1"/>
  <c r="N170" i="17"/>
  <c r="N169" i="17"/>
  <c r="C97" i="17"/>
  <c r="B350" i="17" l="1"/>
  <c r="B395" i="17"/>
  <c r="A397" i="17"/>
  <c r="H394" i="17"/>
  <c r="I395" i="17" s="1"/>
  <c r="B394" i="17"/>
  <c r="B349" i="17"/>
  <c r="H349" i="17"/>
  <c r="F349" i="17" s="1"/>
  <c r="F394" i="17" l="1"/>
  <c r="I350" i="17"/>
  <c r="H303" i="17"/>
  <c r="L297" i="17"/>
  <c r="E296" i="17"/>
  <c r="D304" i="17" s="1"/>
  <c r="D296" i="17"/>
  <c r="F295" i="17"/>
  <c r="F294" i="17"/>
  <c r="F293" i="17"/>
  <c r="F292" i="17"/>
  <c r="F291" i="17"/>
  <c r="F290" i="17"/>
  <c r="G283" i="17"/>
  <c r="G280" i="17"/>
  <c r="C277" i="17"/>
  <c r="B303" i="17" s="1"/>
  <c r="H258" i="17"/>
  <c r="L252" i="17"/>
  <c r="E251" i="17"/>
  <c r="D259" i="17" s="1"/>
  <c r="D251" i="17"/>
  <c r="F250" i="17"/>
  <c r="F249" i="17"/>
  <c r="F248" i="17"/>
  <c r="F247" i="17"/>
  <c r="F246" i="17"/>
  <c r="F245" i="17"/>
  <c r="G238" i="17"/>
  <c r="G235" i="17"/>
  <c r="C232" i="17"/>
  <c r="B258" i="17" s="1"/>
  <c r="D216" i="17"/>
  <c r="H210" i="17"/>
  <c r="H213" i="17" s="1"/>
  <c r="L207" i="17"/>
  <c r="E206" i="17"/>
  <c r="D214" i="17" s="1"/>
  <c r="D206" i="17"/>
  <c r="F205" i="17"/>
  <c r="F204" i="17"/>
  <c r="F203" i="17"/>
  <c r="F202" i="17"/>
  <c r="F201" i="17"/>
  <c r="F200" i="17"/>
  <c r="G193" i="17"/>
  <c r="G190" i="17"/>
  <c r="C187" i="17"/>
  <c r="B213" i="17" s="1"/>
  <c r="A217" i="17" s="1"/>
  <c r="C142" i="17"/>
  <c r="B168" i="17" s="1"/>
  <c r="A172" i="17" s="1"/>
  <c r="H120" i="17"/>
  <c r="H168" i="17"/>
  <c r="L162" i="17"/>
  <c r="E161" i="17"/>
  <c r="D169" i="17" s="1"/>
  <c r="D161" i="17"/>
  <c r="F160" i="17"/>
  <c r="F159" i="17"/>
  <c r="F158" i="17"/>
  <c r="F157" i="17"/>
  <c r="F156" i="17"/>
  <c r="F155" i="17"/>
  <c r="G148" i="17"/>
  <c r="G145" i="17"/>
  <c r="B215" i="17" l="1"/>
  <c r="B305" i="17"/>
  <c r="A307" i="17"/>
  <c r="H304" i="17" s="1"/>
  <c r="F304" i="17" s="1"/>
  <c r="B304" i="17"/>
  <c r="A262" i="17"/>
  <c r="H259" i="17" s="1"/>
  <c r="B260" i="17"/>
  <c r="B259" i="17"/>
  <c r="H214" i="17"/>
  <c r="B214" i="17"/>
  <c r="B170" i="17"/>
  <c r="H169" i="17"/>
  <c r="F169" i="17" s="1"/>
  <c r="B169" i="17"/>
  <c r="H123" i="17"/>
  <c r="B123" i="17"/>
  <c r="A127" i="17" s="1"/>
  <c r="L117" i="17"/>
  <c r="E116" i="17"/>
  <c r="D124" i="17" s="1"/>
  <c r="D116" i="17"/>
  <c r="F115" i="17"/>
  <c r="F114" i="17"/>
  <c r="F113" i="17"/>
  <c r="F112" i="17"/>
  <c r="F111" i="17"/>
  <c r="F110" i="17"/>
  <c r="G103" i="17"/>
  <c r="G100" i="17"/>
  <c r="E71" i="17"/>
  <c r="F70" i="17"/>
  <c r="B125" i="17" l="1"/>
  <c r="I305" i="17"/>
  <c r="F259" i="17"/>
  <c r="I260" i="17"/>
  <c r="F214" i="17"/>
  <c r="I215" i="17"/>
  <c r="I170" i="17"/>
  <c r="H124" i="17"/>
  <c r="F124" i="17" s="1"/>
  <c r="B124" i="17"/>
  <c r="G58" i="17"/>
  <c r="G55" i="17"/>
  <c r="H78" i="17"/>
  <c r="B78" i="17"/>
  <c r="A82" i="17" s="1"/>
  <c r="L72" i="17"/>
  <c r="D79" i="17"/>
  <c r="D71" i="17"/>
  <c r="F69" i="17"/>
  <c r="F68" i="17"/>
  <c r="F67" i="17"/>
  <c r="F66" i="17"/>
  <c r="F65" i="17"/>
  <c r="B33" i="17"/>
  <c r="I125" i="17" l="1"/>
  <c r="B80" i="17"/>
  <c r="H79" i="17"/>
  <c r="F79" i="17" s="1"/>
  <c r="B79" i="17"/>
  <c r="A37" i="17"/>
  <c r="H33" i="17"/>
  <c r="L27" i="17"/>
  <c r="E26" i="17"/>
  <c r="D34" i="17" s="1"/>
  <c r="H34" i="17" s="1"/>
  <c r="I35" i="17" s="1"/>
  <c r="D26" i="17"/>
  <c r="F24" i="17"/>
  <c r="F23" i="17"/>
  <c r="F22" i="17"/>
  <c r="F21" i="17"/>
  <c r="F20" i="17"/>
  <c r="I80" i="17" l="1"/>
  <c r="B34" i="17"/>
  <c r="B35" i="17"/>
  <c r="F34" i="17"/>
</calcChain>
</file>

<file path=xl/sharedStrings.xml><?xml version="1.0" encoding="utf-8"?>
<sst xmlns="http://schemas.openxmlformats.org/spreadsheetml/2006/main" count="10634" uniqueCount="644">
  <si>
    <t>Odo Start</t>
  </si>
  <si>
    <t>Odo End</t>
  </si>
  <si>
    <t>Start Trip</t>
  </si>
  <si>
    <t>Return Trip</t>
  </si>
  <si>
    <t>Name of Driver</t>
  </si>
  <si>
    <t xml:space="preserve">Registration </t>
  </si>
  <si>
    <t>Truck</t>
  </si>
  <si>
    <t>Trailers</t>
  </si>
  <si>
    <t>Fleet #</t>
  </si>
  <si>
    <t>Load From:</t>
  </si>
  <si>
    <t>Diesel Fuel Slips</t>
  </si>
  <si>
    <t>Town/Supplier</t>
  </si>
  <si>
    <t>Liters</t>
  </si>
  <si>
    <t>Amount</t>
  </si>
  <si>
    <t>Toll Gate Fees</t>
  </si>
  <si>
    <t>Toll Gate Name</t>
  </si>
  <si>
    <t>For Office Use:</t>
  </si>
  <si>
    <t>Total Km's</t>
  </si>
  <si>
    <t>Fuel Expenses</t>
  </si>
  <si>
    <t>CPK</t>
  </si>
  <si>
    <t>Total Income</t>
  </si>
  <si>
    <t>Total Expenses</t>
  </si>
  <si>
    <t>Revenue Profit/Loss</t>
  </si>
  <si>
    <t>Manager Signature</t>
  </si>
  <si>
    <t>Driver Trip Report - Loads</t>
  </si>
  <si>
    <t>Date departure/ Load Date</t>
  </si>
  <si>
    <t>Load From :</t>
  </si>
  <si>
    <t>Load To - Destination</t>
  </si>
  <si>
    <t>Date Offload</t>
  </si>
  <si>
    <t>Date Offload:</t>
  </si>
  <si>
    <t>Load To: Destination</t>
  </si>
  <si>
    <t>Trip 1 Income</t>
  </si>
  <si>
    <t>Trip 2 Income</t>
  </si>
  <si>
    <t>S&amp;T</t>
  </si>
  <si>
    <t>Offloading Expenses</t>
  </si>
  <si>
    <t>Total</t>
  </si>
  <si>
    <t>Total Toll</t>
  </si>
  <si>
    <t>Other Expenses</t>
  </si>
  <si>
    <t>Windhoek</t>
  </si>
  <si>
    <t>Oshakati</t>
  </si>
  <si>
    <t>Drivers Trip Money</t>
  </si>
  <si>
    <t>Kilometere per Litre</t>
  </si>
  <si>
    <t>NBL</t>
  </si>
  <si>
    <t>Km on 1 Litre</t>
  </si>
  <si>
    <t>Israel</t>
  </si>
  <si>
    <t>Furniture</t>
  </si>
  <si>
    <t>Keetmans</t>
  </si>
  <si>
    <t>Bonsmara</t>
  </si>
  <si>
    <t>Katima</t>
  </si>
  <si>
    <t>Rundu</t>
  </si>
  <si>
    <t>Verkeerdevlei</t>
  </si>
  <si>
    <t>Tugela</t>
  </si>
  <si>
    <t>Walvis</t>
  </si>
  <si>
    <t>Swakop</t>
  </si>
  <si>
    <t>Zjondre</t>
  </si>
  <si>
    <t>Swakopmund</t>
  </si>
  <si>
    <t>Karasburg</t>
  </si>
  <si>
    <t>Walvis Bay</t>
  </si>
  <si>
    <t>Mariannhill</t>
  </si>
  <si>
    <t>Mvoti plaza</t>
  </si>
  <si>
    <t>Gabriel</t>
  </si>
  <si>
    <t>N2 North</t>
  </si>
  <si>
    <t>Nam Dairies</t>
  </si>
  <si>
    <t>Gobabis</t>
  </si>
  <si>
    <t>Oshikango</t>
  </si>
  <si>
    <t>Cape Town</t>
  </si>
  <si>
    <t>Noordoewer</t>
  </si>
  <si>
    <t>Oak Tree JHB</t>
  </si>
  <si>
    <t>Johannesburg</t>
  </si>
  <si>
    <t>Swartruggens</t>
  </si>
  <si>
    <t>Outapi</t>
  </si>
  <si>
    <t>nbl</t>
  </si>
  <si>
    <t>Mooi South Ramps</t>
  </si>
  <si>
    <t>Mooi North Ramps</t>
  </si>
  <si>
    <t>swakop</t>
  </si>
  <si>
    <t>Okahandja</t>
  </si>
  <si>
    <t>Rudolph</t>
  </si>
  <si>
    <t>Rehoboth</t>
  </si>
  <si>
    <t>Bots Permit</t>
  </si>
  <si>
    <t>Oak Tree</t>
  </si>
  <si>
    <t>Anton</t>
  </si>
  <si>
    <t>local</t>
  </si>
  <si>
    <t>Kole</t>
  </si>
  <si>
    <t>Walvis Swakop Otjiwarongo</t>
  </si>
  <si>
    <t>Local Ramatex</t>
  </si>
  <si>
    <t>19/04/2022</t>
  </si>
  <si>
    <t>25/04/2022</t>
  </si>
  <si>
    <t>26/04/2022</t>
  </si>
  <si>
    <t>30/04/2022</t>
  </si>
  <si>
    <t>22/05/2022</t>
  </si>
  <si>
    <t>29/04/2022</t>
  </si>
  <si>
    <t>N194OJ</t>
  </si>
  <si>
    <t>Rehoboth Kaap Agri</t>
  </si>
  <si>
    <t>Swartland Cape Town</t>
  </si>
  <si>
    <t>Locals Nam Dairies 2x</t>
  </si>
  <si>
    <t>Nina Skraper &amp; Ozirre Carlos &amp; Patrick</t>
  </si>
  <si>
    <t>Skraper Patrick &amp; Carlos</t>
  </si>
  <si>
    <t>Carlos &amp; Patrcik</t>
  </si>
  <si>
    <t>GABRIEL</t>
  </si>
  <si>
    <t>15/05/2022</t>
  </si>
  <si>
    <t>Okhandja NBL</t>
  </si>
  <si>
    <t>13/05/2022</t>
  </si>
  <si>
    <t>17/05/2022</t>
  </si>
  <si>
    <t xml:space="preserve">Local NBL </t>
  </si>
  <si>
    <t>19/05/2022</t>
  </si>
  <si>
    <t>26/05/2022</t>
  </si>
  <si>
    <t>30/05/2022</t>
  </si>
  <si>
    <t>TRUCK INCOME</t>
  </si>
  <si>
    <t>LESS:</t>
  </si>
  <si>
    <t>INSURANCE TRUCK</t>
  </si>
  <si>
    <t>INSURANCE TRAILERS</t>
  </si>
  <si>
    <t>DRIVERS SALARY</t>
  </si>
  <si>
    <t>20/06/2022</t>
  </si>
  <si>
    <t>22/06/2022</t>
  </si>
  <si>
    <t>24/06/2022</t>
  </si>
  <si>
    <t>27/06/2022</t>
  </si>
  <si>
    <t>29/06/2022</t>
  </si>
  <si>
    <t>Tsumeb Namrisk Frik</t>
  </si>
  <si>
    <t>14/07/2022</t>
  </si>
  <si>
    <t>Oshakati nbl</t>
  </si>
  <si>
    <t>Jumbo Okahandja to Walvis</t>
  </si>
  <si>
    <t>Walvis WHK Tiles</t>
  </si>
  <si>
    <t>15/07/2022</t>
  </si>
  <si>
    <t>7000+8285</t>
  </si>
  <si>
    <t>20/07/2022</t>
  </si>
  <si>
    <t>Fuad Vragte</t>
  </si>
  <si>
    <t>Walvis Henties</t>
  </si>
  <si>
    <t>Henties to Gobabis</t>
  </si>
  <si>
    <t>Gobabis Farm to Okahandja</t>
  </si>
  <si>
    <t>25/07/2022</t>
  </si>
  <si>
    <t>finished</t>
  </si>
  <si>
    <t>22/07/2022</t>
  </si>
  <si>
    <t>29/07/2022</t>
  </si>
  <si>
    <t>Trip Expenses(Diesel&amp;Permits&amp;S&amp;T&amp;Trip Money)</t>
  </si>
  <si>
    <t>July 2022 - NO 4</t>
  </si>
  <si>
    <t>July 2022 - NO 5</t>
  </si>
  <si>
    <t>July 2022 - NO 9</t>
  </si>
  <si>
    <t>July 2022 - NO 10</t>
  </si>
  <si>
    <t>July 2022 - NO 12</t>
  </si>
  <si>
    <t>July 2022 - NO 1</t>
  </si>
  <si>
    <t>17/08/2022</t>
  </si>
  <si>
    <t>Aug 2022 - NO 11</t>
  </si>
  <si>
    <t>Walvis Swakop</t>
  </si>
  <si>
    <t>22/08/2022</t>
  </si>
  <si>
    <t>23/08/2022</t>
  </si>
  <si>
    <t>Otjiwarogo</t>
  </si>
  <si>
    <t>Aug 2022 - NO 10</t>
  </si>
  <si>
    <t>Aug 2022 - NO 9</t>
  </si>
  <si>
    <t>Aug 2022 - NO 12</t>
  </si>
  <si>
    <t>Aug 2022 - NO 1</t>
  </si>
  <si>
    <t>Aug 2022 - NO 4</t>
  </si>
  <si>
    <t>Aug 2022 - NO 5</t>
  </si>
  <si>
    <t>Divundu/Katima</t>
  </si>
  <si>
    <t>Koelkas</t>
  </si>
  <si>
    <t>Local 1x</t>
  </si>
  <si>
    <t>N223-495W</t>
  </si>
  <si>
    <t>Local NBL</t>
  </si>
  <si>
    <t>27/08/2022</t>
  </si>
  <si>
    <t>Rundu/Nkurenkuru</t>
  </si>
  <si>
    <t>25/08/2022</t>
  </si>
  <si>
    <t>29/08/2022</t>
  </si>
  <si>
    <t>14/09/2022</t>
  </si>
  <si>
    <t>18/09/2022</t>
  </si>
  <si>
    <t>23/09/2022</t>
  </si>
  <si>
    <t>27/09/2022</t>
  </si>
  <si>
    <t>25/09/2022</t>
  </si>
  <si>
    <t>15/09/2022</t>
  </si>
  <si>
    <t>Elifas</t>
  </si>
  <si>
    <t>22/09/2022</t>
  </si>
  <si>
    <t xml:space="preserve">Marenga </t>
  </si>
  <si>
    <t>Elfias</t>
  </si>
  <si>
    <t>Sep 2022 - NO 4</t>
  </si>
  <si>
    <t>Sep 2022 - NO 5</t>
  </si>
  <si>
    <t>Sep 2022 - NO 9</t>
  </si>
  <si>
    <t>Sep 2022 - NO 10</t>
  </si>
  <si>
    <t>Sep 2022 - NO 11</t>
  </si>
  <si>
    <t>Sep 2022 - NO 12</t>
  </si>
  <si>
    <t>Sep 2022 - NO 1</t>
  </si>
  <si>
    <t>ü</t>
  </si>
  <si>
    <t>06/10/20222</t>
  </si>
  <si>
    <t>14/10/2022</t>
  </si>
  <si>
    <t>18/10/2022</t>
  </si>
  <si>
    <t>19/10/2022</t>
  </si>
  <si>
    <t>20/10/2022</t>
  </si>
  <si>
    <t>Luderitz Construction Material</t>
  </si>
  <si>
    <t>Namibia Daireis</t>
  </si>
  <si>
    <t>15/10/2022</t>
  </si>
  <si>
    <t>17/10/2022</t>
  </si>
  <si>
    <t>13/11/2022</t>
  </si>
  <si>
    <t>30/10/2022</t>
  </si>
  <si>
    <t>21/11/2022</t>
  </si>
  <si>
    <t>15/11/2022</t>
  </si>
  <si>
    <t>24/11/2022</t>
  </si>
  <si>
    <t>26/11/2022</t>
  </si>
  <si>
    <t>30/11/2022</t>
  </si>
  <si>
    <t>Israel &amp; Patrick</t>
  </si>
  <si>
    <t>Loaded Building Material to Luderitz - Went through Ariamsvlei to JHB</t>
  </si>
  <si>
    <t>seil</t>
  </si>
  <si>
    <t>20/11/2022</t>
  </si>
  <si>
    <t>23/11/2022</t>
  </si>
  <si>
    <t>16/12/2022</t>
  </si>
  <si>
    <t>20/12/2022</t>
  </si>
  <si>
    <t>21/12/2022</t>
  </si>
  <si>
    <t>18/12/2022</t>
  </si>
  <si>
    <t>14/12/2022</t>
  </si>
  <si>
    <t>Keetmans Mariental Windhoek</t>
  </si>
  <si>
    <t>Loaded Granite in Karibib</t>
  </si>
  <si>
    <t>Offload Upington &amp; Kuruman</t>
  </si>
  <si>
    <t>Katima Oshikango Oshakati</t>
  </si>
  <si>
    <t>28/11/2022 Load Kole</t>
  </si>
  <si>
    <t>Terug Deur Ariamvlei</t>
  </si>
  <si>
    <t>Trok Breek</t>
  </si>
  <si>
    <t>trek 303 aF by Patrick &amp; Israel Toll Gates</t>
  </si>
  <si>
    <t>No 12 Diesel om trok te gan hal</t>
  </si>
  <si>
    <t>Nov 2022 - NO 4</t>
  </si>
  <si>
    <t>Nov 2022 - NO 12</t>
  </si>
  <si>
    <t>Truck Installment HP</t>
  </si>
  <si>
    <t>Nov 2022 - NO 1</t>
  </si>
  <si>
    <t>Nov 2022 - NO 11</t>
  </si>
  <si>
    <t>Nov 2022 - NO 10</t>
  </si>
  <si>
    <t>Nov 2022 - NO 9</t>
  </si>
  <si>
    <t>Total Trucks</t>
  </si>
  <si>
    <t>Insurance GIT</t>
  </si>
  <si>
    <t>2010  V/Wagen Polo Classic 1.4 comfortline</t>
  </si>
  <si>
    <t>2013 Mercedes Benz ML63 AMG</t>
  </si>
  <si>
    <t>2010 Volkswagen Polo 1.6 5dr Trendline</t>
  </si>
  <si>
    <t>2021 Toyota Hilux 2.4GD-6 4x4 A/T P/U D/C</t>
  </si>
  <si>
    <t>2015 Ford Ranger 2.2TDCi XL L/R P/U S/C</t>
  </si>
  <si>
    <t>Personal Loan : Jackpots (Paper waiting from BW)</t>
  </si>
  <si>
    <t>MERCEDES (Papers waiting from BW)</t>
  </si>
  <si>
    <t xml:space="preserve">New Henred Trailer </t>
  </si>
  <si>
    <t>Toyota Bakkies (10de)</t>
  </si>
  <si>
    <t>Trailer Tautliner Hannes</t>
  </si>
  <si>
    <t>Polis                                  7 de</t>
  </si>
  <si>
    <t>Polis                                7 de</t>
  </si>
  <si>
    <t>Polis Old Mutual</t>
  </si>
  <si>
    <t>DO13846321190501</t>
  </si>
  <si>
    <t>Spaar                               5 de</t>
  </si>
  <si>
    <t>Spaar Bank Windoek</t>
  </si>
  <si>
    <t>Medies - Pa en Ma 2de</t>
  </si>
  <si>
    <t>Medies - Silverius 2de</t>
  </si>
  <si>
    <t>Medies - Zjondre &amp; Zaylon 2de</t>
  </si>
  <si>
    <t>bank Charges</t>
  </si>
  <si>
    <t>Pieter Salary</t>
  </si>
  <si>
    <t>Caroline</t>
  </si>
  <si>
    <t>Silverius</t>
  </si>
  <si>
    <t xml:space="preserve">Zjondre </t>
  </si>
  <si>
    <t>Tie</t>
  </si>
  <si>
    <t>Carlos</t>
  </si>
  <si>
    <t>Lolo</t>
  </si>
  <si>
    <t>Usiel</t>
  </si>
  <si>
    <t>Patrick</t>
  </si>
  <si>
    <t>Tangeni</t>
  </si>
  <si>
    <t>Cecil</t>
  </si>
  <si>
    <t>Jackson</t>
  </si>
  <si>
    <t>Kambonde</t>
  </si>
  <si>
    <t>oor</t>
  </si>
  <si>
    <t>Dec 2022 - NO 4</t>
  </si>
  <si>
    <t>Dec 2022 - NO 5</t>
  </si>
  <si>
    <t>Dec 2022 - NO 9</t>
  </si>
  <si>
    <t>Dec 2022 - NO 10</t>
  </si>
  <si>
    <t>Dec 2022 - NO 11</t>
  </si>
  <si>
    <t>Dec 2022 - NO 12</t>
  </si>
  <si>
    <t>Dec 2022 - NO 1</t>
  </si>
  <si>
    <t>Total Trucks Income</t>
  </si>
  <si>
    <t>Insurance &amp; Bank</t>
  </si>
  <si>
    <t>Dar Es Salaam Loan</t>
  </si>
  <si>
    <t>Nov 2022 - NO 5</t>
  </si>
  <si>
    <t>16/1/2023</t>
  </si>
  <si>
    <t>26/1/2023</t>
  </si>
  <si>
    <t>Okahandja Kole Ojire 14000</t>
  </si>
  <si>
    <t>Walvis Sout Fuad 7000</t>
  </si>
  <si>
    <t>Kole laai okahdanjd jumbo 7000</t>
  </si>
  <si>
    <t>Henties Sout 8500</t>
  </si>
  <si>
    <t>19/1/2023</t>
  </si>
  <si>
    <t>Walvis NBL 12370</t>
  </si>
  <si>
    <t>24/1/2023</t>
  </si>
  <si>
    <t>Patrick &amp; Israel ander drywer</t>
  </si>
  <si>
    <t>met nuwe drywer met pat</t>
  </si>
  <si>
    <t>coke</t>
  </si>
  <si>
    <t>Local Empties</t>
  </si>
  <si>
    <t>van NBL Keetmans</t>
  </si>
  <si>
    <t>maak seker oor rates</t>
  </si>
  <si>
    <t>Pat &amp; Siegfreis</t>
  </si>
  <si>
    <t>27/1/2023</t>
  </si>
  <si>
    <t>29/1/2022</t>
  </si>
  <si>
    <t>overloading ticket</t>
  </si>
  <si>
    <t>30/1/2023</t>
  </si>
  <si>
    <t>Paper</t>
  </si>
  <si>
    <t>31/1/2023</t>
  </si>
  <si>
    <t>15/02/2023</t>
  </si>
  <si>
    <t>Kyk wantoe is gery</t>
  </si>
  <si>
    <t>Expected Average LT/KM 2.3</t>
  </si>
  <si>
    <t>Profit would have been</t>
  </si>
  <si>
    <t>Shortage/Surplus of LT/KM</t>
  </si>
  <si>
    <t>Shortage/Surplus in Cash (N$)</t>
  </si>
  <si>
    <t>Victor</t>
  </si>
  <si>
    <t>19/06/2024</t>
  </si>
  <si>
    <t>21/06/2024</t>
  </si>
  <si>
    <t>N 228 757 W</t>
  </si>
  <si>
    <t>20/06/2024</t>
  </si>
  <si>
    <t>22/06/2024</t>
  </si>
  <si>
    <t>24/06/2024</t>
  </si>
  <si>
    <t>26/06/2024</t>
  </si>
  <si>
    <t>27/06/2024</t>
  </si>
  <si>
    <t>Springbok</t>
  </si>
  <si>
    <t>16/07/2024</t>
  </si>
  <si>
    <t>Grader Gobabis toe gevat</t>
  </si>
  <si>
    <t>18/07/2024</t>
  </si>
  <si>
    <t>17/07/2024</t>
  </si>
  <si>
    <t>19/07/2024</t>
  </si>
  <si>
    <t>23/07/2024</t>
  </si>
  <si>
    <t>JEFFREY</t>
  </si>
  <si>
    <t>28/07/2024</t>
  </si>
  <si>
    <t>OSHAKATI</t>
  </si>
  <si>
    <t>ROSH PINAH</t>
  </si>
  <si>
    <t>BONSMARA</t>
  </si>
  <si>
    <t>KEETMANS</t>
  </si>
  <si>
    <t>Durban</t>
  </si>
  <si>
    <t>29/07/2024</t>
  </si>
  <si>
    <t xml:space="preserve">Walvis </t>
  </si>
  <si>
    <t>Oshakati Local</t>
  </si>
  <si>
    <t>Oshakti Empties to Windhoek</t>
  </si>
  <si>
    <t>24/07/2024</t>
  </si>
  <si>
    <t>30/07/2024</t>
  </si>
  <si>
    <t>13/08/2024</t>
  </si>
  <si>
    <t>14/08/2024</t>
  </si>
  <si>
    <t>16/08/2024</t>
  </si>
  <si>
    <t>19/08/2024</t>
  </si>
  <si>
    <t>20/08/2024</t>
  </si>
  <si>
    <t>23/08/2024</t>
  </si>
  <si>
    <t>Tsumeb</t>
  </si>
  <si>
    <t>Karibib</t>
  </si>
  <si>
    <t>26/08/2024</t>
  </si>
  <si>
    <t>26/8/2024</t>
  </si>
  <si>
    <t>28/8/2024</t>
  </si>
  <si>
    <t>27/08/2024</t>
  </si>
  <si>
    <t>29/08/2024</t>
  </si>
  <si>
    <t>Ondangwa</t>
  </si>
  <si>
    <t>Omuthiya</t>
  </si>
  <si>
    <t>Grootfontein</t>
  </si>
  <si>
    <t>JOEL</t>
  </si>
  <si>
    <t>04/09/04/2024</t>
  </si>
  <si>
    <t>07/09/204</t>
  </si>
  <si>
    <t>14/09/2024</t>
  </si>
  <si>
    <t>13/09/2024</t>
  </si>
  <si>
    <t>15/09/2024</t>
  </si>
  <si>
    <t>17/09/2024</t>
  </si>
  <si>
    <t>18/09/2024</t>
  </si>
  <si>
    <t>19/09/2024</t>
  </si>
  <si>
    <t>21/09/2024</t>
  </si>
  <si>
    <t>25/09/2024</t>
  </si>
  <si>
    <t>24/09/2024</t>
  </si>
  <si>
    <t>Bloem</t>
  </si>
  <si>
    <t>30/10/2024</t>
  </si>
  <si>
    <t>23/09/2024</t>
  </si>
  <si>
    <t>26/09/2024</t>
  </si>
  <si>
    <t>27/09/2024</t>
  </si>
  <si>
    <t>30/09/2024</t>
  </si>
  <si>
    <t>VICTOR</t>
  </si>
  <si>
    <t>OSHAKATI DEPOT</t>
  </si>
  <si>
    <t>15/10/2024</t>
  </si>
  <si>
    <t>16/10/2024</t>
  </si>
  <si>
    <t>EMPTIES LODED FROM OSHAKATI TO WHK</t>
  </si>
  <si>
    <t>WINDHOEK</t>
  </si>
  <si>
    <t>17/10/2024</t>
  </si>
  <si>
    <t>19/10/2024</t>
  </si>
  <si>
    <t>20/10/2024</t>
  </si>
  <si>
    <t>EMPTIES LOADED IN OSH TO WHK</t>
  </si>
  <si>
    <t>21/10/2024</t>
  </si>
  <si>
    <t>23/10/2024</t>
  </si>
  <si>
    <t>24/10/2024</t>
  </si>
  <si>
    <t>26/10/2024</t>
  </si>
  <si>
    <t>22/10/2024</t>
  </si>
  <si>
    <t>27/10/2024</t>
  </si>
  <si>
    <t>GROOTFONTEIN</t>
  </si>
  <si>
    <t>ONDANGWA</t>
  </si>
  <si>
    <t>bonsmara</t>
  </si>
  <si>
    <t>13/11/2024</t>
  </si>
  <si>
    <t>16/11/2024</t>
  </si>
  <si>
    <t>17/11/2024</t>
  </si>
  <si>
    <t>19/11/2024</t>
  </si>
  <si>
    <t>20/11/2024</t>
  </si>
  <si>
    <t>21/11/2024</t>
  </si>
  <si>
    <t>23/11/2024</t>
  </si>
  <si>
    <t>25/11/2024</t>
  </si>
  <si>
    <t>27/11/2024</t>
  </si>
  <si>
    <t>26/11/2024</t>
  </si>
  <si>
    <t>29/11/2024</t>
  </si>
  <si>
    <t>28/11/2024</t>
  </si>
  <si>
    <t>30/11/2024</t>
  </si>
  <si>
    <t>14/12/2024</t>
  </si>
  <si>
    <t>16/12/2024</t>
  </si>
  <si>
    <t>17/12/2024</t>
  </si>
  <si>
    <t>21/12/2024</t>
  </si>
  <si>
    <t>19/12/2024</t>
  </si>
  <si>
    <t>20/12/2024</t>
  </si>
  <si>
    <t>23/12/2024</t>
  </si>
  <si>
    <t>13/01/2025</t>
  </si>
  <si>
    <t>CAPE TOWN</t>
  </si>
  <si>
    <t>15/01/2025</t>
  </si>
  <si>
    <t>NOORDOEWER</t>
  </si>
  <si>
    <t>SPRINGBOK</t>
  </si>
  <si>
    <t>14/01/2025</t>
  </si>
  <si>
    <t>16/01/2025</t>
  </si>
  <si>
    <t>18/01/2025</t>
  </si>
  <si>
    <t>19/01/2025</t>
  </si>
  <si>
    <t>22/01/2025</t>
  </si>
  <si>
    <t>21/01/2025</t>
  </si>
  <si>
    <t>20/01/2025</t>
  </si>
  <si>
    <t>17/01/2025</t>
  </si>
  <si>
    <t>23/01/2025</t>
  </si>
  <si>
    <t>25/01/2025</t>
  </si>
  <si>
    <t>27/01/2025</t>
  </si>
  <si>
    <t>29/01/2025</t>
  </si>
  <si>
    <t>18/02/2025</t>
  </si>
  <si>
    <t>20/02/2025</t>
  </si>
  <si>
    <t>13/02/2025</t>
  </si>
  <si>
    <t>19/02/2025</t>
  </si>
  <si>
    <t>28/01/2025</t>
  </si>
  <si>
    <t xml:space="preserve"> </t>
  </si>
  <si>
    <t>31/01/205</t>
  </si>
  <si>
    <t>21/02/2025</t>
  </si>
  <si>
    <t>WAITING LAST DIESEL SLIP</t>
  </si>
  <si>
    <t>25/02/2025</t>
  </si>
  <si>
    <t>NBL Walvis</t>
  </si>
  <si>
    <t>walvis net gaan</t>
  </si>
  <si>
    <t>24/02/2025</t>
  </si>
  <si>
    <t>27/02/2025</t>
  </si>
  <si>
    <t>Oshifo/Outapi/Ruacana</t>
  </si>
  <si>
    <t>28/02/2025</t>
  </si>
  <si>
    <t>05/03/205</t>
  </si>
  <si>
    <t>Engen Swartland</t>
  </si>
  <si>
    <t>06/03/205</t>
  </si>
  <si>
    <t>07/03/205</t>
  </si>
  <si>
    <t>Bottle Sort</t>
  </si>
  <si>
    <t>15/03/2025</t>
  </si>
  <si>
    <t>14/03/2025</t>
  </si>
  <si>
    <t>17/03/2025</t>
  </si>
  <si>
    <t>NBL LOAD</t>
  </si>
  <si>
    <t>16/03/2025</t>
  </si>
  <si>
    <t>Engen De Werf</t>
  </si>
  <si>
    <t>18/03/2025</t>
  </si>
  <si>
    <t>Wag diesel slip</t>
  </si>
  <si>
    <t>20/03/2025</t>
  </si>
  <si>
    <t>24/03/2025</t>
  </si>
  <si>
    <t>wag diesel slips</t>
  </si>
  <si>
    <t>25/03/2025</t>
  </si>
  <si>
    <t>KARIBIB</t>
  </si>
  <si>
    <t>Highway Harrismith</t>
  </si>
  <si>
    <t>22/03/2025</t>
  </si>
  <si>
    <t>23/03/2025</t>
  </si>
  <si>
    <t>Tot in noord</t>
  </si>
  <si>
    <t>27/03/2025</t>
  </si>
  <si>
    <t>15/04/2025</t>
  </si>
  <si>
    <t>17/04/2025</t>
  </si>
  <si>
    <t>24/04/2025</t>
  </si>
  <si>
    <t>Still need to pay Victon</t>
  </si>
  <si>
    <t>29/03/2025</t>
  </si>
  <si>
    <t>NBL - JHB</t>
  </si>
  <si>
    <t>Oak Park JHB</t>
  </si>
  <si>
    <t>Double Drop</t>
  </si>
  <si>
    <t xml:space="preserve">Cape Town </t>
  </si>
  <si>
    <t>AND Walvis BAY</t>
  </si>
  <si>
    <t>13/04/2025</t>
  </si>
  <si>
    <t>21/04/2025</t>
  </si>
  <si>
    <t>22/04/2025</t>
  </si>
  <si>
    <t>Oshkati</t>
  </si>
  <si>
    <t>23/04/2025</t>
  </si>
  <si>
    <t>Leeg gery, empties gaan haal</t>
  </si>
  <si>
    <t>25/04/2025</t>
  </si>
  <si>
    <t>Swrtland Cape town</t>
  </si>
  <si>
    <t>26/04/205</t>
  </si>
  <si>
    <t>30/04/2024</t>
  </si>
  <si>
    <t>29/4/2024</t>
  </si>
  <si>
    <t>NBL load</t>
  </si>
  <si>
    <t>13/05/2025</t>
  </si>
  <si>
    <t>15/05/2025</t>
  </si>
  <si>
    <t>19/05/2025</t>
  </si>
  <si>
    <t>18/05/2025</t>
  </si>
  <si>
    <t>16/05/2025</t>
  </si>
  <si>
    <t>EYS Load</t>
  </si>
  <si>
    <t>22/05/2025</t>
  </si>
  <si>
    <t>Swartland Cape</t>
  </si>
  <si>
    <t>Await Bonsmara slip</t>
  </si>
  <si>
    <t>Noordoewer km</t>
  </si>
  <si>
    <t>31/05/2025</t>
  </si>
  <si>
    <t>still need to pay</t>
  </si>
  <si>
    <t>30/05/2025</t>
  </si>
  <si>
    <t>JHB</t>
  </si>
  <si>
    <t>17/06/2025</t>
  </si>
  <si>
    <t>19/06/2025</t>
  </si>
  <si>
    <t>26/06/2025</t>
  </si>
  <si>
    <t>27/06/2025</t>
  </si>
  <si>
    <t>24/06/2025</t>
  </si>
  <si>
    <t>OAK TREE JHB</t>
  </si>
  <si>
    <t>JHB ENGEN MINT TYRES</t>
  </si>
  <si>
    <t>30/06/2025</t>
  </si>
  <si>
    <t>Mariental 1 Stop</t>
  </si>
  <si>
    <t>Kempston Cape Town</t>
  </si>
  <si>
    <t>Kempston</t>
  </si>
  <si>
    <t>13/07/2025</t>
  </si>
  <si>
    <t>14/07/2025</t>
  </si>
  <si>
    <t>16/07/2025</t>
  </si>
  <si>
    <t>17/07/2025</t>
  </si>
  <si>
    <t>21/07/2025</t>
  </si>
  <si>
    <t>23/07/2025</t>
  </si>
  <si>
    <t>Miny Tyres JHB</t>
  </si>
  <si>
    <t>26/07/2025</t>
  </si>
  <si>
    <t>25/07/2025</t>
  </si>
  <si>
    <t>18/08/2025</t>
  </si>
  <si>
    <t>Bottle Sort loading</t>
  </si>
  <si>
    <t>28/07/2025</t>
  </si>
  <si>
    <t>Kempton Epping</t>
  </si>
  <si>
    <t>29/07/2025</t>
  </si>
  <si>
    <t>31/07/2025</t>
  </si>
  <si>
    <t xml:space="preserve">Bonsmara </t>
  </si>
  <si>
    <t>NBL BEER loading</t>
  </si>
  <si>
    <t>Klawer Engen</t>
  </si>
  <si>
    <t>Swartland</t>
  </si>
  <si>
    <t>14/08/2025</t>
  </si>
  <si>
    <t>16/08/2025</t>
  </si>
  <si>
    <t>15/08/2025</t>
  </si>
  <si>
    <t>19/08/2025</t>
  </si>
  <si>
    <t>20/08/2025</t>
  </si>
  <si>
    <t>22/08/2025</t>
  </si>
  <si>
    <t>Nkurengkuru</t>
  </si>
  <si>
    <t>24/08/2025</t>
  </si>
  <si>
    <t>17/08/2025</t>
  </si>
  <si>
    <t>26/08/2025</t>
  </si>
  <si>
    <t>29/08/2025</t>
  </si>
  <si>
    <t>EYN - Cape Town</t>
  </si>
  <si>
    <t>Dorkas</t>
  </si>
  <si>
    <t>28/08/2025</t>
  </si>
  <si>
    <t>Oaktree JHB</t>
  </si>
  <si>
    <t>16/09/2025</t>
  </si>
  <si>
    <t>Bottle Sort - Cape Town</t>
  </si>
  <si>
    <t>19/09/2025</t>
  </si>
  <si>
    <t>17/09/2025</t>
  </si>
  <si>
    <t>22/09/2025</t>
  </si>
  <si>
    <t>EYN to Keetmans - Cape Town</t>
  </si>
  <si>
    <t>24/09/2025</t>
  </si>
  <si>
    <t>Swartland Engen</t>
  </si>
  <si>
    <t>25/09/2025</t>
  </si>
  <si>
    <t>26/09/2025</t>
  </si>
  <si>
    <t>28/09/2025</t>
  </si>
  <si>
    <t>30/09/2025</t>
  </si>
  <si>
    <t>Keetmans Cash</t>
  </si>
  <si>
    <t>Joel tot in Whk</t>
  </si>
  <si>
    <t>VICTON</t>
  </si>
  <si>
    <t>15/10/2025</t>
  </si>
  <si>
    <t>17/10/2025</t>
  </si>
  <si>
    <t>20/10/2025</t>
  </si>
  <si>
    <t>24/10/2025</t>
  </si>
  <si>
    <t>27/10/2025</t>
  </si>
  <si>
    <t>29/10/2025</t>
  </si>
  <si>
    <t>Engen Klopper JHB</t>
  </si>
  <si>
    <t>JHB Engen  Klopper</t>
  </si>
  <si>
    <t>JHB Oaktree</t>
  </si>
  <si>
    <t>Went for Repacking 60km extra</t>
  </si>
  <si>
    <t>13/11/2025</t>
  </si>
  <si>
    <t>15/11/2025</t>
  </si>
  <si>
    <t>17/11/2025</t>
  </si>
  <si>
    <t>Bonsamara</t>
  </si>
  <si>
    <t>20/11/2025</t>
  </si>
  <si>
    <t>Jhb Oaktree</t>
  </si>
  <si>
    <t>24/11/2025</t>
  </si>
  <si>
    <t>25/11/2025</t>
  </si>
  <si>
    <t>EYN</t>
  </si>
  <si>
    <t>27/11/2025</t>
  </si>
  <si>
    <t>29/11/2025</t>
  </si>
  <si>
    <t>28/11/2025</t>
  </si>
  <si>
    <t>30/11/2025</t>
  </si>
  <si>
    <t>Drove empty to Cape Town</t>
  </si>
  <si>
    <t>13/12/2025</t>
  </si>
  <si>
    <t>NBL Stock</t>
  </si>
  <si>
    <t>to Walvis Bay</t>
  </si>
  <si>
    <t>14/12/2025</t>
  </si>
  <si>
    <t>15/12/2025</t>
  </si>
  <si>
    <t>tot in walvis</t>
  </si>
  <si>
    <t>16/12/2025</t>
  </si>
  <si>
    <t>17/12/2025</t>
  </si>
  <si>
    <t>19/12/2025</t>
  </si>
  <si>
    <t>23/12/2025</t>
  </si>
  <si>
    <t>29/12/2025</t>
  </si>
  <si>
    <t>30/12/2025</t>
  </si>
  <si>
    <t>13/01/2026</t>
  </si>
  <si>
    <t>Collect Empties Groot Aub</t>
  </si>
  <si>
    <t>14/01/2026</t>
  </si>
  <si>
    <t>16/01/2026</t>
  </si>
  <si>
    <t>19/01/2026</t>
  </si>
  <si>
    <t>NBL Load Beer</t>
  </si>
  <si>
    <t>20/01/2026</t>
  </si>
  <si>
    <t>22/01/2026</t>
  </si>
  <si>
    <t>23/01/2026</t>
  </si>
  <si>
    <t>24/01/2026</t>
  </si>
  <si>
    <t>27/01/2026</t>
  </si>
  <si>
    <t>Oak Tree - JHB</t>
  </si>
  <si>
    <t>30/01/2026</t>
  </si>
  <si>
    <t>Charcoal &amp; Furniture</t>
  </si>
  <si>
    <t>Paulpietersburg</t>
  </si>
  <si>
    <t>Loaded at Brakwater</t>
  </si>
  <si>
    <t>Gordina JHB</t>
  </si>
  <si>
    <t>Rencken JHB</t>
  </si>
  <si>
    <t>HiWay Harismith</t>
  </si>
  <si>
    <t>13/02/2026</t>
  </si>
  <si>
    <t>Mariental, Otjiwarongo, Whk, Oshikango, Oshakati Outapi</t>
  </si>
  <si>
    <t>17/02/2026</t>
  </si>
  <si>
    <t>Loaded at Karibib</t>
  </si>
  <si>
    <t>Outjo Otjiwarongo Khorixas Outapi Opuwo</t>
  </si>
  <si>
    <t>18/02/2026</t>
  </si>
  <si>
    <t>19/02/2026</t>
  </si>
  <si>
    <t>HiWay Harrismith</t>
  </si>
  <si>
    <t>21/02/2026</t>
  </si>
  <si>
    <t>24/02/2026</t>
  </si>
  <si>
    <t>27/02/2026</t>
  </si>
  <si>
    <t>28/0/2026</t>
  </si>
  <si>
    <t>Still need to pay 1180</t>
  </si>
  <si>
    <t>Loaded at Tsumeb</t>
  </si>
  <si>
    <t>Load For JHB Charcoal</t>
  </si>
  <si>
    <t>Rehoboth, Gobabis, Windhoek</t>
  </si>
  <si>
    <t>Engen Oak Tree</t>
  </si>
  <si>
    <t>EN SWAKOP</t>
  </si>
  <si>
    <t>Swakop Vivo</t>
  </si>
  <si>
    <t>17/03/2026</t>
  </si>
  <si>
    <t>19/03/2026</t>
  </si>
  <si>
    <t>23/03/2026</t>
  </si>
  <si>
    <t>26/03/2026</t>
  </si>
  <si>
    <t>22/03/2026</t>
  </si>
  <si>
    <t xml:space="preserve">Okahandja Kole laai </t>
  </si>
  <si>
    <t>Ludertitz, Rosh Pinah, Keetmans, Mariental, Rehoboth</t>
  </si>
  <si>
    <t>+furniture 75k</t>
  </si>
  <si>
    <t>NBL Grtfontein</t>
  </si>
  <si>
    <t>21/03/2026</t>
  </si>
  <si>
    <t>25/03/2026</t>
  </si>
  <si>
    <t>Only till Keetmans Diesel en KM</t>
  </si>
  <si>
    <t>31/03/2026</t>
  </si>
  <si>
    <t>30/03/2026</t>
  </si>
  <si>
    <t>Kalkveld</t>
  </si>
  <si>
    <t>Windhoek,Outjo,Khorixas, Windhoek</t>
  </si>
  <si>
    <t>14/04/2026</t>
  </si>
  <si>
    <t>18/04/2026</t>
  </si>
  <si>
    <t>Olunkono ss</t>
  </si>
  <si>
    <t>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</si>
</sst>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_-;\-* #,##0.0_-;_-* &quot;-&quot;??_-;_-@_-"/>
    <numFmt numFmtId="166" formatCode="&quot;$&quot;#,##0.00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Baskerville Old Face"/>
      <family val="1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name val="Arial"/>
      <family val="2"/>
    </font>
    <font>
      <sz val="11"/>
      <color theme="1"/>
      <name val="Arial"/>
      <family val="2"/>
    </font>
    <font>
      <u val="singleAccounting"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C40D8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4B48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7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2" fillId="0" borderId="3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5" fillId="0" borderId="0" xfId="0" applyFont="1"/>
    <xf numFmtId="0" fontId="2" fillId="0" borderId="4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4" xfId="0" applyFont="1" applyBorder="1"/>
    <xf numFmtId="0" fontId="1" fillId="0" borderId="11" xfId="0" applyFont="1" applyBorder="1"/>
    <xf numFmtId="0" fontId="1" fillId="0" borderId="5" xfId="0" applyFont="1" applyBorder="1"/>
    <xf numFmtId="164" fontId="7" fillId="0" borderId="31" xfId="1" applyFont="1" applyFill="1" applyBorder="1"/>
    <xf numFmtId="164" fontId="7" fillId="0" borderId="30" xfId="1" applyFont="1" applyFill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26" xfId="0" applyFont="1" applyBorder="1"/>
    <xf numFmtId="164" fontId="2" fillId="0" borderId="1" xfId="1" applyFont="1" applyFill="1" applyBorder="1"/>
    <xf numFmtId="0" fontId="2" fillId="0" borderId="1" xfId="0" applyFont="1" applyBorder="1" applyAlignment="1">
      <alignment horizontal="center"/>
    </xf>
    <xf numFmtId="164" fontId="2" fillId="0" borderId="1" xfId="1" applyFont="1" applyFill="1" applyBorder="1" applyAlignment="1">
      <alignment horizontal="center"/>
    </xf>
    <xf numFmtId="164" fontId="7" fillId="0" borderId="1" xfId="0" applyNumberFormat="1" applyFont="1" applyBorder="1"/>
    <xf numFmtId="0" fontId="2" fillId="0" borderId="14" xfId="0" applyFont="1" applyBorder="1"/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3" xfId="0" applyFont="1" applyFill="1" applyBorder="1"/>
    <xf numFmtId="0" fontId="7" fillId="2" borderId="2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4" xfId="0" applyFont="1" applyFill="1" applyBorder="1"/>
    <xf numFmtId="0" fontId="7" fillId="2" borderId="9" xfId="0" applyFont="1" applyFill="1" applyBorder="1"/>
    <xf numFmtId="0" fontId="2" fillId="2" borderId="10" xfId="0" applyFont="1" applyFill="1" applyBorder="1"/>
    <xf numFmtId="0" fontId="2" fillId="2" borderId="14" xfId="0" applyFont="1" applyFill="1" applyBorder="1"/>
    <xf numFmtId="0" fontId="2" fillId="2" borderId="3" xfId="0" applyFont="1" applyFill="1" applyBorder="1"/>
    <xf numFmtId="165" fontId="2" fillId="0" borderId="1" xfId="0" applyNumberFormat="1" applyFont="1" applyBorder="1"/>
    <xf numFmtId="14" fontId="7" fillId="2" borderId="19" xfId="0" applyNumberFormat="1" applyFont="1" applyFill="1" applyBorder="1"/>
    <xf numFmtId="14" fontId="7" fillId="2" borderId="2" xfId="0" applyNumberFormat="1" applyFont="1" applyFill="1" applyBorder="1"/>
    <xf numFmtId="14" fontId="7" fillId="2" borderId="4" xfId="0" applyNumberFormat="1" applyFont="1" applyFill="1" applyBorder="1"/>
    <xf numFmtId="164" fontId="2" fillId="0" borderId="0" xfId="1" applyFont="1" applyFill="1"/>
    <xf numFmtId="14" fontId="10" fillId="2" borderId="14" xfId="0" applyNumberFormat="1" applyFont="1" applyFill="1" applyBorder="1"/>
    <xf numFmtId="0" fontId="10" fillId="2" borderId="4" xfId="0" applyFont="1" applyFill="1" applyBorder="1"/>
    <xf numFmtId="0" fontId="10" fillId="2" borderId="3" xfId="0" applyFont="1" applyFill="1" applyBorder="1"/>
    <xf numFmtId="14" fontId="2" fillId="2" borderId="14" xfId="0" applyNumberFormat="1" applyFont="1" applyFill="1" applyBorder="1"/>
    <xf numFmtId="0" fontId="0" fillId="3" borderId="0" xfId="0" applyFill="1"/>
    <xf numFmtId="164" fontId="7" fillId="2" borderId="10" xfId="1" applyFont="1" applyFill="1" applyBorder="1"/>
    <xf numFmtId="164" fontId="7" fillId="2" borderId="21" xfId="1" applyFont="1" applyFill="1" applyBorder="1"/>
    <xf numFmtId="164" fontId="2" fillId="2" borderId="3" xfId="1" applyFont="1" applyFill="1" applyBorder="1"/>
    <xf numFmtId="164" fontId="2" fillId="2" borderId="15" xfId="1" applyFont="1" applyFill="1" applyBorder="1"/>
    <xf numFmtId="164" fontId="2" fillId="0" borderId="3" xfId="1" applyFont="1" applyFill="1" applyBorder="1"/>
    <xf numFmtId="164" fontId="2" fillId="0" borderId="15" xfId="1" applyFont="1" applyFill="1" applyBorder="1"/>
    <xf numFmtId="164" fontId="10" fillId="2" borderId="3" xfId="1" applyFont="1" applyFill="1" applyBorder="1"/>
    <xf numFmtId="164" fontId="10" fillId="2" borderId="15" xfId="1" applyFont="1" applyFill="1" applyBorder="1"/>
    <xf numFmtId="14" fontId="1" fillId="0" borderId="0" xfId="0" applyNumberFormat="1" applyFont="1"/>
    <xf numFmtId="14" fontId="2" fillId="0" borderId="4" xfId="0" applyNumberFormat="1" applyFont="1" applyBorder="1"/>
    <xf numFmtId="43" fontId="2" fillId="0" borderId="0" xfId="0" applyNumberFormat="1" applyFont="1"/>
    <xf numFmtId="164" fontId="0" fillId="0" borderId="0" xfId="1" applyFont="1" applyFill="1"/>
    <xf numFmtId="14" fontId="2" fillId="0" borderId="0" xfId="0" applyNumberFormat="1" applyFont="1"/>
    <xf numFmtId="14" fontId="0" fillId="0" borderId="0" xfId="0" applyNumberFormat="1"/>
    <xf numFmtId="0" fontId="7" fillId="2" borderId="4" xfId="0" applyFont="1" applyFill="1" applyBorder="1" applyAlignment="1">
      <alignment vertical="center"/>
    </xf>
    <xf numFmtId="0" fontId="0" fillId="4" borderId="0" xfId="0" applyFill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14" xfId="0" applyNumberFormat="1" applyFont="1" applyBorder="1"/>
    <xf numFmtId="164" fontId="0" fillId="5" borderId="0" xfId="1" applyFont="1" applyFill="1"/>
    <xf numFmtId="164" fontId="0" fillId="6" borderId="0" xfId="1" applyFont="1" applyFill="1"/>
    <xf numFmtId="164" fontId="6" fillId="6" borderId="0" xfId="1" applyFont="1" applyFill="1"/>
    <xf numFmtId="0" fontId="0" fillId="0" borderId="0" xfId="0" applyAlignment="1">
      <alignment wrapText="1"/>
    </xf>
    <xf numFmtId="164" fontId="12" fillId="6" borderId="31" xfId="1" applyFont="1" applyFill="1" applyBorder="1"/>
    <xf numFmtId="166" fontId="0" fillId="6" borderId="0" xfId="1" applyNumberFormat="1" applyFont="1" applyFill="1"/>
    <xf numFmtId="0" fontId="13" fillId="0" borderId="0" xfId="0" applyFont="1"/>
    <xf numFmtId="14" fontId="2" fillId="0" borderId="2" xfId="0" applyNumberFormat="1" applyFont="1" applyBorder="1"/>
    <xf numFmtId="0" fontId="7" fillId="2" borderId="1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4" fillId="17" borderId="0" xfId="0" applyFont="1" applyFill="1" applyAlignment="1">
      <alignment wrapText="1"/>
    </xf>
    <xf numFmtId="0" fontId="15" fillId="17" borderId="0" xfId="0" applyFont="1" applyFill="1"/>
    <xf numFmtId="0" fontId="14" fillId="17" borderId="0" xfId="0" applyFont="1" applyFill="1"/>
    <xf numFmtId="164" fontId="16" fillId="0" borderId="0" xfId="1" applyFont="1" applyFill="1"/>
    <xf numFmtId="164" fontId="12" fillId="6" borderId="0" xfId="1" applyFont="1" applyFill="1"/>
    <xf numFmtId="164" fontId="12" fillId="5" borderId="0" xfId="1" applyFont="1" applyFill="1"/>
    <xf numFmtId="164" fontId="2" fillId="9" borderId="1" xfId="1" applyFont="1" applyFill="1" applyBorder="1"/>
    <xf numFmtId="43" fontId="2" fillId="8" borderId="0" xfId="0" applyNumberFormat="1" applyFont="1" applyFill="1"/>
    <xf numFmtId="0" fontId="2" fillId="8" borderId="0" xfId="0" applyFont="1" applyFill="1"/>
    <xf numFmtId="164" fontId="2" fillId="0" borderId="0" xfId="0" applyNumberFormat="1" applyFont="1"/>
    <xf numFmtId="0" fontId="7" fillId="0" borderId="0" xfId="0" applyFont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vertical="center"/>
    </xf>
    <xf numFmtId="0" fontId="17" fillId="2" borderId="1" xfId="0" applyFont="1" applyFill="1" applyBorder="1"/>
    <xf numFmtId="14" fontId="10" fillId="2" borderId="14" xfId="0" applyNumberFormat="1" applyFont="1" applyFill="1" applyBorder="1" applyAlignment="1">
      <alignment horizontal="left"/>
    </xf>
    <xf numFmtId="0" fontId="2" fillId="3" borderId="0" xfId="0" applyFont="1" applyFill="1"/>
    <xf numFmtId="43" fontId="0" fillId="0" borderId="0" xfId="0" applyNumberFormat="1"/>
    <xf numFmtId="164" fontId="0" fillId="0" borderId="0" xfId="1" applyFont="1"/>
    <xf numFmtId="0" fontId="10" fillId="3" borderId="4" xfId="0" applyFont="1" applyFill="1" applyBorder="1"/>
    <xf numFmtId="0" fontId="0" fillId="18" borderId="0" xfId="0" applyFill="1"/>
    <xf numFmtId="0" fontId="2" fillId="0" borderId="0" xfId="0" quotePrefix="1" applyFont="1"/>
    <xf numFmtId="164" fontId="0" fillId="0" borderId="0" xfId="0" applyNumberFormat="1"/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2" xfId="1" applyFont="1" applyFill="1" applyBorder="1" applyAlignment="1">
      <alignment horizontal="center"/>
    </xf>
    <xf numFmtId="164" fontId="2" fillId="0" borderId="3" xfId="1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164" fontId="7" fillId="2" borderId="23" xfId="1" applyFont="1" applyFill="1" applyBorder="1" applyAlignment="1">
      <alignment horizontal="center"/>
    </xf>
    <xf numFmtId="164" fontId="7" fillId="2" borderId="17" xfId="1" applyFont="1" applyFill="1" applyBorder="1" applyAlignment="1">
      <alignment horizontal="center"/>
    </xf>
    <xf numFmtId="164" fontId="7" fillId="2" borderId="18" xfId="1" applyFont="1" applyFill="1" applyBorder="1" applyAlignment="1">
      <alignment horizontal="center"/>
    </xf>
    <xf numFmtId="164" fontId="8" fillId="0" borderId="2" xfId="1" applyFont="1" applyFill="1" applyBorder="1" applyAlignment="1">
      <alignment horizontal="center"/>
    </xf>
    <xf numFmtId="164" fontId="8" fillId="0" borderId="3" xfId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164" fontId="2" fillId="2" borderId="2" xfId="1" applyFont="1" applyFill="1" applyBorder="1" applyAlignment="1">
      <alignment horizontal="center"/>
    </xf>
    <xf numFmtId="164" fontId="2" fillId="2" borderId="3" xfId="1" applyFont="1" applyFill="1" applyBorder="1" applyAlignment="1">
      <alignment horizontal="center"/>
    </xf>
    <xf numFmtId="164" fontId="2" fillId="4" borderId="2" xfId="1" applyFont="1" applyFill="1" applyBorder="1" applyAlignment="1">
      <alignment horizontal="center"/>
    </xf>
    <xf numFmtId="164" fontId="2" fillId="4" borderId="3" xfId="1" applyFont="1" applyFill="1" applyBorder="1" applyAlignment="1">
      <alignment horizontal="center"/>
    </xf>
    <xf numFmtId="164" fontId="2" fillId="18" borderId="2" xfId="1" applyFont="1" applyFill="1" applyBorder="1" applyAlignment="1">
      <alignment horizontal="center"/>
    </xf>
    <xf numFmtId="164" fontId="2" fillId="18" borderId="3" xfId="1" applyFont="1" applyFill="1" applyBorder="1" applyAlignment="1">
      <alignment horizontal="center"/>
    </xf>
    <xf numFmtId="164" fontId="2" fillId="3" borderId="2" xfId="1" applyFont="1" applyFill="1" applyBorder="1" applyAlignment="1">
      <alignment horizontal="center"/>
    </xf>
    <xf numFmtId="164" fontId="2" fillId="3" borderId="3" xfId="1" applyFont="1" applyFill="1" applyBorder="1" applyAlignment="1">
      <alignment horizontal="center"/>
    </xf>
    <xf numFmtId="17" fontId="11" fillId="11" borderId="0" xfId="0" applyNumberFormat="1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17" fontId="11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17" fontId="11" fillId="12" borderId="0" xfId="0" applyNumberFormat="1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17" fontId="11" fillId="13" borderId="0" xfId="0" applyNumberFormat="1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17" fontId="11" fillId="8" borderId="0" xfId="0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17" fontId="11" fillId="9" borderId="0" xfId="0" applyNumberFormat="1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17" fontId="11" fillId="10" borderId="0" xfId="0" applyNumberFormat="1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17" fontId="11" fillId="14" borderId="0" xfId="0" applyNumberFormat="1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7" fontId="11" fillId="15" borderId="0" xfId="0" applyNumberFormat="1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17" fontId="11" fillId="16" borderId="0" xfId="0" applyNumberFormat="1" applyFont="1" applyFill="1" applyAlignment="1">
      <alignment horizontal="center"/>
    </xf>
    <xf numFmtId="0" fontId="11" fillId="16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EC40D8"/>
      <color rgb="FF070797"/>
      <color rgb="FF1E650D"/>
      <color rgb="FFFF66FF"/>
      <color rgb="FFFF3300"/>
      <color rgb="FF66FF66"/>
      <color rgb="FFF4B48C"/>
      <color rgb="FFFF9933"/>
      <color rgb="FF99FF99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70797"/>
  </sheetPr>
  <dimension ref="A1:N1935"/>
  <sheetViews>
    <sheetView topLeftCell="A1897" zoomScaleNormal="100" workbookViewId="0">
      <selection activeCell="A1935" sqref="A1935:XFD1935"/>
    </sheetView>
  </sheetViews>
  <sheetFormatPr defaultRowHeight="15" x14ac:dyDescent="0.25"/>
  <cols>
    <col min="1" max="1" width="16" bestFit="1" customWidth="1"/>
    <col min="2" max="2" width="14" bestFit="1" customWidth="1"/>
    <col min="3" max="3" width="10.85546875" customWidth="1"/>
    <col min="4" max="4" width="11" customWidth="1"/>
    <col min="5" max="5" width="11.42578125" customWidth="1"/>
    <col min="6" max="6" width="9" customWidth="1"/>
    <col min="7" max="7" width="14.7109375" customWidth="1"/>
    <col min="9" max="9" width="12.28515625" customWidth="1"/>
    <col min="10" max="10" width="9.42578125" bestFit="1" customWidth="1"/>
    <col min="12" max="12" width="13" customWidth="1"/>
  </cols>
  <sheetData>
    <row r="1" spans="1:12" x14ac:dyDescent="0.25">
      <c r="A1" s="120" t="s">
        <v>24</v>
      </c>
      <c r="B1" s="120"/>
      <c r="C1" s="120"/>
      <c r="D1" s="120"/>
      <c r="E1" s="120"/>
      <c r="F1" s="120"/>
      <c r="G1" s="120"/>
      <c r="H1" s="120"/>
    </row>
    <row r="2" spans="1:12" x14ac:dyDescent="0.25">
      <c r="A2" s="120"/>
      <c r="B2" s="120"/>
      <c r="C2" s="120"/>
      <c r="D2" s="120"/>
      <c r="E2" s="120"/>
      <c r="F2" s="120"/>
      <c r="G2" s="120"/>
      <c r="H2" s="120"/>
    </row>
    <row r="3" spans="1:12" x14ac:dyDescent="0.25">
      <c r="A3" s="1" t="s">
        <v>4</v>
      </c>
      <c r="B3" s="2"/>
      <c r="C3" s="2"/>
      <c r="D3" s="2"/>
      <c r="E3" s="2"/>
      <c r="F3" s="2"/>
      <c r="G3" s="3" t="s">
        <v>5</v>
      </c>
      <c r="H3" s="3" t="s">
        <v>6</v>
      </c>
      <c r="I3" s="4" t="s">
        <v>7</v>
      </c>
      <c r="J3" s="5"/>
      <c r="K3" s="5"/>
      <c r="L3" s="5"/>
    </row>
    <row r="4" spans="1:12" x14ac:dyDescent="0.25">
      <c r="A4" s="28" t="s">
        <v>60</v>
      </c>
      <c r="B4" s="29" t="s">
        <v>42</v>
      </c>
      <c r="C4" s="67"/>
      <c r="D4" s="66"/>
      <c r="E4" s="2"/>
      <c r="F4" s="2"/>
      <c r="G4" s="28" t="s">
        <v>91</v>
      </c>
      <c r="H4" s="66"/>
      <c r="I4" s="33"/>
      <c r="J4" s="6"/>
      <c r="K4" s="33"/>
      <c r="L4" s="6"/>
    </row>
    <row r="5" spans="1:12" x14ac:dyDescent="0.25">
      <c r="A5" s="7" t="s">
        <v>2</v>
      </c>
      <c r="B5" s="5"/>
      <c r="C5" s="5"/>
      <c r="D5" s="5"/>
      <c r="E5" s="5"/>
      <c r="F5" s="5"/>
      <c r="G5" s="8" t="s">
        <v>8</v>
      </c>
      <c r="H5" s="31"/>
      <c r="I5" s="5"/>
      <c r="J5" s="5"/>
      <c r="K5" s="5"/>
      <c r="L5" s="5"/>
    </row>
    <row r="6" spans="1:12" x14ac:dyDescent="0.25">
      <c r="A6" s="7" t="s">
        <v>25</v>
      </c>
      <c r="B6" s="5"/>
      <c r="C6" s="7" t="s">
        <v>0</v>
      </c>
      <c r="D6" s="5"/>
      <c r="E6" s="5"/>
      <c r="F6" s="5"/>
      <c r="G6" s="7" t="s">
        <v>25</v>
      </c>
      <c r="H6" s="5"/>
      <c r="I6" s="7" t="s">
        <v>0</v>
      </c>
      <c r="J6" s="5"/>
      <c r="K6" s="5"/>
      <c r="L6" s="5"/>
    </row>
    <row r="7" spans="1:12" x14ac:dyDescent="0.25">
      <c r="A7" s="42" t="s">
        <v>85</v>
      </c>
      <c r="B7" s="6"/>
      <c r="C7" s="31">
        <v>456471</v>
      </c>
      <c r="D7" s="5"/>
      <c r="E7" s="5"/>
      <c r="F7" s="5"/>
      <c r="G7" s="42"/>
      <c r="H7" s="6"/>
      <c r="I7" s="9"/>
      <c r="J7" s="5"/>
      <c r="K7" s="5"/>
      <c r="L7" s="5"/>
    </row>
    <row r="8" spans="1:12" ht="16.5" thickBot="1" x14ac:dyDescent="0.3">
      <c r="A8" s="7"/>
      <c r="B8" s="5"/>
      <c r="C8" s="5"/>
      <c r="D8" s="5"/>
      <c r="E8" s="5"/>
      <c r="F8" s="5"/>
      <c r="G8" s="10"/>
      <c r="H8" s="5"/>
      <c r="I8" s="5"/>
      <c r="J8" s="5"/>
      <c r="K8" s="5"/>
      <c r="L8" s="5"/>
    </row>
    <row r="9" spans="1:12" ht="15.75" thickBot="1" x14ac:dyDescent="0.3">
      <c r="A9" s="121" t="s">
        <v>9</v>
      </c>
      <c r="B9" s="135"/>
      <c r="C9" s="136"/>
      <c r="D9" s="5"/>
      <c r="E9" s="5"/>
      <c r="F9" s="5"/>
      <c r="G9" s="121" t="s">
        <v>26</v>
      </c>
      <c r="H9" s="135"/>
      <c r="I9" s="136"/>
      <c r="J9" s="5"/>
      <c r="K9" s="5"/>
      <c r="L9" s="5"/>
    </row>
    <row r="10" spans="1:12" x14ac:dyDescent="0.25">
      <c r="A10" s="30" t="s">
        <v>38</v>
      </c>
      <c r="B10" s="11"/>
      <c r="C10" s="11"/>
      <c r="D10" s="11"/>
      <c r="E10" s="6"/>
      <c r="F10" s="5"/>
      <c r="G10" s="30"/>
      <c r="H10" s="11"/>
      <c r="I10" s="11"/>
      <c r="J10" s="11"/>
      <c r="K10" s="11"/>
      <c r="L10" s="6"/>
    </row>
    <row r="11" spans="1:12" ht="15.75" thickBot="1" x14ac:dyDescent="0.3">
      <c r="A11" s="7"/>
      <c r="B11" s="7"/>
      <c r="C11" s="7"/>
      <c r="D11" s="5"/>
      <c r="E11" s="5"/>
      <c r="F11" s="5"/>
      <c r="G11" s="7" t="s">
        <v>3</v>
      </c>
      <c r="H11" s="7"/>
      <c r="I11" s="7"/>
      <c r="J11" s="5"/>
      <c r="K11" s="5"/>
      <c r="L11" s="5"/>
    </row>
    <row r="12" spans="1:12" ht="15.75" thickBot="1" x14ac:dyDescent="0.3">
      <c r="A12" s="121" t="s">
        <v>30</v>
      </c>
      <c r="B12" s="143"/>
      <c r="C12" s="144"/>
      <c r="D12" s="12" t="s">
        <v>1</v>
      </c>
      <c r="E12" s="32"/>
      <c r="F12" s="5"/>
      <c r="G12" s="121" t="s">
        <v>27</v>
      </c>
      <c r="H12" s="135"/>
      <c r="I12" s="136"/>
      <c r="J12" s="5"/>
      <c r="K12" s="12" t="s">
        <v>1</v>
      </c>
      <c r="L12" s="32">
        <v>456716</v>
      </c>
    </row>
    <row r="13" spans="1:12" x14ac:dyDescent="0.25">
      <c r="A13" s="30" t="s">
        <v>77</v>
      </c>
      <c r="B13" s="14"/>
      <c r="C13" s="11"/>
      <c r="D13" s="11"/>
      <c r="E13" s="6"/>
      <c r="F13" s="5"/>
      <c r="G13" s="34"/>
      <c r="H13" s="11"/>
      <c r="I13" s="11"/>
      <c r="J13" s="11"/>
      <c r="K13" s="11"/>
      <c r="L13" s="6"/>
    </row>
    <row r="14" spans="1:12" x14ac:dyDescent="0.25">
      <c r="A14" s="13" t="s">
        <v>92</v>
      </c>
      <c r="B14" s="11"/>
      <c r="C14" s="11"/>
      <c r="D14" s="11"/>
      <c r="E14" s="6"/>
      <c r="F14" s="5"/>
      <c r="G14" s="13"/>
      <c r="H14" s="11"/>
      <c r="I14" s="11"/>
      <c r="J14" s="11"/>
      <c r="K14" s="11"/>
      <c r="L14" s="6"/>
    </row>
    <row r="15" spans="1:12" x14ac:dyDescent="0.25">
      <c r="A15" s="13"/>
      <c r="B15" s="11"/>
      <c r="C15" s="11"/>
      <c r="D15" s="11"/>
      <c r="E15" s="6"/>
      <c r="F15" s="5"/>
      <c r="G15" s="13"/>
      <c r="H15" s="11"/>
      <c r="I15" s="11"/>
      <c r="J15" s="11"/>
      <c r="K15" s="11"/>
      <c r="L15" s="6"/>
    </row>
    <row r="16" spans="1:12" x14ac:dyDescent="0.25">
      <c r="A16" s="13"/>
      <c r="B16" s="11"/>
      <c r="C16" s="11"/>
      <c r="D16" s="11"/>
      <c r="E16" s="6"/>
      <c r="F16" s="5"/>
      <c r="G16" s="13"/>
      <c r="H16" s="11"/>
      <c r="I16" s="11"/>
      <c r="J16" s="11"/>
      <c r="K16" s="11"/>
      <c r="L16" s="6"/>
    </row>
    <row r="17" spans="1:12" ht="15.75" thickBot="1" x14ac:dyDescent="0.3">
      <c r="A17" s="13"/>
      <c r="B17" s="11"/>
      <c r="C17" s="11" t="s">
        <v>29</v>
      </c>
      <c r="D17" s="43"/>
      <c r="E17" s="6"/>
      <c r="F17" s="5"/>
      <c r="G17" s="13"/>
      <c r="H17" s="11"/>
      <c r="I17" s="14" t="s">
        <v>28</v>
      </c>
      <c r="J17" s="43"/>
      <c r="K17" s="11"/>
      <c r="L17" s="6"/>
    </row>
    <row r="18" spans="1:12" ht="15.75" thickBot="1" x14ac:dyDescent="0.3">
      <c r="A18" s="15" t="s">
        <v>10</v>
      </c>
      <c r="B18" s="5"/>
      <c r="C18" s="5"/>
      <c r="D18" s="5"/>
      <c r="E18" s="5"/>
      <c r="F18" s="5"/>
      <c r="G18" s="15" t="s">
        <v>14</v>
      </c>
      <c r="H18" s="5"/>
      <c r="I18" s="5"/>
      <c r="J18" s="5"/>
      <c r="K18" s="5"/>
      <c r="L18" s="5"/>
    </row>
    <row r="19" spans="1:12" ht="15.75" thickBot="1" x14ac:dyDescent="0.3">
      <c r="A19" s="121" t="s">
        <v>11</v>
      </c>
      <c r="B19" s="135"/>
      <c r="C19" s="136"/>
      <c r="D19" s="16" t="s">
        <v>12</v>
      </c>
      <c r="E19" s="16" t="s">
        <v>13</v>
      </c>
      <c r="F19" s="5"/>
      <c r="G19" s="137" t="s">
        <v>15</v>
      </c>
      <c r="H19" s="138"/>
      <c r="I19" s="139"/>
      <c r="J19" s="137" t="s">
        <v>13</v>
      </c>
      <c r="K19" s="140"/>
      <c r="L19" s="5"/>
    </row>
    <row r="20" spans="1:12" x14ac:dyDescent="0.25">
      <c r="A20" s="41" t="s">
        <v>86</v>
      </c>
      <c r="B20" s="36" t="s">
        <v>47</v>
      </c>
      <c r="C20" s="37"/>
      <c r="D20" s="50">
        <v>707.62</v>
      </c>
      <c r="E20" s="51">
        <v>14619.4</v>
      </c>
      <c r="F20" s="44">
        <f>E20/D20</f>
        <v>20.65995873491422</v>
      </c>
      <c r="G20" s="125"/>
      <c r="H20" s="126"/>
      <c r="I20" s="127"/>
      <c r="J20" s="128"/>
      <c r="K20" s="129"/>
      <c r="L20" s="5"/>
    </row>
    <row r="21" spans="1:12" x14ac:dyDescent="0.25">
      <c r="A21" s="48"/>
      <c r="B21" s="35"/>
      <c r="C21" s="39"/>
      <c r="D21" s="52"/>
      <c r="E21" s="53"/>
      <c r="F21" s="44" t="e">
        <f>E21/D21</f>
        <v>#DIV/0!</v>
      </c>
      <c r="G21" s="110"/>
      <c r="H21" s="111"/>
      <c r="I21" s="112"/>
      <c r="J21" s="113"/>
      <c r="K21" s="114"/>
      <c r="L21" s="5"/>
    </row>
    <row r="22" spans="1:12" x14ac:dyDescent="0.25">
      <c r="A22" s="38"/>
      <c r="B22" s="35"/>
      <c r="C22" s="39"/>
      <c r="D22" s="52"/>
      <c r="E22" s="53"/>
      <c r="F22" s="44" t="e">
        <f>E22/D22</f>
        <v>#DIV/0!</v>
      </c>
      <c r="G22" s="110"/>
      <c r="H22" s="111"/>
      <c r="I22" s="112"/>
      <c r="J22" s="113"/>
      <c r="K22" s="114"/>
      <c r="L22" s="5"/>
    </row>
    <row r="23" spans="1:12" x14ac:dyDescent="0.25">
      <c r="A23" s="38"/>
      <c r="B23" s="35"/>
      <c r="C23" s="39"/>
      <c r="D23" s="52"/>
      <c r="E23" s="53"/>
      <c r="F23" s="44" t="e">
        <f>E23/D23</f>
        <v>#DIV/0!</v>
      </c>
      <c r="G23" s="110"/>
      <c r="H23" s="111"/>
      <c r="I23" s="112"/>
      <c r="J23" s="113"/>
      <c r="K23" s="114"/>
      <c r="L23" s="5"/>
    </row>
    <row r="24" spans="1:12" x14ac:dyDescent="0.25">
      <c r="A24" s="27"/>
      <c r="B24" s="11"/>
      <c r="C24" s="6"/>
      <c r="D24" s="54"/>
      <c r="E24" s="55"/>
      <c r="F24" s="44" t="e">
        <f>E24/D24</f>
        <v>#DIV/0!</v>
      </c>
      <c r="G24" s="110"/>
      <c r="H24" s="111"/>
      <c r="I24" s="112"/>
      <c r="J24" s="113"/>
      <c r="K24" s="114"/>
      <c r="L24" s="5"/>
    </row>
    <row r="25" spans="1:12" x14ac:dyDescent="0.25">
      <c r="A25" s="27"/>
      <c r="B25" s="11"/>
      <c r="C25" s="6"/>
      <c r="D25" s="54"/>
      <c r="E25" s="55"/>
      <c r="F25" s="5"/>
      <c r="G25" s="110"/>
      <c r="H25" s="111"/>
      <c r="I25" s="112"/>
      <c r="J25" s="113"/>
      <c r="K25" s="114"/>
      <c r="L25" s="5"/>
    </row>
    <row r="26" spans="1:12" ht="15.75" thickBot="1" x14ac:dyDescent="0.3">
      <c r="A26" s="5"/>
      <c r="B26" s="5"/>
      <c r="C26" s="7" t="s">
        <v>35</v>
      </c>
      <c r="D26" s="17">
        <f>D20+D21+D22+D23+D24+D25</f>
        <v>707.62</v>
      </c>
      <c r="E26" s="17">
        <f>E20+E21+E22+E23+E24+E25</f>
        <v>14619.4</v>
      </c>
      <c r="F26" s="5"/>
      <c r="G26" s="110"/>
      <c r="H26" s="111"/>
      <c r="I26" s="112"/>
      <c r="J26" s="113"/>
      <c r="K26" s="114"/>
      <c r="L26" s="7" t="s">
        <v>36</v>
      </c>
    </row>
    <row r="27" spans="1:12" ht="15.75" thickBot="1" x14ac:dyDescent="0.3">
      <c r="A27" s="5"/>
      <c r="B27" s="5"/>
      <c r="C27" s="5"/>
      <c r="D27" s="5"/>
      <c r="E27" s="5"/>
      <c r="F27" s="5"/>
      <c r="G27" s="130"/>
      <c r="H27" s="131"/>
      <c r="I27" s="132"/>
      <c r="J27" s="133"/>
      <c r="K27" s="134"/>
      <c r="L27" s="18">
        <f>J20+J21+J22+J23+J24+J25+J26+J27</f>
        <v>0</v>
      </c>
    </row>
    <row r="28" spans="1:12" ht="15.75" thickBo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5.75" thickBot="1" x14ac:dyDescent="0.3">
      <c r="A29" s="19"/>
      <c r="B29" s="20"/>
      <c r="C29" s="20"/>
      <c r="D29" s="20"/>
      <c r="E29" s="21" t="s">
        <v>13</v>
      </c>
      <c r="F29" s="5"/>
      <c r="G29" s="19"/>
      <c r="H29" s="20"/>
      <c r="I29" s="20"/>
      <c r="J29" s="20"/>
      <c r="K29" s="21" t="s">
        <v>13</v>
      </c>
      <c r="L29" s="5"/>
    </row>
    <row r="30" spans="1:12" x14ac:dyDescent="0.25">
      <c r="A30" s="22" t="s">
        <v>31</v>
      </c>
      <c r="B30" s="115">
        <v>6407</v>
      </c>
      <c r="C30" s="116"/>
      <c r="D30" s="116"/>
      <c r="E30" s="117"/>
      <c r="F30" s="5"/>
      <c r="G30" s="22" t="s">
        <v>32</v>
      </c>
      <c r="H30" s="115">
        <v>5500</v>
      </c>
      <c r="I30" s="116"/>
      <c r="J30" s="116"/>
      <c r="K30" s="117"/>
      <c r="L30" s="5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7" t="s">
        <v>16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9" t="s">
        <v>17</v>
      </c>
      <c r="B33" s="23">
        <f>L12-C7</f>
        <v>245</v>
      </c>
      <c r="C33" s="5"/>
      <c r="D33" s="106" t="s">
        <v>18</v>
      </c>
      <c r="E33" s="107"/>
      <c r="F33" s="24" t="s">
        <v>19</v>
      </c>
      <c r="G33" s="9" t="s">
        <v>20</v>
      </c>
      <c r="H33" s="118">
        <f>B30+H30</f>
        <v>11907</v>
      </c>
      <c r="I33" s="119"/>
      <c r="J33" s="5"/>
      <c r="K33" s="5"/>
      <c r="L33" s="5"/>
    </row>
    <row r="34" spans="1:12" x14ac:dyDescent="0.25">
      <c r="A34" s="9" t="s">
        <v>41</v>
      </c>
      <c r="B34" s="40">
        <f>B33/D26</f>
        <v>0.34623102795285604</v>
      </c>
      <c r="C34" s="5"/>
      <c r="D34" s="102">
        <f>E26</f>
        <v>14619.4</v>
      </c>
      <c r="E34" s="141"/>
      <c r="F34" s="25">
        <f>H34/B33</f>
        <v>61.703673469387752</v>
      </c>
      <c r="G34" s="9" t="s">
        <v>21</v>
      </c>
      <c r="H34" s="104">
        <f>L27+D34+D36+D38+D40+A37</f>
        <v>15117.4</v>
      </c>
      <c r="I34" s="142"/>
      <c r="J34" s="5"/>
      <c r="K34" s="5"/>
      <c r="L34" s="5"/>
    </row>
    <row r="35" spans="1:12" x14ac:dyDescent="0.25">
      <c r="A35" s="9" t="s">
        <v>43</v>
      </c>
      <c r="B35" s="23">
        <f>D26/B33</f>
        <v>2.8882448979591837</v>
      </c>
      <c r="C35" s="5"/>
      <c r="D35" s="106" t="s">
        <v>33</v>
      </c>
      <c r="E35" s="107"/>
      <c r="F35" s="5"/>
      <c r="G35" s="13" t="s">
        <v>22</v>
      </c>
      <c r="H35" s="6"/>
      <c r="I35" s="26">
        <f>H33-H34</f>
        <v>-3210.3999999999996</v>
      </c>
      <c r="J35" s="5"/>
      <c r="K35" s="5"/>
      <c r="L35" s="5"/>
    </row>
    <row r="36" spans="1:12" x14ac:dyDescent="0.25">
      <c r="A36" s="106" t="s">
        <v>40</v>
      </c>
      <c r="B36" s="107"/>
      <c r="C36" s="5"/>
      <c r="D36" s="108">
        <v>400</v>
      </c>
      <c r="E36" s="109"/>
      <c r="F36" s="5"/>
      <c r="G36" s="5"/>
      <c r="H36" s="5"/>
      <c r="I36" s="5"/>
      <c r="J36" s="5"/>
      <c r="K36" s="5"/>
      <c r="L36" s="5"/>
    </row>
    <row r="37" spans="1:12" x14ac:dyDescent="0.25">
      <c r="A37" s="108">
        <f>B33*0.4</f>
        <v>98</v>
      </c>
      <c r="B37" s="109"/>
      <c r="C37" s="5"/>
      <c r="D37" s="106" t="s">
        <v>34</v>
      </c>
      <c r="E37" s="107"/>
      <c r="F37" s="5"/>
      <c r="G37" s="5"/>
      <c r="H37" s="5"/>
      <c r="I37" s="5"/>
      <c r="J37" s="5"/>
      <c r="K37" s="5"/>
      <c r="L37" s="5"/>
    </row>
    <row r="38" spans="1:12" x14ac:dyDescent="0.25">
      <c r="A38" s="5"/>
      <c r="B38" s="5"/>
      <c r="C38" s="5"/>
      <c r="D38" s="108"/>
      <c r="E38" s="109"/>
      <c r="F38" s="5"/>
      <c r="G38" s="5"/>
      <c r="H38" s="5"/>
      <c r="I38" s="5"/>
      <c r="J38" s="5"/>
      <c r="K38" s="5"/>
      <c r="L38" s="5"/>
    </row>
    <row r="39" spans="1:12" x14ac:dyDescent="0.25">
      <c r="A39" s="5"/>
      <c r="B39" s="5"/>
      <c r="C39" s="5"/>
      <c r="D39" s="106" t="s">
        <v>37</v>
      </c>
      <c r="E39" s="107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5"/>
      <c r="C40" s="5"/>
      <c r="D40" s="108">
        <v>0</v>
      </c>
      <c r="E40" s="109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 t="s">
        <v>23</v>
      </c>
      <c r="B42" s="5" t="s">
        <v>54</v>
      </c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s="49" customFormat="1" x14ac:dyDescent="0.25"/>
    <row r="46" spans="1:12" x14ac:dyDescent="0.25">
      <c r="A46" s="120" t="s">
        <v>24</v>
      </c>
      <c r="B46" s="120"/>
      <c r="C46" s="120"/>
      <c r="D46" s="120"/>
      <c r="E46" s="120"/>
      <c r="F46" s="120"/>
      <c r="G46" s="120"/>
      <c r="H46" s="120"/>
    </row>
    <row r="47" spans="1:12" x14ac:dyDescent="0.25">
      <c r="A47" s="120"/>
      <c r="B47" s="120"/>
      <c r="C47" s="120"/>
      <c r="D47" s="120"/>
      <c r="E47" s="120"/>
      <c r="F47" s="120"/>
      <c r="G47" s="120"/>
      <c r="H47" s="120"/>
    </row>
    <row r="48" spans="1:12" x14ac:dyDescent="0.25">
      <c r="A48" s="1" t="s">
        <v>4</v>
      </c>
      <c r="B48" s="2"/>
      <c r="C48" s="2"/>
      <c r="D48" s="2"/>
      <c r="E48" s="2"/>
      <c r="F48" s="2"/>
      <c r="G48" s="3" t="s">
        <v>5</v>
      </c>
      <c r="H48" s="3" t="s">
        <v>6</v>
      </c>
      <c r="I48" s="4" t="s">
        <v>7</v>
      </c>
      <c r="J48" s="5"/>
      <c r="K48" s="5"/>
      <c r="L48" s="5"/>
    </row>
    <row r="49" spans="1:12" x14ac:dyDescent="0.25">
      <c r="A49" s="28" t="s">
        <v>60</v>
      </c>
      <c r="B49" s="29" t="s">
        <v>42</v>
      </c>
      <c r="C49" s="67"/>
      <c r="D49" s="66"/>
      <c r="E49" s="2"/>
      <c r="F49" s="2"/>
      <c r="G49" s="28" t="s">
        <v>91</v>
      </c>
      <c r="H49" s="66"/>
      <c r="I49" s="33"/>
      <c r="J49" s="6"/>
      <c r="K49" s="33"/>
      <c r="L49" s="6"/>
    </row>
    <row r="50" spans="1:12" x14ac:dyDescent="0.25">
      <c r="A50" s="7" t="s">
        <v>2</v>
      </c>
      <c r="B50" s="5"/>
      <c r="C50" s="5"/>
      <c r="D50" s="5"/>
      <c r="E50" s="5"/>
      <c r="F50" s="5"/>
      <c r="G50" s="8" t="s">
        <v>8</v>
      </c>
      <c r="H50" s="31"/>
      <c r="I50" s="5"/>
      <c r="J50" s="5"/>
      <c r="K50" s="5"/>
      <c r="L50" s="5"/>
    </row>
    <row r="51" spans="1:12" x14ac:dyDescent="0.25">
      <c r="A51" s="7" t="s">
        <v>25</v>
      </c>
      <c r="B51" s="5"/>
      <c r="C51" s="7" t="s">
        <v>0</v>
      </c>
      <c r="D51" s="5"/>
      <c r="E51" s="5"/>
      <c r="F51" s="5"/>
      <c r="G51" s="7" t="s">
        <v>25</v>
      </c>
      <c r="H51" s="5"/>
      <c r="I51" s="7" t="s">
        <v>0</v>
      </c>
      <c r="J51" s="5"/>
      <c r="K51" s="5"/>
      <c r="L51" s="5"/>
    </row>
    <row r="52" spans="1:12" x14ac:dyDescent="0.25">
      <c r="A52" s="42" t="s">
        <v>86</v>
      </c>
      <c r="B52" s="6"/>
      <c r="C52" s="31">
        <v>456000</v>
      </c>
      <c r="D52" s="5"/>
      <c r="E52" s="5"/>
      <c r="F52" s="5"/>
      <c r="G52" s="42"/>
      <c r="H52" s="6"/>
      <c r="I52" s="9"/>
      <c r="J52" s="5"/>
      <c r="K52" s="5"/>
      <c r="L52" s="5"/>
    </row>
    <row r="53" spans="1:12" ht="16.5" thickBot="1" x14ac:dyDescent="0.3">
      <c r="A53" s="7"/>
      <c r="B53" s="5"/>
      <c r="C53" s="5"/>
      <c r="D53" s="5"/>
      <c r="E53" s="5"/>
      <c r="F53" s="5"/>
      <c r="G53" s="10"/>
      <c r="H53" s="5"/>
      <c r="I53" s="5"/>
      <c r="J53" s="5"/>
      <c r="K53" s="5"/>
      <c r="L53" s="5"/>
    </row>
    <row r="54" spans="1:12" ht="15.75" thickBot="1" x14ac:dyDescent="0.3">
      <c r="A54" s="121" t="s">
        <v>9</v>
      </c>
      <c r="B54" s="135"/>
      <c r="C54" s="136"/>
      <c r="D54" s="5"/>
      <c r="E54" s="5"/>
      <c r="F54" s="5"/>
      <c r="G54" s="121" t="s">
        <v>26</v>
      </c>
      <c r="H54" s="135"/>
      <c r="I54" s="136"/>
      <c r="J54" s="5"/>
      <c r="K54" s="5"/>
      <c r="L54" s="5"/>
    </row>
    <row r="55" spans="1:12" x14ac:dyDescent="0.25">
      <c r="A55" s="30" t="s">
        <v>38</v>
      </c>
      <c r="B55" s="11"/>
      <c r="C55" s="11"/>
      <c r="D55" s="11"/>
      <c r="E55" s="6"/>
      <c r="F55" s="5"/>
      <c r="G55" s="30">
        <f>A58</f>
        <v>0</v>
      </c>
      <c r="H55" s="11"/>
      <c r="I55" s="11"/>
      <c r="J55" s="11"/>
      <c r="K55" s="11"/>
      <c r="L55" s="6"/>
    </row>
    <row r="56" spans="1:12" ht="15.75" thickBot="1" x14ac:dyDescent="0.3">
      <c r="A56" s="7"/>
      <c r="B56" s="7"/>
      <c r="C56" s="7"/>
      <c r="D56" s="5"/>
      <c r="E56" s="5"/>
      <c r="F56" s="5"/>
      <c r="G56" s="7" t="s">
        <v>3</v>
      </c>
      <c r="H56" s="7"/>
      <c r="I56" s="7"/>
      <c r="J56" s="5"/>
      <c r="K56" s="5"/>
      <c r="L56" s="5"/>
    </row>
    <row r="57" spans="1:12" ht="15.75" thickBot="1" x14ac:dyDescent="0.3">
      <c r="A57" s="121" t="s">
        <v>30</v>
      </c>
      <c r="B57" s="143"/>
      <c r="C57" s="144"/>
      <c r="D57" s="12" t="s">
        <v>1</v>
      </c>
      <c r="E57" s="32"/>
      <c r="F57" s="5"/>
      <c r="G57" s="121" t="s">
        <v>27</v>
      </c>
      <c r="H57" s="135"/>
      <c r="I57" s="136"/>
      <c r="J57" s="5"/>
      <c r="K57" s="12" t="s">
        <v>1</v>
      </c>
      <c r="L57" s="32"/>
    </row>
    <row r="58" spans="1:12" x14ac:dyDescent="0.25">
      <c r="A58" s="30"/>
      <c r="B58" s="14"/>
      <c r="C58" s="11"/>
      <c r="D58" s="11"/>
      <c r="E58" s="6"/>
      <c r="F58" s="5"/>
      <c r="G58" s="34" t="str">
        <f>A55</f>
        <v>Windhoek</v>
      </c>
      <c r="H58" s="11"/>
      <c r="I58" s="11"/>
      <c r="J58" s="11"/>
      <c r="K58" s="11"/>
      <c r="L58" s="6"/>
    </row>
    <row r="59" spans="1:12" x14ac:dyDescent="0.25">
      <c r="A59" s="13"/>
      <c r="B59" s="11"/>
      <c r="C59" s="11"/>
      <c r="D59" s="11"/>
      <c r="E59" s="6"/>
      <c r="F59" s="5"/>
      <c r="G59" s="13"/>
      <c r="H59" s="11"/>
      <c r="I59" s="11"/>
      <c r="J59" s="11"/>
      <c r="K59" s="11"/>
      <c r="L59" s="6"/>
    </row>
    <row r="60" spans="1:12" x14ac:dyDescent="0.25">
      <c r="A60" s="13"/>
      <c r="B60" s="11"/>
      <c r="C60" s="11"/>
      <c r="D60" s="11"/>
      <c r="E60" s="6"/>
      <c r="F60" s="5"/>
      <c r="G60" s="13"/>
      <c r="H60" s="11"/>
      <c r="I60" s="11"/>
      <c r="J60" s="11"/>
      <c r="K60" s="11"/>
      <c r="L60" s="6"/>
    </row>
    <row r="61" spans="1:12" x14ac:dyDescent="0.25">
      <c r="A61" s="13"/>
      <c r="B61" s="11"/>
      <c r="C61" s="11"/>
      <c r="D61" s="11"/>
      <c r="E61" s="6"/>
      <c r="F61" s="5"/>
      <c r="G61" s="13"/>
      <c r="H61" s="11"/>
      <c r="I61" s="11"/>
      <c r="J61" s="11"/>
      <c r="K61" s="11"/>
      <c r="L61" s="6"/>
    </row>
    <row r="62" spans="1:12" ht="15.75" thickBot="1" x14ac:dyDescent="0.3">
      <c r="A62" s="13"/>
      <c r="B62" s="11"/>
      <c r="C62" s="11" t="s">
        <v>29</v>
      </c>
      <c r="D62" s="43"/>
      <c r="E62" s="6"/>
      <c r="F62" s="5"/>
      <c r="G62" s="13"/>
      <c r="H62" s="11"/>
      <c r="I62" s="14" t="s">
        <v>28</v>
      </c>
      <c r="J62" s="43"/>
      <c r="K62" s="11"/>
      <c r="L62" s="6"/>
    </row>
    <row r="63" spans="1:12" ht="15.75" thickBot="1" x14ac:dyDescent="0.3">
      <c r="A63" s="15" t="s">
        <v>10</v>
      </c>
      <c r="B63" s="5"/>
      <c r="C63" s="5"/>
      <c r="D63" s="5"/>
      <c r="E63" s="5"/>
      <c r="F63" s="5"/>
      <c r="G63" s="15" t="s">
        <v>14</v>
      </c>
      <c r="H63" s="5"/>
      <c r="I63" s="5"/>
      <c r="J63" s="5"/>
      <c r="K63" s="5"/>
      <c r="L63" s="5"/>
    </row>
    <row r="64" spans="1:12" ht="15.75" thickBot="1" x14ac:dyDescent="0.3">
      <c r="A64" s="121" t="s">
        <v>11</v>
      </c>
      <c r="B64" s="135"/>
      <c r="C64" s="136"/>
      <c r="D64" s="16" t="s">
        <v>12</v>
      </c>
      <c r="E64" s="16" t="s">
        <v>13</v>
      </c>
      <c r="F64" s="5"/>
      <c r="G64" s="137" t="s">
        <v>15</v>
      </c>
      <c r="H64" s="138"/>
      <c r="I64" s="139"/>
      <c r="J64" s="137" t="s">
        <v>13</v>
      </c>
      <c r="K64" s="140"/>
      <c r="L64" s="5"/>
    </row>
    <row r="65" spans="1:12" x14ac:dyDescent="0.25">
      <c r="A65" s="41"/>
      <c r="B65" s="36"/>
      <c r="C65" s="37"/>
      <c r="D65" s="50"/>
      <c r="E65" s="51"/>
      <c r="F65" s="44" t="e">
        <f t="shared" ref="F65:F70" si="0">E65/D65</f>
        <v>#DIV/0!</v>
      </c>
      <c r="G65" s="125"/>
      <c r="H65" s="126"/>
      <c r="I65" s="127"/>
      <c r="J65" s="128"/>
      <c r="K65" s="129"/>
      <c r="L65" s="5"/>
    </row>
    <row r="66" spans="1:12" x14ac:dyDescent="0.25">
      <c r="A66" s="48"/>
      <c r="B66" s="35"/>
      <c r="C66" s="39"/>
      <c r="D66" s="52"/>
      <c r="E66" s="53"/>
      <c r="F66" s="44" t="e">
        <f t="shared" si="0"/>
        <v>#DIV/0!</v>
      </c>
      <c r="G66" s="110"/>
      <c r="H66" s="111"/>
      <c r="I66" s="112"/>
      <c r="J66" s="113"/>
      <c r="K66" s="114"/>
      <c r="L66" s="5"/>
    </row>
    <row r="67" spans="1:12" x14ac:dyDescent="0.25">
      <c r="A67" s="38"/>
      <c r="B67" s="35"/>
      <c r="C67" s="39"/>
      <c r="D67" s="52"/>
      <c r="E67" s="53"/>
      <c r="F67" s="44" t="e">
        <f t="shared" si="0"/>
        <v>#DIV/0!</v>
      </c>
      <c r="G67" s="110"/>
      <c r="H67" s="111"/>
      <c r="I67" s="112"/>
      <c r="J67" s="113"/>
      <c r="K67" s="114"/>
      <c r="L67" s="5"/>
    </row>
    <row r="68" spans="1:12" x14ac:dyDescent="0.25">
      <c r="A68" s="48"/>
      <c r="B68" s="35"/>
      <c r="C68" s="39"/>
      <c r="D68" s="52"/>
      <c r="E68" s="53"/>
      <c r="F68" s="44" t="e">
        <f t="shared" si="0"/>
        <v>#DIV/0!</v>
      </c>
      <c r="G68" s="110"/>
      <c r="H68" s="111"/>
      <c r="I68" s="112"/>
      <c r="J68" s="113"/>
      <c r="K68" s="114"/>
      <c r="L68" s="5"/>
    </row>
    <row r="69" spans="1:12" x14ac:dyDescent="0.25">
      <c r="A69" s="27"/>
      <c r="B69" s="11"/>
      <c r="C69" s="6"/>
      <c r="D69" s="54"/>
      <c r="E69" s="55"/>
      <c r="F69" s="44" t="e">
        <f t="shared" si="0"/>
        <v>#DIV/0!</v>
      </c>
      <c r="G69" s="110"/>
      <c r="H69" s="111"/>
      <c r="I69" s="112"/>
      <c r="J69" s="113"/>
      <c r="K69" s="114"/>
      <c r="L69" s="5"/>
    </row>
    <row r="70" spans="1:12" x14ac:dyDescent="0.25">
      <c r="A70" s="68"/>
      <c r="B70" s="11"/>
      <c r="C70" s="6"/>
      <c r="D70" s="54"/>
      <c r="E70" s="55"/>
      <c r="F70" s="44" t="e">
        <f t="shared" si="0"/>
        <v>#DIV/0!</v>
      </c>
      <c r="G70" s="110"/>
      <c r="H70" s="111"/>
      <c r="I70" s="112"/>
      <c r="J70" s="113"/>
      <c r="K70" s="114"/>
      <c r="L70" s="5"/>
    </row>
    <row r="71" spans="1:12" ht="15.75" thickBot="1" x14ac:dyDescent="0.3">
      <c r="A71" s="5"/>
      <c r="B71" s="5"/>
      <c r="C71" s="7" t="s">
        <v>35</v>
      </c>
      <c r="D71" s="17">
        <f>D65+D66+D67+D68+D69+D70</f>
        <v>0</v>
      </c>
      <c r="E71" s="17">
        <f>E65+E66+E67+E68+E69+E70</f>
        <v>0</v>
      </c>
      <c r="F71" s="5"/>
      <c r="G71" s="110"/>
      <c r="H71" s="111"/>
      <c r="I71" s="112"/>
      <c r="J71" s="113"/>
      <c r="K71" s="114"/>
      <c r="L71" s="7" t="s">
        <v>36</v>
      </c>
    </row>
    <row r="72" spans="1:12" ht="15.75" thickBot="1" x14ac:dyDescent="0.3">
      <c r="A72" s="5"/>
      <c r="B72" s="5"/>
      <c r="C72" s="5"/>
      <c r="D72" s="5"/>
      <c r="E72" s="5"/>
      <c r="F72" s="5"/>
      <c r="G72" s="130"/>
      <c r="H72" s="131"/>
      <c r="I72" s="132"/>
      <c r="J72" s="133"/>
      <c r="K72" s="134"/>
      <c r="L72" s="18">
        <f>J65+J66+J67+J68+J69+J70+J71+J72</f>
        <v>0</v>
      </c>
    </row>
    <row r="73" spans="1:12" ht="15.75" thickBo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75" thickBot="1" x14ac:dyDescent="0.3">
      <c r="A74" s="19"/>
      <c r="B74" s="20"/>
      <c r="C74" s="20"/>
      <c r="D74" s="20"/>
      <c r="E74" s="21" t="s">
        <v>13</v>
      </c>
      <c r="F74" s="5"/>
      <c r="G74" s="19"/>
      <c r="H74" s="20"/>
      <c r="I74" s="20"/>
      <c r="J74" s="20"/>
      <c r="K74" s="21" t="s">
        <v>13</v>
      </c>
      <c r="L74" s="5"/>
    </row>
    <row r="75" spans="1:12" x14ac:dyDescent="0.25">
      <c r="A75" s="22" t="s">
        <v>31</v>
      </c>
      <c r="B75" s="115"/>
      <c r="C75" s="116"/>
      <c r="D75" s="116"/>
      <c r="E75" s="117"/>
      <c r="F75" s="5"/>
      <c r="G75" s="22" t="s">
        <v>32</v>
      </c>
      <c r="H75" s="115"/>
      <c r="I75" s="116"/>
      <c r="J75" s="116"/>
      <c r="K75" s="117"/>
      <c r="L75" s="5"/>
    </row>
    <row r="76" spans="1:1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5">
      <c r="A77" s="7" t="s">
        <v>16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25">
      <c r="A78" s="9" t="s">
        <v>17</v>
      </c>
      <c r="B78" s="23">
        <f>L57-C52</f>
        <v>-456000</v>
      </c>
      <c r="C78" s="5"/>
      <c r="D78" s="106" t="s">
        <v>18</v>
      </c>
      <c r="E78" s="107"/>
      <c r="F78" s="24" t="s">
        <v>19</v>
      </c>
      <c r="G78" s="9" t="s">
        <v>20</v>
      </c>
      <c r="H78" s="118">
        <f>B75+H75</f>
        <v>0</v>
      </c>
      <c r="I78" s="119"/>
      <c r="J78" s="5"/>
      <c r="K78" s="5"/>
      <c r="L78" s="5"/>
    </row>
    <row r="79" spans="1:12" x14ac:dyDescent="0.25">
      <c r="A79" s="9" t="s">
        <v>41</v>
      </c>
      <c r="B79" s="40" t="e">
        <f>B78/D71</f>
        <v>#DIV/0!</v>
      </c>
      <c r="C79" s="5"/>
      <c r="D79" s="102">
        <f>E71</f>
        <v>0</v>
      </c>
      <c r="E79" s="141"/>
      <c r="F79" s="25">
        <f>H79/B78</f>
        <v>0.6</v>
      </c>
      <c r="G79" s="9" t="s">
        <v>21</v>
      </c>
      <c r="H79" s="104">
        <f>L72+D79+D81+D83+D85+A82</f>
        <v>-273600</v>
      </c>
      <c r="I79" s="142"/>
      <c r="J79" s="5"/>
      <c r="K79" s="5"/>
      <c r="L79" s="5"/>
    </row>
    <row r="80" spans="1:12" x14ac:dyDescent="0.25">
      <c r="A80" s="9" t="s">
        <v>43</v>
      </c>
      <c r="B80" s="23">
        <f>D71/B78</f>
        <v>0</v>
      </c>
      <c r="C80" s="5"/>
      <c r="D80" s="106" t="s">
        <v>33</v>
      </c>
      <c r="E80" s="107"/>
      <c r="F80" s="5"/>
      <c r="G80" s="13" t="s">
        <v>22</v>
      </c>
      <c r="H80" s="6"/>
      <c r="I80" s="26">
        <f>H78-H79</f>
        <v>273600</v>
      </c>
      <c r="J80" s="5"/>
      <c r="K80" s="5"/>
      <c r="L80" s="5"/>
    </row>
    <row r="81" spans="1:12" x14ac:dyDescent="0.25">
      <c r="A81" s="106" t="s">
        <v>40</v>
      </c>
      <c r="B81" s="107"/>
      <c r="C81" s="5"/>
      <c r="D81" s="108"/>
      <c r="E81" s="109"/>
      <c r="F81" s="5"/>
      <c r="G81" s="5"/>
      <c r="H81" s="5"/>
      <c r="I81" s="5"/>
      <c r="J81" s="5"/>
      <c r="K81" s="5"/>
      <c r="L81" s="5"/>
    </row>
    <row r="82" spans="1:12" x14ac:dyDescent="0.25">
      <c r="A82" s="108">
        <f>B78*0.6</f>
        <v>-273600</v>
      </c>
      <c r="B82" s="109"/>
      <c r="C82" s="5"/>
      <c r="D82" s="106" t="s">
        <v>34</v>
      </c>
      <c r="E82" s="107"/>
      <c r="F82" s="5"/>
      <c r="G82" s="5"/>
      <c r="H82" s="5"/>
      <c r="I82" s="5"/>
      <c r="J82" s="5"/>
      <c r="K82" s="5"/>
      <c r="L82" s="5"/>
    </row>
    <row r="83" spans="1:12" x14ac:dyDescent="0.25">
      <c r="A83" s="5"/>
      <c r="B83" s="5"/>
      <c r="C83" s="5"/>
      <c r="D83" s="108"/>
      <c r="E83" s="109"/>
      <c r="F83" s="5"/>
      <c r="G83" s="5"/>
      <c r="H83" s="5"/>
      <c r="I83" s="5"/>
      <c r="J83" s="5"/>
      <c r="K83" s="5"/>
      <c r="L83" s="5"/>
    </row>
    <row r="84" spans="1:12" x14ac:dyDescent="0.25">
      <c r="A84" s="5"/>
      <c r="B84" s="5"/>
      <c r="C84" s="5"/>
      <c r="D84" s="106" t="s">
        <v>37</v>
      </c>
      <c r="E84" s="107"/>
      <c r="F84" s="5"/>
      <c r="G84" s="5"/>
      <c r="H84" s="5"/>
      <c r="I84" s="5"/>
      <c r="J84" s="5"/>
      <c r="K84" s="5"/>
      <c r="L84" s="5"/>
    </row>
    <row r="85" spans="1:12" x14ac:dyDescent="0.25">
      <c r="A85" s="5"/>
      <c r="B85" s="5"/>
      <c r="C85" s="5"/>
      <c r="D85" s="108">
        <v>0</v>
      </c>
      <c r="E85" s="109"/>
      <c r="F85" s="5"/>
      <c r="G85" s="5"/>
      <c r="H85" s="5"/>
      <c r="I85" s="5"/>
      <c r="J85" s="5"/>
      <c r="K85" s="5"/>
      <c r="L85" s="5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 t="s">
        <v>23</v>
      </c>
      <c r="B87" s="5" t="s">
        <v>54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s="49" customFormat="1" x14ac:dyDescent="0.25"/>
    <row r="91" spans="1:12" x14ac:dyDescent="0.25">
      <c r="A91" s="120" t="s">
        <v>24</v>
      </c>
      <c r="B91" s="120"/>
      <c r="C91" s="120"/>
      <c r="D91" s="120"/>
      <c r="E91" s="120"/>
      <c r="F91" s="120"/>
      <c r="G91" s="120"/>
      <c r="H91" s="120"/>
    </row>
    <row r="92" spans="1:12" x14ac:dyDescent="0.25">
      <c r="A92" s="120"/>
      <c r="B92" s="120"/>
      <c r="C92" s="120"/>
      <c r="D92" s="120"/>
      <c r="E92" s="120"/>
      <c r="F92" s="120"/>
      <c r="G92" s="120"/>
      <c r="H92" s="120"/>
    </row>
    <row r="93" spans="1:12" x14ac:dyDescent="0.25">
      <c r="A93" s="1" t="s">
        <v>4</v>
      </c>
      <c r="B93" s="2"/>
      <c r="C93" s="2"/>
      <c r="D93" s="2"/>
      <c r="E93" s="2"/>
      <c r="F93" s="2"/>
      <c r="G93" s="3" t="s">
        <v>5</v>
      </c>
      <c r="H93" s="3" t="s">
        <v>6</v>
      </c>
      <c r="I93" s="4" t="s">
        <v>7</v>
      </c>
      <c r="J93" s="5"/>
      <c r="K93" s="5"/>
      <c r="L93" s="5"/>
    </row>
    <row r="94" spans="1:12" x14ac:dyDescent="0.25">
      <c r="A94" s="28" t="s">
        <v>60</v>
      </c>
      <c r="B94" s="29" t="s">
        <v>42</v>
      </c>
      <c r="C94" s="67"/>
      <c r="D94" s="66"/>
      <c r="E94" s="2"/>
      <c r="F94" s="2"/>
      <c r="G94" s="28" t="s">
        <v>91</v>
      </c>
      <c r="H94" s="66"/>
      <c r="I94" s="33"/>
      <c r="J94" s="6"/>
      <c r="K94" s="33"/>
      <c r="L94" s="6"/>
    </row>
    <row r="95" spans="1:12" x14ac:dyDescent="0.25">
      <c r="A95" s="7" t="s">
        <v>2</v>
      </c>
      <c r="B95" s="5"/>
      <c r="C95" s="5"/>
      <c r="D95" s="5"/>
      <c r="E95" s="5"/>
      <c r="F95" s="5"/>
      <c r="G95" s="8" t="s">
        <v>8</v>
      </c>
      <c r="H95" s="31"/>
      <c r="I95" s="5"/>
      <c r="J95" s="5"/>
      <c r="K95" s="5"/>
      <c r="L95" s="5"/>
    </row>
    <row r="96" spans="1:12" x14ac:dyDescent="0.25">
      <c r="A96" s="7" t="s">
        <v>25</v>
      </c>
      <c r="B96" s="5"/>
      <c r="C96" s="7" t="s">
        <v>0</v>
      </c>
      <c r="D96" s="5"/>
      <c r="E96" s="5"/>
      <c r="F96" s="5"/>
      <c r="G96" s="7" t="s">
        <v>25</v>
      </c>
      <c r="H96" s="5"/>
      <c r="I96" s="7" t="s">
        <v>0</v>
      </c>
      <c r="J96" s="5"/>
      <c r="K96" s="5"/>
      <c r="L96" s="5"/>
    </row>
    <row r="97" spans="1:12" x14ac:dyDescent="0.25">
      <c r="A97" s="42" t="s">
        <v>86</v>
      </c>
      <c r="B97" s="6"/>
      <c r="C97" s="31">
        <f>L12</f>
        <v>456716</v>
      </c>
      <c r="D97" s="5"/>
      <c r="E97" s="5"/>
      <c r="F97" s="5"/>
      <c r="G97" s="42"/>
      <c r="H97" s="6"/>
      <c r="I97" s="9"/>
      <c r="J97" s="5"/>
      <c r="K97" s="5"/>
      <c r="L97" s="5"/>
    </row>
    <row r="98" spans="1:12" ht="16.5" thickBot="1" x14ac:dyDescent="0.3">
      <c r="A98" s="7"/>
      <c r="B98" s="5"/>
      <c r="C98" s="5"/>
      <c r="D98" s="5"/>
      <c r="E98" s="5"/>
      <c r="F98" s="5"/>
      <c r="G98" s="10"/>
      <c r="H98" s="5"/>
      <c r="I98" s="5"/>
      <c r="J98" s="5"/>
      <c r="K98" s="5"/>
      <c r="L98" s="5"/>
    </row>
    <row r="99" spans="1:12" ht="15.75" thickBot="1" x14ac:dyDescent="0.3">
      <c r="A99" s="121" t="s">
        <v>9</v>
      </c>
      <c r="B99" s="135"/>
      <c r="C99" s="136"/>
      <c r="D99" s="5"/>
      <c r="E99" s="5"/>
      <c r="F99" s="5"/>
      <c r="G99" s="121" t="s">
        <v>26</v>
      </c>
      <c r="H99" s="135"/>
      <c r="I99" s="136"/>
      <c r="J99" s="5"/>
      <c r="K99" s="5"/>
      <c r="L99" s="5"/>
    </row>
    <row r="100" spans="1:12" x14ac:dyDescent="0.25">
      <c r="A100" s="30" t="s">
        <v>38</v>
      </c>
      <c r="B100" s="11"/>
      <c r="C100" s="11"/>
      <c r="D100" s="11"/>
      <c r="E100" s="6"/>
      <c r="F100" s="5"/>
      <c r="G100" s="30" t="str">
        <f>A103</f>
        <v>Cape Town</v>
      </c>
      <c r="H100" s="11"/>
      <c r="I100" s="11"/>
      <c r="J100" s="11"/>
      <c r="K100" s="11"/>
      <c r="L100" s="6"/>
    </row>
    <row r="101" spans="1:12" ht="15.75" thickBot="1" x14ac:dyDescent="0.3">
      <c r="A101" s="7"/>
      <c r="B101" s="7"/>
      <c r="C101" s="7"/>
      <c r="D101" s="5"/>
      <c r="E101" s="5"/>
      <c r="F101" s="5"/>
      <c r="G101" s="7" t="s">
        <v>3</v>
      </c>
      <c r="H101" s="7"/>
      <c r="I101" s="7"/>
      <c r="J101" s="5"/>
      <c r="K101" s="5"/>
      <c r="L101" s="5"/>
    </row>
    <row r="102" spans="1:12" ht="15.75" thickBot="1" x14ac:dyDescent="0.3">
      <c r="A102" s="121" t="s">
        <v>30</v>
      </c>
      <c r="B102" s="143"/>
      <c r="C102" s="144"/>
      <c r="D102" s="12" t="s">
        <v>1</v>
      </c>
      <c r="E102" s="32"/>
      <c r="F102" s="5"/>
      <c r="G102" s="121" t="s">
        <v>27</v>
      </c>
      <c r="H102" s="135"/>
      <c r="I102" s="136"/>
      <c r="J102" s="5"/>
      <c r="K102" s="12" t="s">
        <v>1</v>
      </c>
      <c r="L102" s="32">
        <v>460003</v>
      </c>
    </row>
    <row r="103" spans="1:12" x14ac:dyDescent="0.25">
      <c r="A103" s="30" t="s">
        <v>65</v>
      </c>
      <c r="B103" s="14"/>
      <c r="C103" s="11"/>
      <c r="D103" s="11"/>
      <c r="E103" s="6"/>
      <c r="F103" s="5"/>
      <c r="G103" s="34" t="str">
        <f>A100</f>
        <v>Windhoek</v>
      </c>
      <c r="H103" s="11"/>
      <c r="I103" s="11"/>
      <c r="J103" s="11"/>
      <c r="K103" s="11"/>
      <c r="L103" s="6"/>
    </row>
    <row r="104" spans="1:12" x14ac:dyDescent="0.25">
      <c r="A104" s="13"/>
      <c r="B104" s="11"/>
      <c r="C104" s="11"/>
      <c r="D104" s="11"/>
      <c r="E104" s="6"/>
      <c r="F104" s="5"/>
      <c r="G104" s="13"/>
      <c r="H104" s="11"/>
      <c r="I104" s="11"/>
      <c r="J104" s="11"/>
      <c r="K104" s="11"/>
      <c r="L104" s="6"/>
    </row>
    <row r="105" spans="1:12" x14ac:dyDescent="0.25">
      <c r="A105" s="13"/>
      <c r="B105" s="11"/>
      <c r="C105" s="11"/>
      <c r="D105" s="11"/>
      <c r="E105" s="6"/>
      <c r="F105" s="5"/>
      <c r="G105" s="13"/>
      <c r="H105" s="11"/>
      <c r="I105" s="11"/>
      <c r="J105" s="11"/>
      <c r="K105" s="11"/>
      <c r="L105" s="6"/>
    </row>
    <row r="106" spans="1:12" x14ac:dyDescent="0.25">
      <c r="A106" s="13" t="s">
        <v>94</v>
      </c>
      <c r="B106" s="11"/>
      <c r="C106" s="11"/>
      <c r="D106" s="11"/>
      <c r="E106" s="6"/>
      <c r="F106" s="5"/>
      <c r="G106" s="13"/>
      <c r="H106" s="11"/>
      <c r="I106" s="11"/>
      <c r="J106" s="11"/>
      <c r="K106" s="11"/>
      <c r="L106" s="6"/>
    </row>
    <row r="107" spans="1:12" ht="15.75" thickBot="1" x14ac:dyDescent="0.3">
      <c r="A107" s="13"/>
      <c r="B107" s="11"/>
      <c r="C107" s="11" t="s">
        <v>29</v>
      </c>
      <c r="D107" s="43"/>
      <c r="E107" s="6"/>
      <c r="F107" s="5"/>
      <c r="G107" s="13"/>
      <c r="H107" s="11"/>
      <c r="I107" s="14" t="s">
        <v>28</v>
      </c>
      <c r="J107" s="43"/>
      <c r="K107" s="11"/>
      <c r="L107" s="6"/>
    </row>
    <row r="108" spans="1:12" ht="15.75" thickBot="1" x14ac:dyDescent="0.3">
      <c r="A108" s="15" t="s">
        <v>10</v>
      </c>
      <c r="B108" s="5"/>
      <c r="C108" s="5"/>
      <c r="D108" s="5"/>
      <c r="E108" s="5"/>
      <c r="F108" s="5"/>
      <c r="G108" s="15" t="s">
        <v>14</v>
      </c>
      <c r="H108" s="5"/>
      <c r="I108" s="5"/>
      <c r="J108" s="5"/>
      <c r="K108" s="5"/>
      <c r="L108" s="5"/>
    </row>
    <row r="109" spans="1:12" ht="15.75" thickBot="1" x14ac:dyDescent="0.3">
      <c r="A109" s="121" t="s">
        <v>11</v>
      </c>
      <c r="B109" s="135"/>
      <c r="C109" s="136"/>
      <c r="D109" s="16" t="s">
        <v>12</v>
      </c>
      <c r="E109" s="16" t="s">
        <v>13</v>
      </c>
      <c r="F109" s="5"/>
      <c r="G109" s="137" t="s">
        <v>15</v>
      </c>
      <c r="H109" s="138"/>
      <c r="I109" s="139"/>
      <c r="J109" s="137" t="s">
        <v>13</v>
      </c>
      <c r="K109" s="140"/>
      <c r="L109" s="5"/>
    </row>
    <row r="110" spans="1:12" x14ac:dyDescent="0.25">
      <c r="A110" s="41" t="s">
        <v>87</v>
      </c>
      <c r="B110" s="36" t="s">
        <v>46</v>
      </c>
      <c r="C110" s="37"/>
      <c r="D110" s="50">
        <v>236.00200000000001</v>
      </c>
      <c r="E110" s="51">
        <v>4915.88</v>
      </c>
      <c r="F110" s="44">
        <f t="shared" ref="F110:F115" si="1">E110/D110</f>
        <v>20.829823476072235</v>
      </c>
      <c r="G110" s="125"/>
      <c r="H110" s="126"/>
      <c r="I110" s="127"/>
      <c r="J110" s="128"/>
      <c r="K110" s="129"/>
      <c r="L110" s="5"/>
    </row>
    <row r="111" spans="1:12" x14ac:dyDescent="0.25">
      <c r="A111" s="48" t="s">
        <v>87</v>
      </c>
      <c r="B111" s="35" t="s">
        <v>66</v>
      </c>
      <c r="C111" s="39"/>
      <c r="D111" s="52">
        <v>116.32</v>
      </c>
      <c r="E111" s="53">
        <v>2432.25</v>
      </c>
      <c r="F111" s="44">
        <f t="shared" si="1"/>
        <v>20.909989683631363</v>
      </c>
      <c r="G111" s="110"/>
      <c r="H111" s="111"/>
      <c r="I111" s="112"/>
      <c r="J111" s="113"/>
      <c r="K111" s="114"/>
      <c r="L111" s="5"/>
    </row>
    <row r="112" spans="1:12" x14ac:dyDescent="0.25">
      <c r="A112" s="38" t="s">
        <v>90</v>
      </c>
      <c r="B112" s="35" t="s">
        <v>93</v>
      </c>
      <c r="C112" s="39"/>
      <c r="D112" s="52">
        <v>528.55700000000002</v>
      </c>
      <c r="E112" s="53">
        <v>11924.25</v>
      </c>
      <c r="F112" s="44">
        <f t="shared" si="1"/>
        <v>22.560007719129629</v>
      </c>
      <c r="G112" s="110"/>
      <c r="H112" s="111"/>
      <c r="I112" s="112"/>
      <c r="J112" s="113"/>
      <c r="K112" s="114"/>
      <c r="L112" s="5"/>
    </row>
    <row r="113" spans="1:12" x14ac:dyDescent="0.25">
      <c r="A113" s="48">
        <v>44566</v>
      </c>
      <c r="B113" s="35" t="s">
        <v>66</v>
      </c>
      <c r="C113" s="39"/>
      <c r="D113" s="52">
        <v>200</v>
      </c>
      <c r="E113" s="53">
        <v>4182</v>
      </c>
      <c r="F113" s="44">
        <f t="shared" si="1"/>
        <v>20.91</v>
      </c>
      <c r="G113" s="110"/>
      <c r="H113" s="111"/>
      <c r="I113" s="112"/>
      <c r="J113" s="113"/>
      <c r="K113" s="114"/>
      <c r="L113" s="5"/>
    </row>
    <row r="114" spans="1:12" x14ac:dyDescent="0.25">
      <c r="A114" s="27" t="s">
        <v>88</v>
      </c>
      <c r="B114" s="11" t="s">
        <v>46</v>
      </c>
      <c r="C114" s="6"/>
      <c r="D114" s="54">
        <v>343.24200000000002</v>
      </c>
      <c r="E114" s="55">
        <v>7149.69</v>
      </c>
      <c r="F114" s="44">
        <f t="shared" si="1"/>
        <v>20.829880958623942</v>
      </c>
      <c r="G114" s="110"/>
      <c r="H114" s="111"/>
      <c r="I114" s="112"/>
      <c r="J114" s="113"/>
      <c r="K114" s="114"/>
      <c r="L114" s="5"/>
    </row>
    <row r="115" spans="1:12" x14ac:dyDescent="0.25">
      <c r="A115" s="68">
        <v>44686</v>
      </c>
      <c r="B115" s="11" t="s">
        <v>47</v>
      </c>
      <c r="C115" s="6"/>
      <c r="D115" s="54">
        <v>324.33999999999997</v>
      </c>
      <c r="E115" s="55">
        <v>6603.55</v>
      </c>
      <c r="F115" s="44">
        <f t="shared" si="1"/>
        <v>20.359961768514523</v>
      </c>
      <c r="G115" s="110"/>
      <c r="H115" s="111"/>
      <c r="I115" s="112"/>
      <c r="J115" s="113"/>
      <c r="K115" s="114"/>
      <c r="L115" s="5"/>
    </row>
    <row r="116" spans="1:12" ht="15.75" thickBot="1" x14ac:dyDescent="0.3">
      <c r="A116" s="5"/>
      <c r="B116" s="5"/>
      <c r="C116" s="7" t="s">
        <v>35</v>
      </c>
      <c r="D116" s="17">
        <f>D110+D111+D112+D113+D114+D115</f>
        <v>1748.4609999999998</v>
      </c>
      <c r="E116" s="17">
        <f>E110+E111+E112+E113+E114+E115</f>
        <v>37207.620000000003</v>
      </c>
      <c r="F116" s="5"/>
      <c r="G116" s="110"/>
      <c r="H116" s="111"/>
      <c r="I116" s="112"/>
      <c r="J116" s="113"/>
      <c r="K116" s="114"/>
      <c r="L116" s="7" t="s">
        <v>36</v>
      </c>
    </row>
    <row r="117" spans="1:12" ht="15.75" thickBot="1" x14ac:dyDescent="0.3">
      <c r="A117" s="5"/>
      <c r="B117" s="5"/>
      <c r="C117" s="5"/>
      <c r="D117" s="5"/>
      <c r="E117" s="5"/>
      <c r="F117" s="5"/>
      <c r="G117" s="130"/>
      <c r="H117" s="131"/>
      <c r="I117" s="132"/>
      <c r="J117" s="133"/>
      <c r="K117" s="134"/>
      <c r="L117" s="18">
        <f>J110+J111+J112+J113+J114+J115+J116+J117</f>
        <v>0</v>
      </c>
    </row>
    <row r="118" spans="1:12" ht="15.75" thickBo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75" thickBot="1" x14ac:dyDescent="0.3">
      <c r="A119" s="19"/>
      <c r="B119" s="20"/>
      <c r="C119" s="20"/>
      <c r="D119" s="20"/>
      <c r="E119" s="21" t="s">
        <v>13</v>
      </c>
      <c r="F119" s="5"/>
      <c r="G119" s="19"/>
      <c r="H119" s="20"/>
      <c r="I119" s="20"/>
      <c r="J119" s="20"/>
      <c r="K119" s="21" t="s">
        <v>13</v>
      </c>
      <c r="L119" s="5"/>
    </row>
    <row r="120" spans="1:12" x14ac:dyDescent="0.25">
      <c r="A120" s="22" t="s">
        <v>31</v>
      </c>
      <c r="B120" s="115">
        <v>9476</v>
      </c>
      <c r="C120" s="116"/>
      <c r="D120" s="116"/>
      <c r="E120" s="117"/>
      <c r="F120" s="5"/>
      <c r="G120" s="22" t="s">
        <v>32</v>
      </c>
      <c r="H120" s="115">
        <f>39576+1500+1500</f>
        <v>42576</v>
      </c>
      <c r="I120" s="116"/>
      <c r="J120" s="116"/>
      <c r="K120" s="117"/>
      <c r="L120" s="5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7" t="s">
        <v>16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x14ac:dyDescent="0.25">
      <c r="A123" s="9" t="s">
        <v>17</v>
      </c>
      <c r="B123" s="23">
        <f>L102-C97</f>
        <v>3287</v>
      </c>
      <c r="C123" s="5"/>
      <c r="D123" s="106" t="s">
        <v>18</v>
      </c>
      <c r="E123" s="107"/>
      <c r="F123" s="24" t="s">
        <v>19</v>
      </c>
      <c r="G123" s="9" t="s">
        <v>20</v>
      </c>
      <c r="H123" s="118">
        <f>B120+H120</f>
        <v>52052</v>
      </c>
      <c r="I123" s="119"/>
      <c r="J123" s="5"/>
      <c r="K123" s="5"/>
      <c r="L123" s="5"/>
    </row>
    <row r="124" spans="1:12" x14ac:dyDescent="0.25">
      <c r="A124" s="9" t="s">
        <v>41</v>
      </c>
      <c r="B124" s="40">
        <f>B123/D116</f>
        <v>1.8799389863428468</v>
      </c>
      <c r="C124" s="5"/>
      <c r="D124" s="102">
        <f>E116</f>
        <v>37207.620000000003</v>
      </c>
      <c r="E124" s="141"/>
      <c r="F124" s="25">
        <f>H124/B123</f>
        <v>12.315126254943717</v>
      </c>
      <c r="G124" s="9" t="s">
        <v>21</v>
      </c>
      <c r="H124" s="104">
        <f>L117+D124+D126+D128+D130+A127</f>
        <v>40479.82</v>
      </c>
      <c r="I124" s="142"/>
      <c r="J124" s="5"/>
      <c r="K124" s="5"/>
      <c r="L124" s="5"/>
    </row>
    <row r="125" spans="1:12" x14ac:dyDescent="0.25">
      <c r="A125" s="9" t="s">
        <v>43</v>
      </c>
      <c r="B125" s="23">
        <f>D116/B123</f>
        <v>0.53193215698205043</v>
      </c>
      <c r="C125" s="5"/>
      <c r="D125" s="106" t="s">
        <v>33</v>
      </c>
      <c r="E125" s="107"/>
      <c r="F125" s="5"/>
      <c r="G125" s="13" t="s">
        <v>22</v>
      </c>
      <c r="H125" s="6"/>
      <c r="I125" s="26">
        <f>H123-H124</f>
        <v>11572.18</v>
      </c>
      <c r="J125" s="5"/>
      <c r="K125" s="5"/>
      <c r="L125" s="5"/>
    </row>
    <row r="126" spans="1:12" x14ac:dyDescent="0.25">
      <c r="A126" s="106" t="s">
        <v>40</v>
      </c>
      <c r="B126" s="107"/>
      <c r="C126" s="5"/>
      <c r="D126" s="108">
        <v>800</v>
      </c>
      <c r="E126" s="109"/>
      <c r="F126" s="5"/>
      <c r="G126" s="5"/>
      <c r="H126" s="5"/>
      <c r="I126" s="5"/>
      <c r="J126" s="5"/>
      <c r="K126" s="5"/>
      <c r="L126" s="5"/>
    </row>
    <row r="127" spans="1:12" x14ac:dyDescent="0.25">
      <c r="A127" s="108">
        <f>B123*0.6</f>
        <v>1972.1999999999998</v>
      </c>
      <c r="B127" s="109"/>
      <c r="C127" s="5"/>
      <c r="D127" s="106" t="s">
        <v>34</v>
      </c>
      <c r="E127" s="107"/>
      <c r="F127" s="5"/>
      <c r="G127" s="5"/>
      <c r="H127" s="5"/>
      <c r="I127" s="5"/>
      <c r="J127" s="5"/>
      <c r="K127" s="5"/>
      <c r="L127" s="5"/>
    </row>
    <row r="128" spans="1:12" x14ac:dyDescent="0.25">
      <c r="A128" s="5"/>
      <c r="B128" s="5"/>
      <c r="C128" s="5"/>
      <c r="D128" s="108">
        <v>300</v>
      </c>
      <c r="E128" s="109"/>
      <c r="F128" s="5"/>
      <c r="G128" s="5"/>
      <c r="H128" s="5"/>
      <c r="I128" s="5"/>
      <c r="J128" s="5"/>
      <c r="K128" s="5"/>
      <c r="L128" s="5"/>
    </row>
    <row r="129" spans="1:12" x14ac:dyDescent="0.25">
      <c r="A129" s="5"/>
      <c r="B129" s="5"/>
      <c r="C129" s="5"/>
      <c r="D129" s="106" t="s">
        <v>37</v>
      </c>
      <c r="E129" s="107"/>
      <c r="F129" s="5"/>
      <c r="G129" s="5"/>
      <c r="H129" s="5"/>
      <c r="I129" s="5"/>
      <c r="J129" s="5"/>
      <c r="K129" s="5"/>
      <c r="L129" s="5"/>
    </row>
    <row r="130" spans="1:12" x14ac:dyDescent="0.25">
      <c r="A130" s="5"/>
      <c r="B130" s="5"/>
      <c r="C130" s="5"/>
      <c r="D130" s="108">
        <v>200</v>
      </c>
      <c r="E130" s="109"/>
      <c r="F130" s="5"/>
      <c r="G130" s="5"/>
      <c r="H130" s="5"/>
      <c r="I130" s="5"/>
      <c r="J130" s="5"/>
      <c r="K130" s="5"/>
      <c r="L130" s="5"/>
    </row>
    <row r="131" spans="1:1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x14ac:dyDescent="0.25">
      <c r="A132" s="5" t="s">
        <v>23</v>
      </c>
      <c r="B132" s="5" t="s">
        <v>54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s="49" customFormat="1" x14ac:dyDescent="0.25"/>
    <row r="136" spans="1:12" x14ac:dyDescent="0.25">
      <c r="A136" s="120" t="s">
        <v>24</v>
      </c>
      <c r="B136" s="120"/>
      <c r="C136" s="120"/>
      <c r="D136" s="120"/>
      <c r="E136" s="120"/>
      <c r="F136" s="120"/>
      <c r="G136" s="120"/>
      <c r="H136" s="120"/>
    </row>
    <row r="137" spans="1:12" x14ac:dyDescent="0.25">
      <c r="A137" s="120"/>
      <c r="B137" s="120"/>
      <c r="C137" s="120"/>
      <c r="D137" s="120"/>
      <c r="E137" s="120"/>
      <c r="F137" s="120"/>
      <c r="G137" s="120"/>
      <c r="H137" s="120"/>
    </row>
    <row r="138" spans="1:12" x14ac:dyDescent="0.25">
      <c r="A138" s="1" t="s">
        <v>4</v>
      </c>
      <c r="B138" s="2"/>
      <c r="C138" s="2"/>
      <c r="D138" s="2"/>
      <c r="E138" s="2"/>
      <c r="F138" s="2"/>
      <c r="G138" s="3" t="s">
        <v>5</v>
      </c>
      <c r="H138" s="3" t="s">
        <v>6</v>
      </c>
      <c r="I138" s="4" t="s">
        <v>7</v>
      </c>
      <c r="J138" s="5"/>
      <c r="K138" s="5"/>
      <c r="L138" s="5"/>
    </row>
    <row r="139" spans="1:12" x14ac:dyDescent="0.25">
      <c r="A139" s="28" t="s">
        <v>97</v>
      </c>
      <c r="B139" s="29" t="s">
        <v>42</v>
      </c>
      <c r="C139" s="67"/>
      <c r="D139" s="66"/>
      <c r="E139" s="2"/>
      <c r="F139" s="2"/>
      <c r="G139" s="28" t="s">
        <v>91</v>
      </c>
      <c r="H139" s="66"/>
      <c r="I139" s="33"/>
      <c r="J139" s="6"/>
      <c r="K139" s="33"/>
      <c r="L139" s="6"/>
    </row>
    <row r="140" spans="1:12" x14ac:dyDescent="0.25">
      <c r="A140" s="7" t="s">
        <v>2</v>
      </c>
      <c r="B140" s="5"/>
      <c r="C140" s="5"/>
      <c r="D140" s="5"/>
      <c r="E140" s="5"/>
      <c r="F140" s="5"/>
      <c r="G140" s="8" t="s">
        <v>8</v>
      </c>
      <c r="H140" s="31"/>
      <c r="I140" s="5"/>
      <c r="J140" s="5"/>
      <c r="K140" s="5"/>
      <c r="L140" s="5"/>
    </row>
    <row r="141" spans="1:12" x14ac:dyDescent="0.25">
      <c r="A141" s="7" t="s">
        <v>25</v>
      </c>
      <c r="B141" s="5"/>
      <c r="C141" s="7" t="s">
        <v>0</v>
      </c>
      <c r="D141" s="5"/>
      <c r="E141" s="5"/>
      <c r="F141" s="5"/>
      <c r="G141" s="7" t="s">
        <v>25</v>
      </c>
      <c r="H141" s="5"/>
      <c r="I141" s="7" t="s">
        <v>0</v>
      </c>
      <c r="J141" s="5"/>
      <c r="K141" s="5"/>
      <c r="L141" s="5"/>
    </row>
    <row r="142" spans="1:12" x14ac:dyDescent="0.25">
      <c r="A142" s="42">
        <v>44686</v>
      </c>
      <c r="B142" s="6"/>
      <c r="C142" s="31">
        <f>L102</f>
        <v>460003</v>
      </c>
      <c r="D142" s="5"/>
      <c r="E142" s="5"/>
      <c r="F142" s="5"/>
      <c r="G142" s="42"/>
      <c r="H142" s="6"/>
      <c r="I142" s="9"/>
      <c r="J142" s="5"/>
      <c r="K142" s="5"/>
      <c r="L142" s="5"/>
    </row>
    <row r="143" spans="1:12" ht="16.5" thickBot="1" x14ac:dyDescent="0.3">
      <c r="A143" s="7"/>
      <c r="B143" s="5"/>
      <c r="C143" s="5"/>
      <c r="D143" s="5"/>
      <c r="E143" s="5"/>
      <c r="F143" s="5"/>
      <c r="G143" s="10"/>
      <c r="H143" s="5"/>
      <c r="I143" s="5"/>
      <c r="J143" s="5"/>
      <c r="K143" s="5"/>
      <c r="L143" s="5"/>
    </row>
    <row r="144" spans="1:12" ht="15.75" thickBot="1" x14ac:dyDescent="0.3">
      <c r="A144" s="121" t="s">
        <v>9</v>
      </c>
      <c r="B144" s="135"/>
      <c r="C144" s="136"/>
      <c r="D144" s="5"/>
      <c r="E144" s="5"/>
      <c r="F144" s="5"/>
      <c r="G144" s="121" t="s">
        <v>26</v>
      </c>
      <c r="H144" s="135"/>
      <c r="I144" s="136"/>
      <c r="J144" s="5"/>
      <c r="K144" s="5"/>
      <c r="L144" s="5"/>
    </row>
    <row r="145" spans="1:12" x14ac:dyDescent="0.25">
      <c r="A145" s="30" t="s">
        <v>38</v>
      </c>
      <c r="B145" s="11"/>
      <c r="C145" s="11"/>
      <c r="D145" s="11"/>
      <c r="E145" s="6"/>
      <c r="F145" s="5"/>
      <c r="G145" s="30" t="str">
        <f>A148</f>
        <v>Nina Skraper &amp; Ozirre Carlos &amp; Patrick</v>
      </c>
      <c r="H145" s="11"/>
      <c r="I145" s="11"/>
      <c r="J145" s="11"/>
      <c r="K145" s="11"/>
      <c r="L145" s="6"/>
    </row>
    <row r="146" spans="1:12" ht="15.75" thickBot="1" x14ac:dyDescent="0.3">
      <c r="A146" s="7"/>
      <c r="B146" s="7"/>
      <c r="C146" s="7"/>
      <c r="D146" s="5"/>
      <c r="E146" s="5"/>
      <c r="F146" s="5"/>
      <c r="G146" s="7" t="s">
        <v>3</v>
      </c>
      <c r="H146" s="7"/>
      <c r="I146" s="7"/>
      <c r="J146" s="5"/>
      <c r="K146" s="5"/>
      <c r="L146" s="5"/>
    </row>
    <row r="147" spans="1:12" ht="15.75" thickBot="1" x14ac:dyDescent="0.3">
      <c r="A147" s="121" t="s">
        <v>30</v>
      </c>
      <c r="B147" s="143"/>
      <c r="C147" s="144"/>
      <c r="D147" s="12" t="s">
        <v>1</v>
      </c>
      <c r="E147" s="32"/>
      <c r="F147" s="5"/>
      <c r="G147" s="121" t="s">
        <v>27</v>
      </c>
      <c r="H147" s="135"/>
      <c r="I147" s="136"/>
      <c r="J147" s="5"/>
      <c r="K147" s="12" t="s">
        <v>1</v>
      </c>
      <c r="L147" s="32">
        <v>460808</v>
      </c>
    </row>
    <row r="148" spans="1:12" x14ac:dyDescent="0.25">
      <c r="A148" s="13" t="s">
        <v>95</v>
      </c>
      <c r="B148" s="14"/>
      <c r="C148" s="11"/>
      <c r="D148" s="11"/>
      <c r="E148" s="6"/>
      <c r="F148" s="5"/>
      <c r="G148" s="34" t="str">
        <f>A145</f>
        <v>Windhoek</v>
      </c>
      <c r="H148" s="11"/>
      <c r="I148" s="11"/>
      <c r="J148" s="11"/>
      <c r="K148" s="11"/>
      <c r="L148" s="6"/>
    </row>
    <row r="149" spans="1:12" x14ac:dyDescent="0.25">
      <c r="A149" s="13" t="s">
        <v>75</v>
      </c>
      <c r="B149" s="11" t="s">
        <v>96</v>
      </c>
      <c r="C149" s="11"/>
      <c r="D149" s="11"/>
      <c r="E149" s="6"/>
      <c r="F149" s="5"/>
      <c r="G149" s="13"/>
      <c r="H149" s="11"/>
      <c r="I149" s="11"/>
      <c r="J149" s="11"/>
      <c r="K149" s="11"/>
      <c r="L149" s="6"/>
    </row>
    <row r="150" spans="1:12" x14ac:dyDescent="0.25">
      <c r="A150" s="13"/>
      <c r="B150" s="11"/>
      <c r="C150" s="11"/>
      <c r="D150" s="11"/>
      <c r="E150" s="6"/>
      <c r="F150" s="5"/>
      <c r="G150" s="13"/>
      <c r="H150" s="11"/>
      <c r="I150" s="11"/>
      <c r="J150" s="11"/>
      <c r="K150" s="11"/>
      <c r="L150" s="6"/>
    </row>
    <row r="151" spans="1:12" x14ac:dyDescent="0.25">
      <c r="A151" s="13"/>
      <c r="B151" s="11"/>
      <c r="C151" s="11"/>
      <c r="D151" s="11"/>
      <c r="E151" s="6"/>
      <c r="F151" s="5"/>
      <c r="G151" s="13"/>
      <c r="H151" s="11"/>
      <c r="I151" s="11"/>
      <c r="J151" s="11"/>
      <c r="K151" s="11"/>
      <c r="L151" s="6"/>
    </row>
    <row r="152" spans="1:12" ht="15.75" thickBot="1" x14ac:dyDescent="0.3">
      <c r="A152" s="13"/>
      <c r="B152" s="11"/>
      <c r="C152" s="11" t="s">
        <v>29</v>
      </c>
      <c r="D152" s="43"/>
      <c r="E152" s="6"/>
      <c r="F152" s="5"/>
      <c r="G152" s="13"/>
      <c r="H152" s="11"/>
      <c r="I152" s="14" t="s">
        <v>28</v>
      </c>
      <c r="J152" s="43"/>
      <c r="K152" s="11"/>
      <c r="L152" s="6"/>
    </row>
    <row r="153" spans="1:12" ht="15.75" thickBot="1" x14ac:dyDescent="0.3">
      <c r="A153" s="15" t="s">
        <v>10</v>
      </c>
      <c r="B153" s="5"/>
      <c r="C153" s="5"/>
      <c r="D153" s="5"/>
      <c r="E153" s="5"/>
      <c r="F153" s="5"/>
      <c r="G153" s="15" t="s">
        <v>14</v>
      </c>
      <c r="H153" s="5"/>
      <c r="I153" s="5"/>
      <c r="J153" s="5"/>
      <c r="K153" s="5"/>
      <c r="L153" s="5"/>
    </row>
    <row r="154" spans="1:12" ht="15.75" thickBot="1" x14ac:dyDescent="0.3">
      <c r="A154" s="121" t="s">
        <v>11</v>
      </c>
      <c r="B154" s="135"/>
      <c r="C154" s="136"/>
      <c r="D154" s="16" t="s">
        <v>12</v>
      </c>
      <c r="E154" s="16" t="s">
        <v>13</v>
      </c>
      <c r="F154" s="5"/>
      <c r="G154" s="137" t="s">
        <v>15</v>
      </c>
      <c r="H154" s="138"/>
      <c r="I154" s="139"/>
      <c r="J154" s="137" t="s">
        <v>13</v>
      </c>
      <c r="K154" s="140"/>
      <c r="L154" s="5"/>
    </row>
    <row r="155" spans="1:12" x14ac:dyDescent="0.25">
      <c r="A155" s="41">
        <v>44809</v>
      </c>
      <c r="B155" s="36" t="s">
        <v>47</v>
      </c>
      <c r="C155" s="37"/>
      <c r="D155" s="50">
        <v>402</v>
      </c>
      <c r="E155" s="51">
        <v>8184.7</v>
      </c>
      <c r="F155" s="44">
        <f t="shared" ref="F155:F160" si="2">E155/D155</f>
        <v>20.359950248756217</v>
      </c>
      <c r="G155" s="125"/>
      <c r="H155" s="126"/>
      <c r="I155" s="127"/>
      <c r="J155" s="128"/>
      <c r="K155" s="129"/>
      <c r="L155" s="5"/>
    </row>
    <row r="156" spans="1:12" x14ac:dyDescent="0.25">
      <c r="A156" s="48"/>
      <c r="B156" s="35"/>
      <c r="C156" s="39"/>
      <c r="D156" s="52"/>
      <c r="E156" s="53"/>
      <c r="F156" s="44" t="e">
        <f t="shared" si="2"/>
        <v>#DIV/0!</v>
      </c>
      <c r="G156" s="110"/>
      <c r="H156" s="111"/>
      <c r="I156" s="112"/>
      <c r="J156" s="113"/>
      <c r="K156" s="114"/>
      <c r="L156" s="5"/>
    </row>
    <row r="157" spans="1:12" x14ac:dyDescent="0.25">
      <c r="A157" s="38"/>
      <c r="B157" s="35"/>
      <c r="C157" s="39"/>
      <c r="D157" s="52"/>
      <c r="E157" s="53"/>
      <c r="F157" s="44" t="e">
        <f t="shared" si="2"/>
        <v>#DIV/0!</v>
      </c>
      <c r="G157" s="110"/>
      <c r="H157" s="111"/>
      <c r="I157" s="112"/>
      <c r="J157" s="113"/>
      <c r="K157" s="114"/>
      <c r="L157" s="5"/>
    </row>
    <row r="158" spans="1:12" x14ac:dyDescent="0.25">
      <c r="A158" s="48"/>
      <c r="B158" s="35"/>
      <c r="C158" s="39"/>
      <c r="D158" s="52"/>
      <c r="E158" s="53"/>
      <c r="F158" s="44" t="e">
        <f t="shared" si="2"/>
        <v>#DIV/0!</v>
      </c>
      <c r="G158" s="110"/>
      <c r="H158" s="111"/>
      <c r="I158" s="112"/>
      <c r="J158" s="113"/>
      <c r="K158" s="114"/>
      <c r="L158" s="5"/>
    </row>
    <row r="159" spans="1:12" x14ac:dyDescent="0.25">
      <c r="A159" s="27"/>
      <c r="B159" s="11"/>
      <c r="C159" s="6"/>
      <c r="D159" s="54"/>
      <c r="E159" s="55"/>
      <c r="F159" s="44" t="e">
        <f t="shared" si="2"/>
        <v>#DIV/0!</v>
      </c>
      <c r="G159" s="110"/>
      <c r="H159" s="111"/>
      <c r="I159" s="112"/>
      <c r="J159" s="113"/>
      <c r="K159" s="114"/>
      <c r="L159" s="5"/>
    </row>
    <row r="160" spans="1:12" x14ac:dyDescent="0.25">
      <c r="A160" s="68"/>
      <c r="B160" s="11"/>
      <c r="C160" s="6"/>
      <c r="D160" s="54"/>
      <c r="E160" s="55"/>
      <c r="F160" s="44" t="e">
        <f t="shared" si="2"/>
        <v>#DIV/0!</v>
      </c>
      <c r="G160" s="110"/>
      <c r="H160" s="111"/>
      <c r="I160" s="112"/>
      <c r="J160" s="113"/>
      <c r="K160" s="114"/>
      <c r="L160" s="5"/>
    </row>
    <row r="161" spans="1:14" ht="15.75" thickBot="1" x14ac:dyDescent="0.3">
      <c r="A161" s="5"/>
      <c r="B161" s="5"/>
      <c r="C161" s="7" t="s">
        <v>35</v>
      </c>
      <c r="D161" s="17">
        <f>D155+D156+D157+D158+D159+D160</f>
        <v>402</v>
      </c>
      <c r="E161" s="17">
        <f>E155+E156+E157+E158+E159+E160</f>
        <v>8184.7</v>
      </c>
      <c r="F161" s="5"/>
      <c r="G161" s="110"/>
      <c r="H161" s="111"/>
      <c r="I161" s="112"/>
      <c r="J161" s="113"/>
      <c r="K161" s="114"/>
      <c r="L161" s="7" t="s">
        <v>36</v>
      </c>
    </row>
    <row r="162" spans="1:14" ht="15.75" thickBot="1" x14ac:dyDescent="0.3">
      <c r="A162" s="5"/>
      <c r="B162" s="5"/>
      <c r="C162" s="5"/>
      <c r="D162" s="5"/>
      <c r="E162" s="5"/>
      <c r="F162" s="5"/>
      <c r="G162" s="130"/>
      <c r="H162" s="131"/>
      <c r="I162" s="132"/>
      <c r="J162" s="133"/>
      <c r="K162" s="134"/>
      <c r="L162" s="18">
        <f>J155+J156+J157+J158+J159+J160+J161+J162</f>
        <v>0</v>
      </c>
    </row>
    <row r="163" spans="1:14" ht="15.75" thickBo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4" ht="15.75" thickBot="1" x14ac:dyDescent="0.3">
      <c r="A164" s="19"/>
      <c r="B164" s="20"/>
      <c r="C164" s="20"/>
      <c r="D164" s="20"/>
      <c r="E164" s="21" t="s">
        <v>13</v>
      </c>
      <c r="F164" s="5"/>
      <c r="G164" s="19"/>
      <c r="H164" s="20"/>
      <c r="I164" s="20"/>
      <c r="J164" s="20"/>
      <c r="K164" s="21" t="s">
        <v>13</v>
      </c>
      <c r="L164" s="5"/>
    </row>
    <row r="165" spans="1:14" x14ac:dyDescent="0.25">
      <c r="A165" s="22" t="s">
        <v>31</v>
      </c>
      <c r="B165" s="115">
        <v>10000</v>
      </c>
      <c r="C165" s="116"/>
      <c r="D165" s="116"/>
      <c r="E165" s="117"/>
      <c r="F165" s="5"/>
      <c r="G165" s="22" t="s">
        <v>32</v>
      </c>
      <c r="H165" s="115"/>
      <c r="I165" s="116"/>
      <c r="J165" s="116"/>
      <c r="K165" s="117"/>
      <c r="L165" s="5"/>
    </row>
    <row r="166" spans="1:14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4" x14ac:dyDescent="0.25">
      <c r="A167" s="7" t="s">
        <v>16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N167">
        <v>460877</v>
      </c>
    </row>
    <row r="168" spans="1:14" x14ac:dyDescent="0.25">
      <c r="A168" s="9" t="s">
        <v>17</v>
      </c>
      <c r="B168" s="23">
        <f>L147-C142</f>
        <v>805</v>
      </c>
      <c r="C168" s="5"/>
      <c r="D168" s="106" t="s">
        <v>18</v>
      </c>
      <c r="E168" s="107"/>
      <c r="F168" s="24" t="s">
        <v>19</v>
      </c>
      <c r="G168" s="9" t="s">
        <v>20</v>
      </c>
      <c r="H168" s="118">
        <f>B165+H165</f>
        <v>10000</v>
      </c>
      <c r="I168" s="119"/>
      <c r="J168" s="5"/>
      <c r="K168" s="5"/>
      <c r="L168" s="5"/>
      <c r="N168">
        <v>-460427</v>
      </c>
    </row>
    <row r="169" spans="1:14" x14ac:dyDescent="0.25">
      <c r="A169" s="9" t="s">
        <v>41</v>
      </c>
      <c r="B169" s="40">
        <f>B168/D161</f>
        <v>2.0024875621890548</v>
      </c>
      <c r="C169" s="5"/>
      <c r="D169" s="102">
        <f>E161</f>
        <v>8184.7</v>
      </c>
      <c r="E169" s="141"/>
      <c r="F169" s="25">
        <f>H169/B168</f>
        <v>11.064223602484473</v>
      </c>
      <c r="G169" s="9" t="s">
        <v>21</v>
      </c>
      <c r="H169" s="104">
        <f>L162+D169+D171+D173+D175+A172</f>
        <v>8906.7000000000007</v>
      </c>
      <c r="I169" s="142"/>
      <c r="J169" s="5"/>
      <c r="K169" s="5"/>
      <c r="L169" s="5"/>
      <c r="N169">
        <f>SUM(N167:N168)</f>
        <v>450</v>
      </c>
    </row>
    <row r="170" spans="1:14" x14ac:dyDescent="0.25">
      <c r="A170" s="9" t="s">
        <v>43</v>
      </c>
      <c r="B170" s="23">
        <f>D161/B168</f>
        <v>0.49937888198757763</v>
      </c>
      <c r="C170" s="5"/>
      <c r="D170" s="106" t="s">
        <v>33</v>
      </c>
      <c r="E170" s="107"/>
      <c r="F170" s="5"/>
      <c r="G170" s="13" t="s">
        <v>22</v>
      </c>
      <c r="H170" s="6"/>
      <c r="I170" s="26">
        <f>H168-H169</f>
        <v>1093.2999999999993</v>
      </c>
      <c r="J170" s="5"/>
      <c r="K170" s="5"/>
      <c r="L170" s="5"/>
      <c r="N170">
        <f>450*0.4</f>
        <v>180</v>
      </c>
    </row>
    <row r="171" spans="1:14" x14ac:dyDescent="0.25">
      <c r="A171" s="106" t="s">
        <v>40</v>
      </c>
      <c r="B171" s="107"/>
      <c r="C171" s="5"/>
      <c r="D171" s="108">
        <v>400</v>
      </c>
      <c r="E171" s="109"/>
      <c r="F171" s="5"/>
      <c r="G171" s="5"/>
      <c r="H171" s="5"/>
      <c r="I171" s="5"/>
      <c r="J171" s="5"/>
      <c r="K171" s="5"/>
      <c r="L171" s="5"/>
    </row>
    <row r="172" spans="1:14" x14ac:dyDescent="0.25">
      <c r="A172" s="108">
        <f>B168*0.4</f>
        <v>322</v>
      </c>
      <c r="B172" s="109"/>
      <c r="C172" s="5"/>
      <c r="D172" s="106" t="s">
        <v>34</v>
      </c>
      <c r="E172" s="107"/>
      <c r="F172" s="5"/>
      <c r="G172" s="5"/>
      <c r="H172" s="5"/>
      <c r="I172" s="5"/>
      <c r="J172" s="5"/>
      <c r="K172" s="5"/>
      <c r="L172" s="5"/>
    </row>
    <row r="173" spans="1:14" x14ac:dyDescent="0.25">
      <c r="A173" s="5"/>
      <c r="B173" s="5"/>
      <c r="C173" s="5"/>
      <c r="D173" s="108"/>
      <c r="E173" s="109"/>
      <c r="F173" s="5"/>
      <c r="G173" s="5"/>
      <c r="H173" s="5"/>
      <c r="I173" s="5"/>
      <c r="J173" s="5"/>
      <c r="K173" s="5"/>
      <c r="L173" s="5"/>
    </row>
    <row r="174" spans="1:14" x14ac:dyDescent="0.25">
      <c r="A174" s="5"/>
      <c r="B174" s="5"/>
      <c r="C174" s="5"/>
      <c r="D174" s="106" t="s">
        <v>37</v>
      </c>
      <c r="E174" s="107"/>
      <c r="F174" s="5"/>
      <c r="G174" s="5"/>
      <c r="H174" s="5"/>
      <c r="I174" s="5"/>
      <c r="J174" s="5"/>
      <c r="K174" s="5"/>
      <c r="L174" s="5"/>
    </row>
    <row r="175" spans="1:14" x14ac:dyDescent="0.25">
      <c r="A175" s="5"/>
      <c r="B175" s="5"/>
      <c r="C175" s="5"/>
      <c r="D175" s="108">
        <v>0</v>
      </c>
      <c r="E175" s="109"/>
      <c r="F175" s="5"/>
      <c r="G175" s="5"/>
      <c r="H175" s="5"/>
      <c r="I175" s="5"/>
      <c r="J175" s="5"/>
      <c r="K175" s="5"/>
      <c r="L175" s="5"/>
    </row>
    <row r="176" spans="1:14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x14ac:dyDescent="0.25">
      <c r="A177" s="5" t="s">
        <v>23</v>
      </c>
      <c r="B177" s="5" t="s">
        <v>54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s="49" customFormat="1" x14ac:dyDescent="0.25"/>
    <row r="181" spans="1:12" x14ac:dyDescent="0.25">
      <c r="A181" s="120" t="s">
        <v>24</v>
      </c>
      <c r="B181" s="120"/>
      <c r="C181" s="120"/>
      <c r="D181" s="120"/>
      <c r="E181" s="120"/>
      <c r="F181" s="120"/>
      <c r="G181" s="120"/>
      <c r="H181" s="120"/>
    </row>
    <row r="182" spans="1:12" x14ac:dyDescent="0.25">
      <c r="A182" s="120"/>
      <c r="B182" s="120"/>
      <c r="C182" s="120"/>
      <c r="D182" s="120"/>
      <c r="E182" s="120"/>
      <c r="F182" s="120"/>
      <c r="G182" s="120"/>
      <c r="H182" s="120"/>
    </row>
    <row r="183" spans="1:12" x14ac:dyDescent="0.25">
      <c r="A183" s="1" t="s">
        <v>4</v>
      </c>
      <c r="B183" s="2"/>
      <c r="C183" s="2"/>
      <c r="D183" s="2"/>
      <c r="E183" s="2"/>
      <c r="F183" s="2"/>
      <c r="G183" s="3" t="s">
        <v>5</v>
      </c>
      <c r="H183" s="3" t="s">
        <v>6</v>
      </c>
      <c r="I183" s="4" t="s">
        <v>7</v>
      </c>
      <c r="J183" s="5"/>
      <c r="K183" s="5"/>
      <c r="L183" s="5"/>
    </row>
    <row r="184" spans="1:12" x14ac:dyDescent="0.25">
      <c r="A184" s="28" t="s">
        <v>98</v>
      </c>
      <c r="B184" s="29" t="s">
        <v>62</v>
      </c>
      <c r="C184" s="67"/>
      <c r="D184" s="66"/>
      <c r="E184" s="2"/>
      <c r="F184" s="2"/>
      <c r="G184" s="28" t="s">
        <v>91</v>
      </c>
      <c r="H184" s="66"/>
      <c r="I184" s="33"/>
      <c r="J184" s="6"/>
      <c r="K184" s="33"/>
      <c r="L184" s="6"/>
    </row>
    <row r="185" spans="1:12" x14ac:dyDescent="0.25">
      <c r="A185" s="7" t="s">
        <v>2</v>
      </c>
      <c r="B185" s="5"/>
      <c r="C185" s="5"/>
      <c r="D185" s="5"/>
      <c r="E185" s="5"/>
      <c r="F185" s="5"/>
      <c r="G185" s="8" t="s">
        <v>8</v>
      </c>
      <c r="H185" s="31"/>
      <c r="I185" s="5"/>
      <c r="J185" s="5"/>
      <c r="K185" s="5"/>
      <c r="L185" s="5"/>
    </row>
    <row r="186" spans="1:12" x14ac:dyDescent="0.25">
      <c r="A186" s="7" t="s">
        <v>25</v>
      </c>
      <c r="B186" s="5"/>
      <c r="C186" s="7" t="s">
        <v>0</v>
      </c>
      <c r="D186" s="5"/>
      <c r="E186" s="5"/>
      <c r="F186" s="5"/>
      <c r="G186" s="7" t="s">
        <v>25</v>
      </c>
      <c r="H186" s="5"/>
      <c r="I186" s="7" t="s">
        <v>0</v>
      </c>
      <c r="J186" s="5"/>
      <c r="K186" s="5"/>
      <c r="L186" s="5"/>
    </row>
    <row r="187" spans="1:12" x14ac:dyDescent="0.25">
      <c r="A187" s="42">
        <v>44809</v>
      </c>
      <c r="B187" s="6"/>
      <c r="C187" s="31">
        <f>L147</f>
        <v>460808</v>
      </c>
      <c r="D187" s="5"/>
      <c r="E187" s="5"/>
      <c r="F187" s="5"/>
      <c r="G187" s="42"/>
      <c r="H187" s="6"/>
      <c r="I187" s="9"/>
      <c r="J187" s="5"/>
      <c r="K187" s="5"/>
      <c r="L187" s="5"/>
    </row>
    <row r="188" spans="1:12" ht="16.5" thickBot="1" x14ac:dyDescent="0.3">
      <c r="A188" s="7"/>
      <c r="B188" s="5"/>
      <c r="C188" s="5"/>
      <c r="D188" s="5"/>
      <c r="E188" s="5"/>
      <c r="F188" s="5"/>
      <c r="G188" s="10"/>
      <c r="H188" s="5"/>
      <c r="I188" s="5"/>
      <c r="J188" s="5"/>
      <c r="K188" s="5"/>
      <c r="L188" s="5"/>
    </row>
    <row r="189" spans="1:12" ht="15.75" thickBot="1" x14ac:dyDescent="0.3">
      <c r="A189" s="121" t="s">
        <v>9</v>
      </c>
      <c r="B189" s="135"/>
      <c r="C189" s="136"/>
      <c r="D189" s="5"/>
      <c r="E189" s="5"/>
      <c r="F189" s="5"/>
      <c r="G189" s="121" t="s">
        <v>26</v>
      </c>
      <c r="H189" s="135"/>
      <c r="I189" s="136"/>
      <c r="J189" s="5"/>
      <c r="K189" s="5"/>
      <c r="L189" s="5"/>
    </row>
    <row r="190" spans="1:12" x14ac:dyDescent="0.25">
      <c r="A190" s="30" t="s">
        <v>38</v>
      </c>
      <c r="B190" s="11"/>
      <c r="C190" s="11"/>
      <c r="D190" s="11"/>
      <c r="E190" s="6"/>
      <c r="F190" s="5"/>
      <c r="G190" s="30" t="str">
        <f>A193</f>
        <v>Walvis Bay</v>
      </c>
      <c r="H190" s="11"/>
      <c r="I190" s="11"/>
      <c r="J190" s="11"/>
      <c r="K190" s="11"/>
      <c r="L190" s="6"/>
    </row>
    <row r="191" spans="1:12" ht="15.75" thickBot="1" x14ac:dyDescent="0.3">
      <c r="A191" s="7"/>
      <c r="B191" s="7"/>
      <c r="C191" s="7"/>
      <c r="D191" s="5"/>
      <c r="E191" s="5"/>
      <c r="F191" s="5"/>
      <c r="G191" s="7" t="s">
        <v>3</v>
      </c>
      <c r="H191" s="7"/>
      <c r="I191" s="7"/>
      <c r="J191" s="5"/>
      <c r="K191" s="5"/>
      <c r="L191" s="5"/>
    </row>
    <row r="192" spans="1:12" ht="15.75" thickBot="1" x14ac:dyDescent="0.3">
      <c r="A192" s="121" t="s">
        <v>30</v>
      </c>
      <c r="B192" s="143"/>
      <c r="C192" s="144"/>
      <c r="D192" s="12" t="s">
        <v>1</v>
      </c>
      <c r="E192" s="32"/>
      <c r="F192" s="5"/>
      <c r="G192" s="121" t="s">
        <v>27</v>
      </c>
      <c r="H192" s="135"/>
      <c r="I192" s="136"/>
      <c r="J192" s="5"/>
      <c r="K192" s="12" t="s">
        <v>1</v>
      </c>
      <c r="L192" s="32">
        <v>461943</v>
      </c>
    </row>
    <row r="193" spans="1:12" x14ac:dyDescent="0.25">
      <c r="A193" s="13" t="s">
        <v>57</v>
      </c>
      <c r="B193" s="14"/>
      <c r="C193" s="11"/>
      <c r="D193" s="11"/>
      <c r="E193" s="6"/>
      <c r="F193" s="5"/>
      <c r="G193" s="34" t="str">
        <f>A190</f>
        <v>Windhoek</v>
      </c>
      <c r="H193" s="11"/>
      <c r="I193" s="11"/>
      <c r="J193" s="11"/>
      <c r="K193" s="11"/>
      <c r="L193" s="6"/>
    </row>
    <row r="194" spans="1:12" x14ac:dyDescent="0.25">
      <c r="A194" s="13" t="s">
        <v>100</v>
      </c>
      <c r="B194" s="11"/>
      <c r="C194" s="11"/>
      <c r="D194" s="11"/>
      <c r="E194" s="6"/>
      <c r="F194" s="5"/>
      <c r="G194" s="13"/>
      <c r="H194" s="11"/>
      <c r="I194" s="11"/>
      <c r="J194" s="11"/>
      <c r="K194" s="11"/>
      <c r="L194" s="6"/>
    </row>
    <row r="195" spans="1:12" x14ac:dyDescent="0.25">
      <c r="A195" s="13" t="s">
        <v>84</v>
      </c>
      <c r="B195" s="11"/>
      <c r="C195" s="11"/>
      <c r="D195" s="11"/>
      <c r="E195" s="6"/>
      <c r="F195" s="5"/>
      <c r="G195" s="13"/>
      <c r="H195" s="11"/>
      <c r="I195" s="11"/>
      <c r="J195" s="11"/>
      <c r="K195" s="11"/>
      <c r="L195" s="6"/>
    </row>
    <row r="196" spans="1:12" x14ac:dyDescent="0.25">
      <c r="A196" s="13"/>
      <c r="B196" s="11"/>
      <c r="C196" s="11"/>
      <c r="D196" s="11"/>
      <c r="E196" s="6"/>
      <c r="F196" s="5"/>
      <c r="G196" s="13"/>
      <c r="H196" s="11"/>
      <c r="I196" s="11"/>
      <c r="J196" s="11"/>
      <c r="K196" s="11"/>
      <c r="L196" s="6"/>
    </row>
    <row r="197" spans="1:12" ht="15.75" thickBot="1" x14ac:dyDescent="0.3">
      <c r="A197" s="13"/>
      <c r="B197" s="11"/>
      <c r="C197" s="11" t="s">
        <v>29</v>
      </c>
      <c r="D197" s="43"/>
      <c r="E197" s="6"/>
      <c r="F197" s="5"/>
      <c r="G197" s="13"/>
      <c r="H197" s="11"/>
      <c r="I197" s="14" t="s">
        <v>28</v>
      </c>
      <c r="J197" s="43"/>
      <c r="K197" s="11"/>
      <c r="L197" s="6"/>
    </row>
    <row r="198" spans="1:12" ht="15.75" thickBot="1" x14ac:dyDescent="0.3">
      <c r="A198" s="15" t="s">
        <v>10</v>
      </c>
      <c r="B198" s="5"/>
      <c r="C198" s="5"/>
      <c r="D198" s="5"/>
      <c r="E198" s="5"/>
      <c r="F198" s="5"/>
      <c r="G198" s="15" t="s">
        <v>14</v>
      </c>
      <c r="H198" s="5"/>
      <c r="I198" s="5"/>
      <c r="J198" s="5"/>
      <c r="K198" s="5"/>
      <c r="L198" s="5"/>
    </row>
    <row r="199" spans="1:12" ht="15.75" thickBot="1" x14ac:dyDescent="0.3">
      <c r="A199" s="121" t="s">
        <v>11</v>
      </c>
      <c r="B199" s="135"/>
      <c r="C199" s="136"/>
      <c r="D199" s="16" t="s">
        <v>12</v>
      </c>
      <c r="E199" s="16" t="s">
        <v>13</v>
      </c>
      <c r="F199" s="5"/>
      <c r="G199" s="137" t="s">
        <v>15</v>
      </c>
      <c r="H199" s="138"/>
      <c r="I199" s="139"/>
      <c r="J199" s="137" t="s">
        <v>13</v>
      </c>
      <c r="K199" s="140"/>
      <c r="L199" s="5"/>
    </row>
    <row r="200" spans="1:12" x14ac:dyDescent="0.25">
      <c r="A200" s="41">
        <v>44839</v>
      </c>
      <c r="B200" s="36" t="s">
        <v>53</v>
      </c>
      <c r="C200" s="37"/>
      <c r="D200" s="50">
        <v>145</v>
      </c>
      <c r="E200" s="51">
        <v>2901.45</v>
      </c>
      <c r="F200" s="44">
        <f t="shared" ref="F200:F205" si="3">E200/D200</f>
        <v>20.009999999999998</v>
      </c>
      <c r="G200" s="125"/>
      <c r="H200" s="126"/>
      <c r="I200" s="127"/>
      <c r="J200" s="128"/>
      <c r="K200" s="129"/>
      <c r="L200" s="5"/>
    </row>
    <row r="201" spans="1:12" x14ac:dyDescent="0.25">
      <c r="A201" s="48" t="s">
        <v>99</v>
      </c>
      <c r="B201" s="35" t="s">
        <v>47</v>
      </c>
      <c r="C201" s="39"/>
      <c r="D201" s="52">
        <v>317.27</v>
      </c>
      <c r="E201" s="53">
        <v>6459.6</v>
      </c>
      <c r="F201" s="44">
        <f t="shared" si="3"/>
        <v>20.359945787499608</v>
      </c>
      <c r="G201" s="110"/>
      <c r="H201" s="111"/>
      <c r="I201" s="112"/>
      <c r="J201" s="113"/>
      <c r="K201" s="114"/>
      <c r="L201" s="5"/>
    </row>
    <row r="202" spans="1:12" x14ac:dyDescent="0.25">
      <c r="A202" s="38"/>
      <c r="B202" s="35"/>
      <c r="C202" s="39"/>
      <c r="D202" s="52"/>
      <c r="E202" s="53"/>
      <c r="F202" s="44" t="e">
        <f t="shared" si="3"/>
        <v>#DIV/0!</v>
      </c>
      <c r="G202" s="110"/>
      <c r="H202" s="111"/>
      <c r="I202" s="112"/>
      <c r="J202" s="113"/>
      <c r="K202" s="114"/>
      <c r="L202" s="5"/>
    </row>
    <row r="203" spans="1:12" x14ac:dyDescent="0.25">
      <c r="A203" s="48"/>
      <c r="B203" s="35"/>
      <c r="C203" s="39"/>
      <c r="D203" s="52"/>
      <c r="E203" s="53"/>
      <c r="F203" s="44" t="e">
        <f t="shared" si="3"/>
        <v>#DIV/0!</v>
      </c>
      <c r="G203" s="110"/>
      <c r="H203" s="111"/>
      <c r="I203" s="112"/>
      <c r="J203" s="113"/>
      <c r="K203" s="114"/>
      <c r="L203" s="5"/>
    </row>
    <row r="204" spans="1:12" x14ac:dyDescent="0.25">
      <c r="A204" s="27"/>
      <c r="B204" s="11"/>
      <c r="C204" s="6"/>
      <c r="D204" s="54"/>
      <c r="E204" s="55"/>
      <c r="F204" s="44" t="e">
        <f t="shared" si="3"/>
        <v>#DIV/0!</v>
      </c>
      <c r="G204" s="110"/>
      <c r="H204" s="111"/>
      <c r="I204" s="112"/>
      <c r="J204" s="113"/>
      <c r="K204" s="114"/>
      <c r="L204" s="5"/>
    </row>
    <row r="205" spans="1:12" x14ac:dyDescent="0.25">
      <c r="A205" s="68"/>
      <c r="B205" s="11"/>
      <c r="C205" s="6"/>
      <c r="D205" s="54"/>
      <c r="E205" s="55"/>
      <c r="F205" s="44" t="e">
        <f t="shared" si="3"/>
        <v>#DIV/0!</v>
      </c>
      <c r="G205" s="110"/>
      <c r="H205" s="111"/>
      <c r="I205" s="112"/>
      <c r="J205" s="113"/>
      <c r="K205" s="114"/>
      <c r="L205" s="5"/>
    </row>
    <row r="206" spans="1:12" ht="15.75" thickBot="1" x14ac:dyDescent="0.3">
      <c r="A206" s="5"/>
      <c r="B206" s="5"/>
      <c r="C206" s="7" t="s">
        <v>35</v>
      </c>
      <c r="D206" s="17">
        <f>D200+D201+D202+D203+D204+D205</f>
        <v>462.27</v>
      </c>
      <c r="E206" s="17">
        <f>E200+E201+E202+E203+E204+E205</f>
        <v>9361.0499999999993</v>
      </c>
      <c r="F206" s="5"/>
      <c r="G206" s="110"/>
      <c r="H206" s="111"/>
      <c r="I206" s="112"/>
      <c r="J206" s="113"/>
      <c r="K206" s="114"/>
      <c r="L206" s="7" t="s">
        <v>36</v>
      </c>
    </row>
    <row r="207" spans="1:12" ht="15.75" thickBot="1" x14ac:dyDescent="0.3">
      <c r="A207" s="5"/>
      <c r="B207" s="5"/>
      <c r="C207" s="5"/>
      <c r="D207" s="5"/>
      <c r="E207" s="5"/>
      <c r="F207" s="5"/>
      <c r="G207" s="130"/>
      <c r="H207" s="131"/>
      <c r="I207" s="132"/>
      <c r="J207" s="133"/>
      <c r="K207" s="134"/>
      <c r="L207" s="18">
        <f>J200+J201+J202+J203+J204+J205+J206+J207</f>
        <v>0</v>
      </c>
    </row>
    <row r="208" spans="1:12" ht="15.75" thickBo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75" thickBot="1" x14ac:dyDescent="0.3">
      <c r="A209" s="19"/>
      <c r="B209" s="20"/>
      <c r="C209" s="20"/>
      <c r="D209" s="20"/>
      <c r="E209" s="21" t="s">
        <v>13</v>
      </c>
      <c r="F209" s="5"/>
      <c r="G209" s="19"/>
      <c r="H209" s="20"/>
      <c r="I209" s="20"/>
      <c r="J209" s="20"/>
      <c r="K209" s="21" t="s">
        <v>13</v>
      </c>
      <c r="L209" s="5"/>
    </row>
    <row r="210" spans="1:12" x14ac:dyDescent="0.25">
      <c r="A210" s="22" t="s">
        <v>31</v>
      </c>
      <c r="B210" s="115">
        <v>9534</v>
      </c>
      <c r="C210" s="116"/>
      <c r="D210" s="116"/>
      <c r="E210" s="117"/>
      <c r="F210" s="5"/>
      <c r="G210" s="22" t="s">
        <v>32</v>
      </c>
      <c r="H210" s="115">
        <f>4893+1087</f>
        <v>5980</v>
      </c>
      <c r="I210" s="116"/>
      <c r="J210" s="116"/>
      <c r="K210" s="117"/>
      <c r="L210" s="5"/>
    </row>
    <row r="211" spans="1:1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x14ac:dyDescent="0.25">
      <c r="A212" s="7" t="s">
        <v>16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x14ac:dyDescent="0.25">
      <c r="A213" s="9" t="s">
        <v>17</v>
      </c>
      <c r="B213" s="23">
        <f>L192-C187</f>
        <v>1135</v>
      </c>
      <c r="C213" s="5"/>
      <c r="D213" s="106" t="s">
        <v>18</v>
      </c>
      <c r="E213" s="107"/>
      <c r="F213" s="24" t="s">
        <v>19</v>
      </c>
      <c r="G213" s="9" t="s">
        <v>20</v>
      </c>
      <c r="H213" s="118">
        <f>B210+H210</f>
        <v>15514</v>
      </c>
      <c r="I213" s="119"/>
      <c r="J213" s="5"/>
      <c r="K213" s="5"/>
      <c r="L213" s="5"/>
    </row>
    <row r="214" spans="1:12" x14ac:dyDescent="0.25">
      <c r="A214" s="9" t="s">
        <v>41</v>
      </c>
      <c r="B214" s="40">
        <f>B213/D206</f>
        <v>2.4552750557033769</v>
      </c>
      <c r="C214" s="5"/>
      <c r="D214" s="102">
        <f>E206</f>
        <v>9361.0499999999993</v>
      </c>
      <c r="E214" s="141"/>
      <c r="F214" s="25">
        <f>H214/B213</f>
        <v>9.3084140969162981</v>
      </c>
      <c r="G214" s="9" t="s">
        <v>21</v>
      </c>
      <c r="H214" s="104">
        <f>L207+D214+D216+D218+D220+A217</f>
        <v>10565.05</v>
      </c>
      <c r="I214" s="142"/>
      <c r="J214" s="5"/>
      <c r="K214" s="5"/>
      <c r="L214" s="5"/>
    </row>
    <row r="215" spans="1:12" x14ac:dyDescent="0.25">
      <c r="A215" s="9" t="s">
        <v>43</v>
      </c>
      <c r="B215" s="23">
        <f>D206/B213</f>
        <v>0.40728634361233479</v>
      </c>
      <c r="C215" s="5"/>
      <c r="D215" s="106" t="s">
        <v>33</v>
      </c>
      <c r="E215" s="107"/>
      <c r="F215" s="5"/>
      <c r="G215" s="13" t="s">
        <v>22</v>
      </c>
      <c r="H215" s="6"/>
      <c r="I215" s="26">
        <f>H213-H214</f>
        <v>4948.9500000000007</v>
      </c>
      <c r="J215" s="5"/>
      <c r="K215" s="5"/>
      <c r="L215" s="5"/>
    </row>
    <row r="216" spans="1:12" x14ac:dyDescent="0.25">
      <c r="A216" s="106" t="s">
        <v>40</v>
      </c>
      <c r="B216" s="107"/>
      <c r="C216" s="5"/>
      <c r="D216" s="108">
        <f>250+200</f>
        <v>450</v>
      </c>
      <c r="E216" s="109"/>
      <c r="F216" s="5"/>
      <c r="G216" s="5"/>
      <c r="H216" s="5"/>
      <c r="I216" s="5"/>
      <c r="J216" s="5"/>
      <c r="K216" s="5"/>
      <c r="L216" s="5"/>
    </row>
    <row r="217" spans="1:12" x14ac:dyDescent="0.25">
      <c r="A217" s="108">
        <f>B213*0.4</f>
        <v>454</v>
      </c>
      <c r="B217" s="109"/>
      <c r="C217" s="5"/>
      <c r="D217" s="106" t="s">
        <v>34</v>
      </c>
      <c r="E217" s="107"/>
      <c r="F217" s="5"/>
      <c r="G217" s="5"/>
      <c r="H217" s="5"/>
      <c r="I217" s="5"/>
      <c r="J217" s="5"/>
      <c r="K217" s="5"/>
      <c r="L217" s="5"/>
    </row>
    <row r="218" spans="1:12" x14ac:dyDescent="0.25">
      <c r="A218" s="5"/>
      <c r="B218" s="5"/>
      <c r="C218" s="5"/>
      <c r="D218" s="108">
        <v>200</v>
      </c>
      <c r="E218" s="109"/>
      <c r="F218" s="5"/>
      <c r="G218" s="5"/>
      <c r="H218" s="5"/>
      <c r="I218" s="5"/>
      <c r="J218" s="5"/>
      <c r="K218" s="5"/>
      <c r="L218" s="5"/>
    </row>
    <row r="219" spans="1:12" x14ac:dyDescent="0.25">
      <c r="A219" s="5"/>
      <c r="B219" s="5"/>
      <c r="C219" s="5"/>
      <c r="D219" s="106" t="s">
        <v>37</v>
      </c>
      <c r="E219" s="107"/>
      <c r="F219" s="5"/>
      <c r="G219" s="5"/>
      <c r="H219" s="5"/>
      <c r="I219" s="5"/>
      <c r="J219" s="5"/>
      <c r="K219" s="5"/>
      <c r="L219" s="5"/>
    </row>
    <row r="220" spans="1:12" x14ac:dyDescent="0.25">
      <c r="A220" s="5"/>
      <c r="B220" s="5"/>
      <c r="C220" s="5"/>
      <c r="D220" s="108">
        <v>100</v>
      </c>
      <c r="E220" s="109"/>
      <c r="F220" s="5"/>
      <c r="G220" s="5"/>
      <c r="H220" s="5"/>
      <c r="I220" s="5"/>
      <c r="J220" s="5"/>
      <c r="K220" s="5"/>
      <c r="L220" s="5"/>
    </row>
    <row r="221" spans="1:1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25">
      <c r="A222" s="5" t="s">
        <v>23</v>
      </c>
      <c r="B222" s="5" t="s">
        <v>54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s="49" customFormat="1" x14ac:dyDescent="0.25"/>
    <row r="226" spans="1:12" x14ac:dyDescent="0.25">
      <c r="A226" s="120" t="s">
        <v>24</v>
      </c>
      <c r="B226" s="120"/>
      <c r="C226" s="120"/>
      <c r="D226" s="120"/>
      <c r="E226" s="120"/>
      <c r="F226" s="120"/>
      <c r="G226" s="120"/>
      <c r="H226" s="120"/>
    </row>
    <row r="227" spans="1:12" x14ac:dyDescent="0.25">
      <c r="A227" s="120"/>
      <c r="B227" s="120"/>
      <c r="C227" s="120"/>
      <c r="D227" s="120"/>
      <c r="E227" s="120"/>
      <c r="F227" s="120"/>
      <c r="G227" s="120"/>
      <c r="H227" s="120"/>
    </row>
    <row r="228" spans="1:12" x14ac:dyDescent="0.25">
      <c r="A228" s="1" t="s">
        <v>4</v>
      </c>
      <c r="B228" s="2"/>
      <c r="C228" s="2"/>
      <c r="D228" s="2"/>
      <c r="E228" s="2"/>
      <c r="F228" s="2"/>
      <c r="G228" s="3" t="s">
        <v>5</v>
      </c>
      <c r="H228" s="3" t="s">
        <v>6</v>
      </c>
      <c r="I228" s="4" t="s">
        <v>7</v>
      </c>
      <c r="J228" s="5"/>
      <c r="K228" s="5"/>
      <c r="L228" s="5"/>
    </row>
    <row r="229" spans="1:12" x14ac:dyDescent="0.25">
      <c r="A229" s="28" t="s">
        <v>98</v>
      </c>
      <c r="B229" s="29" t="s">
        <v>42</v>
      </c>
      <c r="C229" s="67"/>
      <c r="D229" s="66"/>
      <c r="E229" s="2"/>
      <c r="F229" s="2"/>
      <c r="G229" s="28" t="s">
        <v>91</v>
      </c>
      <c r="H229" s="66"/>
      <c r="I229" s="33"/>
      <c r="J229" s="6"/>
      <c r="K229" s="33"/>
      <c r="L229" s="6"/>
    </row>
    <row r="230" spans="1:12" x14ac:dyDescent="0.25">
      <c r="A230" s="7" t="s">
        <v>2</v>
      </c>
      <c r="B230" s="5"/>
      <c r="C230" s="5"/>
      <c r="D230" s="5"/>
      <c r="E230" s="5"/>
      <c r="F230" s="5"/>
      <c r="G230" s="8" t="s">
        <v>8</v>
      </c>
      <c r="H230" s="31"/>
      <c r="I230" s="5"/>
      <c r="J230" s="5"/>
      <c r="K230" s="5"/>
      <c r="L230" s="5"/>
    </row>
    <row r="231" spans="1:12" x14ac:dyDescent="0.25">
      <c r="A231" s="7" t="s">
        <v>25</v>
      </c>
      <c r="B231" s="5"/>
      <c r="C231" s="7" t="s">
        <v>0</v>
      </c>
      <c r="D231" s="5"/>
      <c r="E231" s="5"/>
      <c r="F231" s="5"/>
      <c r="G231" s="7" t="s">
        <v>25</v>
      </c>
      <c r="H231" s="5"/>
      <c r="I231" s="7" t="s">
        <v>0</v>
      </c>
      <c r="J231" s="5"/>
      <c r="K231" s="5"/>
      <c r="L231" s="5"/>
    </row>
    <row r="232" spans="1:12" x14ac:dyDescent="0.25">
      <c r="A232" s="42" t="s">
        <v>101</v>
      </c>
      <c r="B232" s="6"/>
      <c r="C232" s="31">
        <f>L192</f>
        <v>461943</v>
      </c>
      <c r="D232" s="5"/>
      <c r="E232" s="5"/>
      <c r="F232" s="5"/>
      <c r="G232" s="42"/>
      <c r="H232" s="6"/>
      <c r="I232" s="9"/>
      <c r="J232" s="5"/>
      <c r="K232" s="5"/>
      <c r="L232" s="5"/>
    </row>
    <row r="233" spans="1:12" ht="16.5" thickBot="1" x14ac:dyDescent="0.3">
      <c r="A233" s="7"/>
      <c r="B233" s="5"/>
      <c r="C233" s="5"/>
      <c r="D233" s="5"/>
      <c r="E233" s="5"/>
      <c r="F233" s="5"/>
      <c r="G233" s="10"/>
      <c r="H233" s="5"/>
      <c r="I233" s="5"/>
      <c r="J233" s="5"/>
      <c r="K233" s="5"/>
      <c r="L233" s="5"/>
    </row>
    <row r="234" spans="1:12" ht="15.75" thickBot="1" x14ac:dyDescent="0.3">
      <c r="A234" s="121" t="s">
        <v>9</v>
      </c>
      <c r="B234" s="135"/>
      <c r="C234" s="136"/>
      <c r="D234" s="5"/>
      <c r="E234" s="5"/>
      <c r="F234" s="5"/>
      <c r="G234" s="121" t="s">
        <v>26</v>
      </c>
      <c r="H234" s="135"/>
      <c r="I234" s="136"/>
      <c r="J234" s="5"/>
      <c r="K234" s="5"/>
      <c r="L234" s="5"/>
    </row>
    <row r="235" spans="1:12" x14ac:dyDescent="0.25">
      <c r="A235" s="30" t="s">
        <v>38</v>
      </c>
      <c r="B235" s="11"/>
      <c r="C235" s="11"/>
      <c r="D235" s="11"/>
      <c r="E235" s="6"/>
      <c r="F235" s="5"/>
      <c r="G235" s="30" t="str">
        <f>A238</f>
        <v>Keetmans</v>
      </c>
      <c r="H235" s="11"/>
      <c r="I235" s="11"/>
      <c r="J235" s="11"/>
      <c r="K235" s="11"/>
      <c r="L235" s="6"/>
    </row>
    <row r="236" spans="1:12" ht="15.75" thickBot="1" x14ac:dyDescent="0.3">
      <c r="A236" s="7"/>
      <c r="B236" s="7"/>
      <c r="C236" s="7"/>
      <c r="D236" s="5"/>
      <c r="E236" s="5"/>
      <c r="F236" s="5"/>
      <c r="G236" s="7" t="s">
        <v>3</v>
      </c>
      <c r="H236" s="7"/>
      <c r="I236" s="7"/>
      <c r="J236" s="5"/>
      <c r="K236" s="5"/>
      <c r="L236" s="5"/>
    </row>
    <row r="237" spans="1:12" ht="15.75" thickBot="1" x14ac:dyDescent="0.3">
      <c r="A237" s="121" t="s">
        <v>30</v>
      </c>
      <c r="B237" s="143"/>
      <c r="C237" s="144"/>
      <c r="D237" s="12" t="s">
        <v>1</v>
      </c>
      <c r="E237" s="32"/>
      <c r="F237" s="5"/>
      <c r="G237" s="121" t="s">
        <v>27</v>
      </c>
      <c r="H237" s="135"/>
      <c r="I237" s="136"/>
      <c r="J237" s="5"/>
      <c r="K237" s="12" t="s">
        <v>1</v>
      </c>
      <c r="L237" s="32">
        <v>462985</v>
      </c>
    </row>
    <row r="238" spans="1:12" x14ac:dyDescent="0.25">
      <c r="A238" s="13" t="s">
        <v>46</v>
      </c>
      <c r="B238" s="14"/>
      <c r="C238" s="11"/>
      <c r="D238" s="11"/>
      <c r="E238" s="6"/>
      <c r="F238" s="5"/>
      <c r="G238" s="34" t="str">
        <f>A235</f>
        <v>Windhoek</v>
      </c>
      <c r="H238" s="11"/>
      <c r="I238" s="11"/>
      <c r="J238" s="11"/>
      <c r="K238" s="11"/>
      <c r="L238" s="6"/>
    </row>
    <row r="239" spans="1:12" x14ac:dyDescent="0.25">
      <c r="A239" s="13" t="s">
        <v>103</v>
      </c>
      <c r="B239" s="11"/>
      <c r="C239" s="11"/>
      <c r="D239" s="11"/>
      <c r="E239" s="6"/>
      <c r="F239" s="5"/>
      <c r="G239" s="13"/>
      <c r="H239" s="11"/>
      <c r="I239" s="11"/>
      <c r="J239" s="11"/>
      <c r="K239" s="11"/>
      <c r="L239" s="6"/>
    </row>
    <row r="240" spans="1:12" x14ac:dyDescent="0.25">
      <c r="A240" s="13"/>
      <c r="B240" s="11"/>
      <c r="C240" s="11"/>
      <c r="D240" s="11"/>
      <c r="E240" s="6"/>
      <c r="F240" s="5"/>
      <c r="G240" s="13"/>
      <c r="H240" s="11"/>
      <c r="I240" s="11"/>
      <c r="J240" s="11"/>
      <c r="K240" s="11"/>
      <c r="L240" s="6"/>
    </row>
    <row r="241" spans="1:12" x14ac:dyDescent="0.25">
      <c r="A241" s="13"/>
      <c r="B241" s="11"/>
      <c r="C241" s="11"/>
      <c r="D241" s="11"/>
      <c r="E241" s="6"/>
      <c r="F241" s="5"/>
      <c r="G241" s="13"/>
      <c r="H241" s="11"/>
      <c r="I241" s="11"/>
      <c r="J241" s="11"/>
      <c r="K241" s="11"/>
      <c r="L241" s="6"/>
    </row>
    <row r="242" spans="1:12" ht="15.75" thickBot="1" x14ac:dyDescent="0.3">
      <c r="A242" s="13"/>
      <c r="B242" s="11"/>
      <c r="C242" s="11" t="s">
        <v>29</v>
      </c>
      <c r="D242" s="43"/>
      <c r="E242" s="6"/>
      <c r="F242" s="5"/>
      <c r="G242" s="13"/>
      <c r="H242" s="11"/>
      <c r="I242" s="14" t="s">
        <v>28</v>
      </c>
      <c r="J242" s="43"/>
      <c r="K242" s="11"/>
      <c r="L242" s="6"/>
    </row>
    <row r="243" spans="1:12" ht="15.75" thickBot="1" x14ac:dyDescent="0.3">
      <c r="A243" s="15" t="s">
        <v>10</v>
      </c>
      <c r="B243" s="5"/>
      <c r="C243" s="5"/>
      <c r="D243" s="5"/>
      <c r="E243" s="5"/>
      <c r="F243" s="5"/>
      <c r="G243" s="15" t="s">
        <v>14</v>
      </c>
      <c r="H243" s="5"/>
      <c r="I243" s="5"/>
      <c r="J243" s="5"/>
      <c r="K243" s="5"/>
      <c r="L243" s="5"/>
    </row>
    <row r="244" spans="1:12" ht="15.75" thickBot="1" x14ac:dyDescent="0.3">
      <c r="A244" s="121" t="s">
        <v>11</v>
      </c>
      <c r="B244" s="135"/>
      <c r="C244" s="136"/>
      <c r="D244" s="16" t="s">
        <v>12</v>
      </c>
      <c r="E244" s="16" t="s">
        <v>13</v>
      </c>
      <c r="F244" s="5"/>
      <c r="G244" s="137" t="s">
        <v>15</v>
      </c>
      <c r="H244" s="138"/>
      <c r="I244" s="139"/>
      <c r="J244" s="137" t="s">
        <v>13</v>
      </c>
      <c r="K244" s="140"/>
      <c r="L244" s="5"/>
    </row>
    <row r="245" spans="1:12" x14ac:dyDescent="0.25">
      <c r="A245" s="41" t="s">
        <v>102</v>
      </c>
      <c r="B245" s="36" t="s">
        <v>47</v>
      </c>
      <c r="C245" s="37"/>
      <c r="D245" s="50">
        <v>442.05</v>
      </c>
      <c r="E245" s="51">
        <v>9000.15</v>
      </c>
      <c r="F245" s="44">
        <f t="shared" ref="F245:F250" si="4">E245/D245</f>
        <v>20.360027146250424</v>
      </c>
      <c r="G245" s="125"/>
      <c r="H245" s="126"/>
      <c r="I245" s="127"/>
      <c r="J245" s="128"/>
      <c r="K245" s="129"/>
      <c r="L245" s="5"/>
    </row>
    <row r="246" spans="1:12" x14ac:dyDescent="0.25">
      <c r="A246" s="48"/>
      <c r="B246" s="35"/>
      <c r="C246" s="39"/>
      <c r="D246" s="52"/>
      <c r="E246" s="53"/>
      <c r="F246" s="44" t="e">
        <f t="shared" si="4"/>
        <v>#DIV/0!</v>
      </c>
      <c r="G246" s="110"/>
      <c r="H246" s="111"/>
      <c r="I246" s="112"/>
      <c r="J246" s="113"/>
      <c r="K246" s="114"/>
      <c r="L246" s="5"/>
    </row>
    <row r="247" spans="1:12" x14ac:dyDescent="0.25">
      <c r="A247" s="38"/>
      <c r="B247" s="35"/>
      <c r="C247" s="39"/>
      <c r="D247" s="52"/>
      <c r="E247" s="53"/>
      <c r="F247" s="44" t="e">
        <f t="shared" si="4"/>
        <v>#DIV/0!</v>
      </c>
      <c r="G247" s="110"/>
      <c r="H247" s="111"/>
      <c r="I247" s="112"/>
      <c r="J247" s="113"/>
      <c r="K247" s="114"/>
      <c r="L247" s="5"/>
    </row>
    <row r="248" spans="1:12" x14ac:dyDescent="0.25">
      <c r="A248" s="48"/>
      <c r="B248" s="35"/>
      <c r="C248" s="39"/>
      <c r="D248" s="52"/>
      <c r="E248" s="53"/>
      <c r="F248" s="44" t="e">
        <f t="shared" si="4"/>
        <v>#DIV/0!</v>
      </c>
      <c r="G248" s="110"/>
      <c r="H248" s="111"/>
      <c r="I248" s="112"/>
      <c r="J248" s="113"/>
      <c r="K248" s="114"/>
      <c r="L248" s="5"/>
    </row>
    <row r="249" spans="1:12" x14ac:dyDescent="0.25">
      <c r="A249" s="27"/>
      <c r="B249" s="11"/>
      <c r="C249" s="6"/>
      <c r="D249" s="54"/>
      <c r="E249" s="55"/>
      <c r="F249" s="44" t="e">
        <f t="shared" si="4"/>
        <v>#DIV/0!</v>
      </c>
      <c r="G249" s="110"/>
      <c r="H249" s="111"/>
      <c r="I249" s="112"/>
      <c r="J249" s="113"/>
      <c r="K249" s="114"/>
      <c r="L249" s="5"/>
    </row>
    <row r="250" spans="1:12" x14ac:dyDescent="0.25">
      <c r="A250" s="68"/>
      <c r="B250" s="11"/>
      <c r="C250" s="6"/>
      <c r="D250" s="54"/>
      <c r="E250" s="55"/>
      <c r="F250" s="44" t="e">
        <f t="shared" si="4"/>
        <v>#DIV/0!</v>
      </c>
      <c r="G250" s="110"/>
      <c r="H250" s="111"/>
      <c r="I250" s="112"/>
      <c r="J250" s="113"/>
      <c r="K250" s="114"/>
      <c r="L250" s="5"/>
    </row>
    <row r="251" spans="1:12" ht="15.75" thickBot="1" x14ac:dyDescent="0.3">
      <c r="A251" s="5"/>
      <c r="B251" s="5"/>
      <c r="C251" s="7" t="s">
        <v>35</v>
      </c>
      <c r="D251" s="17">
        <f>D245+D246+D247+D248+D249+D250</f>
        <v>442.05</v>
      </c>
      <c r="E251" s="17">
        <f>E245+E246+E247+E248+E249+E250</f>
        <v>9000.15</v>
      </c>
      <c r="F251" s="5"/>
      <c r="G251" s="110"/>
      <c r="H251" s="111"/>
      <c r="I251" s="112"/>
      <c r="J251" s="113"/>
      <c r="K251" s="114"/>
      <c r="L251" s="7" t="s">
        <v>36</v>
      </c>
    </row>
    <row r="252" spans="1:12" ht="15.75" thickBot="1" x14ac:dyDescent="0.3">
      <c r="A252" s="5"/>
      <c r="B252" s="5"/>
      <c r="C252" s="5"/>
      <c r="D252" s="5"/>
      <c r="E252" s="5"/>
      <c r="F252" s="5"/>
      <c r="G252" s="130"/>
      <c r="H252" s="131"/>
      <c r="I252" s="132"/>
      <c r="J252" s="133"/>
      <c r="K252" s="134"/>
      <c r="L252" s="18">
        <f>J245+J246+J247+J248+J249+J250+J251+J252</f>
        <v>0</v>
      </c>
    </row>
    <row r="253" spans="1:12" ht="15.75" thickBo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75" thickBot="1" x14ac:dyDescent="0.3">
      <c r="A254" s="19"/>
      <c r="B254" s="20"/>
      <c r="C254" s="20"/>
      <c r="D254" s="20"/>
      <c r="E254" s="21" t="s">
        <v>13</v>
      </c>
      <c r="F254" s="5"/>
      <c r="G254" s="19"/>
      <c r="H254" s="20"/>
      <c r="I254" s="20"/>
      <c r="J254" s="20"/>
      <c r="K254" s="21" t="s">
        <v>13</v>
      </c>
      <c r="L254" s="5"/>
    </row>
    <row r="255" spans="1:12" x14ac:dyDescent="0.25">
      <c r="A255" s="22" t="s">
        <v>31</v>
      </c>
      <c r="B255" s="115">
        <v>16655</v>
      </c>
      <c r="C255" s="116"/>
      <c r="D255" s="116"/>
      <c r="E255" s="117"/>
      <c r="F255" s="5"/>
      <c r="G255" s="22" t="s">
        <v>32</v>
      </c>
      <c r="H255" s="115">
        <v>1087</v>
      </c>
      <c r="I255" s="116"/>
      <c r="J255" s="116"/>
      <c r="K255" s="117"/>
      <c r="L255" s="5"/>
    </row>
    <row r="256" spans="1:1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x14ac:dyDescent="0.25">
      <c r="A257" s="7" t="s">
        <v>16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x14ac:dyDescent="0.25">
      <c r="A258" s="9" t="s">
        <v>17</v>
      </c>
      <c r="B258" s="23">
        <f>L237-C232</f>
        <v>1042</v>
      </c>
      <c r="C258" s="5"/>
      <c r="D258" s="106" t="s">
        <v>18</v>
      </c>
      <c r="E258" s="107"/>
      <c r="F258" s="24" t="s">
        <v>19</v>
      </c>
      <c r="G258" s="9" t="s">
        <v>20</v>
      </c>
      <c r="H258" s="118">
        <f>B255+H255</f>
        <v>17742</v>
      </c>
      <c r="I258" s="119"/>
      <c r="J258" s="5"/>
      <c r="K258" s="5"/>
      <c r="L258" s="5"/>
    </row>
    <row r="259" spans="1:12" x14ac:dyDescent="0.25">
      <c r="A259" s="9" t="s">
        <v>41</v>
      </c>
      <c r="B259" s="40">
        <f>B258/D251</f>
        <v>2.3571994118312407</v>
      </c>
      <c r="C259" s="5"/>
      <c r="D259" s="102">
        <f>E251</f>
        <v>9000.15</v>
      </c>
      <c r="E259" s="141"/>
      <c r="F259" s="25">
        <f>H259/B258</f>
        <v>9.4692418426103639</v>
      </c>
      <c r="G259" s="9" t="s">
        <v>21</v>
      </c>
      <c r="H259" s="104">
        <f>L252+D259+D261+D263+D265+A262</f>
        <v>9866.9499999999989</v>
      </c>
      <c r="I259" s="142"/>
      <c r="J259" s="5"/>
      <c r="K259" s="5"/>
      <c r="L259" s="5"/>
    </row>
    <row r="260" spans="1:12" x14ac:dyDescent="0.25">
      <c r="A260" s="9" t="s">
        <v>43</v>
      </c>
      <c r="B260" s="23">
        <f>D251/B258</f>
        <v>0.42423224568138196</v>
      </c>
      <c r="C260" s="5"/>
      <c r="D260" s="106" t="s">
        <v>33</v>
      </c>
      <c r="E260" s="107"/>
      <c r="F260" s="5"/>
      <c r="G260" s="13" t="s">
        <v>22</v>
      </c>
      <c r="H260" s="6"/>
      <c r="I260" s="26">
        <f>H258-H259</f>
        <v>7875.0500000000011</v>
      </c>
      <c r="J260" s="5"/>
      <c r="K260" s="5"/>
      <c r="L260" s="5"/>
    </row>
    <row r="261" spans="1:12" x14ac:dyDescent="0.25">
      <c r="A261" s="106" t="s">
        <v>40</v>
      </c>
      <c r="B261" s="107"/>
      <c r="C261" s="5"/>
      <c r="D261" s="108">
        <v>250</v>
      </c>
      <c r="E261" s="109"/>
      <c r="F261" s="5"/>
      <c r="G261" s="5"/>
      <c r="H261" s="5"/>
      <c r="I261" s="5"/>
      <c r="J261" s="5"/>
      <c r="K261" s="5"/>
      <c r="L261" s="5"/>
    </row>
    <row r="262" spans="1:12" x14ac:dyDescent="0.25">
      <c r="A262" s="108">
        <f>B258*0.4</f>
        <v>416.8</v>
      </c>
      <c r="B262" s="109"/>
      <c r="C262" s="5"/>
      <c r="D262" s="106" t="s">
        <v>34</v>
      </c>
      <c r="E262" s="107"/>
      <c r="F262" s="5"/>
      <c r="G262" s="5"/>
      <c r="H262" s="5"/>
      <c r="I262" s="5"/>
      <c r="J262" s="5"/>
      <c r="K262" s="5"/>
      <c r="L262" s="5"/>
    </row>
    <row r="263" spans="1:12" x14ac:dyDescent="0.25">
      <c r="A263" s="5"/>
      <c r="B263" s="5"/>
      <c r="C263" s="5"/>
      <c r="D263" s="108">
        <v>100</v>
      </c>
      <c r="E263" s="109"/>
      <c r="F263" s="5"/>
      <c r="G263" s="5"/>
      <c r="H263" s="5"/>
      <c r="I263" s="5"/>
      <c r="J263" s="5"/>
      <c r="K263" s="5"/>
      <c r="L263" s="5"/>
    </row>
    <row r="264" spans="1:12" x14ac:dyDescent="0.25">
      <c r="A264" s="5"/>
      <c r="B264" s="5"/>
      <c r="C264" s="5"/>
      <c r="D264" s="106" t="s">
        <v>37</v>
      </c>
      <c r="E264" s="107"/>
      <c r="F264" s="5"/>
      <c r="G264" s="5"/>
      <c r="H264" s="5"/>
      <c r="I264" s="5"/>
      <c r="J264" s="5"/>
      <c r="K264" s="5"/>
      <c r="L264" s="5"/>
    </row>
    <row r="265" spans="1:12" x14ac:dyDescent="0.25">
      <c r="A265" s="5"/>
      <c r="B265" s="5"/>
      <c r="C265" s="5"/>
      <c r="D265" s="108">
        <v>100</v>
      </c>
      <c r="E265" s="109"/>
      <c r="F265" s="5"/>
      <c r="G265" s="5"/>
      <c r="H265" s="5"/>
      <c r="I265" s="5"/>
      <c r="J265" s="5"/>
      <c r="K265" s="5"/>
      <c r="L265" s="5"/>
    </row>
    <row r="266" spans="1:1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x14ac:dyDescent="0.25">
      <c r="A267" s="5" t="s">
        <v>23</v>
      </c>
      <c r="B267" s="5" t="s">
        <v>54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s="49" customFormat="1" x14ac:dyDescent="0.25"/>
    <row r="271" spans="1:12" x14ac:dyDescent="0.25">
      <c r="A271" s="120" t="s">
        <v>24</v>
      </c>
      <c r="B271" s="120"/>
      <c r="C271" s="120"/>
      <c r="D271" s="120"/>
      <c r="E271" s="120"/>
      <c r="F271" s="120"/>
      <c r="G271" s="120"/>
      <c r="H271" s="120"/>
    </row>
    <row r="272" spans="1:12" x14ac:dyDescent="0.25">
      <c r="A272" s="120"/>
      <c r="B272" s="120"/>
      <c r="C272" s="120"/>
      <c r="D272" s="120"/>
      <c r="E272" s="120"/>
      <c r="F272" s="120"/>
      <c r="G272" s="120"/>
      <c r="H272" s="120"/>
    </row>
    <row r="273" spans="1:12" x14ac:dyDescent="0.25">
      <c r="A273" s="1" t="s">
        <v>4</v>
      </c>
      <c r="B273" s="2"/>
      <c r="C273" s="2"/>
      <c r="D273" s="2"/>
      <c r="E273" s="2"/>
      <c r="F273" s="2"/>
      <c r="G273" s="3" t="s">
        <v>5</v>
      </c>
      <c r="H273" s="3" t="s">
        <v>6</v>
      </c>
      <c r="I273" s="4" t="s">
        <v>7</v>
      </c>
      <c r="J273" s="5"/>
      <c r="K273" s="5"/>
      <c r="L273" s="5"/>
    </row>
    <row r="274" spans="1:12" x14ac:dyDescent="0.25">
      <c r="A274" s="28" t="s">
        <v>98</v>
      </c>
      <c r="B274" s="29" t="s">
        <v>42</v>
      </c>
      <c r="C274" s="67"/>
      <c r="D274" s="66"/>
      <c r="E274" s="2"/>
      <c r="F274" s="2"/>
      <c r="G274" s="28" t="s">
        <v>91</v>
      </c>
      <c r="H274" s="66"/>
      <c r="I274" s="33"/>
      <c r="J274" s="6"/>
      <c r="K274" s="33"/>
      <c r="L274" s="6"/>
    </row>
    <row r="275" spans="1:12" x14ac:dyDescent="0.25">
      <c r="A275" s="7" t="s">
        <v>2</v>
      </c>
      <c r="B275" s="5"/>
      <c r="C275" s="5"/>
      <c r="D275" s="5"/>
      <c r="E275" s="5"/>
      <c r="F275" s="5"/>
      <c r="G275" s="8" t="s">
        <v>8</v>
      </c>
      <c r="H275" s="31"/>
      <c r="I275" s="5"/>
      <c r="J275" s="5"/>
      <c r="K275" s="5"/>
      <c r="L275" s="5"/>
    </row>
    <row r="276" spans="1:12" x14ac:dyDescent="0.25">
      <c r="A276" s="7" t="s">
        <v>25</v>
      </c>
      <c r="B276" s="5"/>
      <c r="C276" s="7" t="s">
        <v>0</v>
      </c>
      <c r="D276" s="5"/>
      <c r="E276" s="5"/>
      <c r="F276" s="5"/>
      <c r="G276" s="7" t="s">
        <v>25</v>
      </c>
      <c r="H276" s="5"/>
      <c r="I276" s="7" t="s">
        <v>0</v>
      </c>
      <c r="J276" s="5"/>
      <c r="K276" s="5"/>
      <c r="L276" s="5"/>
    </row>
    <row r="277" spans="1:12" x14ac:dyDescent="0.25">
      <c r="A277" s="42" t="s">
        <v>102</v>
      </c>
      <c r="B277" s="6"/>
      <c r="C277" s="31">
        <f>L237</f>
        <v>462985</v>
      </c>
      <c r="D277" s="5"/>
      <c r="E277" s="5"/>
      <c r="F277" s="5"/>
      <c r="G277" s="42"/>
      <c r="H277" s="6"/>
      <c r="I277" s="9"/>
      <c r="J277" s="5"/>
      <c r="K277" s="5"/>
      <c r="L277" s="5"/>
    </row>
    <row r="278" spans="1:12" ht="16.5" thickBot="1" x14ac:dyDescent="0.3">
      <c r="A278" s="7"/>
      <c r="B278" s="5"/>
      <c r="C278" s="5"/>
      <c r="D278" s="5"/>
      <c r="E278" s="5"/>
      <c r="F278" s="5"/>
      <c r="G278" s="10"/>
      <c r="H278" s="5"/>
      <c r="I278" s="5"/>
      <c r="J278" s="5"/>
      <c r="K278" s="5"/>
      <c r="L278" s="5"/>
    </row>
    <row r="279" spans="1:12" ht="15.75" thickBot="1" x14ac:dyDescent="0.3">
      <c r="A279" s="121" t="s">
        <v>9</v>
      </c>
      <c r="B279" s="135"/>
      <c r="C279" s="136"/>
      <c r="D279" s="5"/>
      <c r="E279" s="5"/>
      <c r="F279" s="5"/>
      <c r="G279" s="121" t="s">
        <v>26</v>
      </c>
      <c r="H279" s="135"/>
      <c r="I279" s="136"/>
      <c r="J279" s="5"/>
      <c r="K279" s="5"/>
      <c r="L279" s="5"/>
    </row>
    <row r="280" spans="1:12" x14ac:dyDescent="0.25">
      <c r="A280" s="30" t="s">
        <v>38</v>
      </c>
      <c r="B280" s="11"/>
      <c r="C280" s="11"/>
      <c r="D280" s="11"/>
      <c r="E280" s="6"/>
      <c r="F280" s="5"/>
      <c r="G280" s="30" t="str">
        <f>A283</f>
        <v>Swakopmund</v>
      </c>
      <c r="H280" s="11"/>
      <c r="I280" s="11"/>
      <c r="J280" s="11"/>
      <c r="K280" s="11"/>
      <c r="L280" s="6"/>
    </row>
    <row r="281" spans="1:12" ht="15.75" thickBot="1" x14ac:dyDescent="0.3">
      <c r="A281" s="7"/>
      <c r="B281" s="7"/>
      <c r="C281" s="7"/>
      <c r="D281" s="5"/>
      <c r="E281" s="5"/>
      <c r="F281" s="5"/>
      <c r="G281" s="7" t="s">
        <v>3</v>
      </c>
      <c r="H281" s="7"/>
      <c r="I281" s="7"/>
      <c r="J281" s="5"/>
      <c r="K281" s="5"/>
      <c r="L281" s="5"/>
    </row>
    <row r="282" spans="1:12" ht="15.75" thickBot="1" x14ac:dyDescent="0.3">
      <c r="A282" s="121" t="s">
        <v>30</v>
      </c>
      <c r="B282" s="143"/>
      <c r="C282" s="144"/>
      <c r="D282" s="12" t="s">
        <v>1</v>
      </c>
      <c r="E282" s="32"/>
      <c r="F282" s="5"/>
      <c r="G282" s="121" t="s">
        <v>27</v>
      </c>
      <c r="H282" s="135"/>
      <c r="I282" s="136"/>
      <c r="J282" s="5"/>
      <c r="K282" s="12" t="s">
        <v>1</v>
      </c>
      <c r="L282" s="32">
        <v>463722</v>
      </c>
    </row>
    <row r="283" spans="1:12" x14ac:dyDescent="0.25">
      <c r="A283" s="13" t="s">
        <v>55</v>
      </c>
      <c r="B283" s="14"/>
      <c r="C283" s="11"/>
      <c r="D283" s="11"/>
      <c r="E283" s="6"/>
      <c r="F283" s="5"/>
      <c r="G283" s="34" t="str">
        <f>A280</f>
        <v>Windhoek</v>
      </c>
      <c r="H283" s="11"/>
      <c r="I283" s="11"/>
      <c r="J283" s="11"/>
      <c r="K283" s="11"/>
      <c r="L283" s="6"/>
    </row>
    <row r="284" spans="1:12" x14ac:dyDescent="0.25">
      <c r="A284" s="13"/>
      <c r="B284" s="11"/>
      <c r="C284" s="11"/>
      <c r="D284" s="11"/>
      <c r="E284" s="6"/>
      <c r="F284" s="5"/>
      <c r="G284" s="13"/>
      <c r="H284" s="11"/>
      <c r="I284" s="11"/>
      <c r="J284" s="11"/>
      <c r="K284" s="11"/>
      <c r="L284" s="6"/>
    </row>
    <row r="285" spans="1:12" x14ac:dyDescent="0.25">
      <c r="A285" s="13"/>
      <c r="B285" s="11"/>
      <c r="C285" s="11"/>
      <c r="D285" s="11"/>
      <c r="E285" s="6"/>
      <c r="F285" s="5"/>
      <c r="G285" s="13"/>
      <c r="H285" s="11"/>
      <c r="I285" s="11"/>
      <c r="J285" s="11"/>
      <c r="K285" s="11"/>
      <c r="L285" s="6"/>
    </row>
    <row r="286" spans="1:12" x14ac:dyDescent="0.25">
      <c r="A286" s="13"/>
      <c r="B286" s="11"/>
      <c r="C286" s="11"/>
      <c r="D286" s="11"/>
      <c r="E286" s="6"/>
      <c r="F286" s="5"/>
      <c r="G286" s="13"/>
      <c r="H286" s="11"/>
      <c r="I286" s="11"/>
      <c r="J286" s="11"/>
      <c r="K286" s="11"/>
      <c r="L286" s="6"/>
    </row>
    <row r="287" spans="1:12" ht="15.75" thickBot="1" x14ac:dyDescent="0.3">
      <c r="A287" s="13"/>
      <c r="B287" s="11"/>
      <c r="C287" s="11" t="s">
        <v>29</v>
      </c>
      <c r="D287" s="43"/>
      <c r="E287" s="6"/>
      <c r="F287" s="5"/>
      <c r="G287" s="13"/>
      <c r="H287" s="11"/>
      <c r="I287" s="14" t="s">
        <v>28</v>
      </c>
      <c r="J287" s="43"/>
      <c r="K287" s="11"/>
      <c r="L287" s="6"/>
    </row>
    <row r="288" spans="1:12" ht="15.75" thickBot="1" x14ac:dyDescent="0.3">
      <c r="A288" s="15" t="s">
        <v>10</v>
      </c>
      <c r="B288" s="5"/>
      <c r="C288" s="5"/>
      <c r="D288" s="5"/>
      <c r="E288" s="5"/>
      <c r="F288" s="5"/>
      <c r="G288" s="15" t="s">
        <v>14</v>
      </c>
      <c r="H288" s="5"/>
      <c r="I288" s="5"/>
      <c r="J288" s="5"/>
      <c r="K288" s="5"/>
      <c r="L288" s="5"/>
    </row>
    <row r="289" spans="1:12" ht="15.75" thickBot="1" x14ac:dyDescent="0.3">
      <c r="A289" s="121" t="s">
        <v>11</v>
      </c>
      <c r="B289" s="135"/>
      <c r="C289" s="136"/>
      <c r="D289" s="16" t="s">
        <v>12</v>
      </c>
      <c r="E289" s="16" t="s">
        <v>13</v>
      </c>
      <c r="F289" s="5"/>
      <c r="G289" s="137" t="s">
        <v>15</v>
      </c>
      <c r="H289" s="138"/>
      <c r="I289" s="139"/>
      <c r="J289" s="137" t="s">
        <v>13</v>
      </c>
      <c r="K289" s="140"/>
      <c r="L289" s="5"/>
    </row>
    <row r="290" spans="1:12" x14ac:dyDescent="0.25">
      <c r="A290" s="41" t="s">
        <v>104</v>
      </c>
      <c r="B290" s="36" t="s">
        <v>47</v>
      </c>
      <c r="C290" s="37"/>
      <c r="D290" s="50">
        <v>300</v>
      </c>
      <c r="E290" s="51">
        <v>6108</v>
      </c>
      <c r="F290" s="44">
        <f t="shared" ref="F290:F295" si="5">E290/D290</f>
        <v>20.36</v>
      </c>
      <c r="G290" s="125"/>
      <c r="H290" s="126"/>
      <c r="I290" s="127"/>
      <c r="J290" s="128"/>
      <c r="K290" s="129"/>
      <c r="L290" s="5"/>
    </row>
    <row r="291" spans="1:12" x14ac:dyDescent="0.25">
      <c r="A291" s="48"/>
      <c r="B291" s="35"/>
      <c r="C291" s="39"/>
      <c r="D291" s="52"/>
      <c r="E291" s="53"/>
      <c r="F291" s="44" t="e">
        <f t="shared" si="5"/>
        <v>#DIV/0!</v>
      </c>
      <c r="G291" s="110"/>
      <c r="H291" s="111"/>
      <c r="I291" s="112"/>
      <c r="J291" s="113"/>
      <c r="K291" s="114"/>
      <c r="L291" s="5"/>
    </row>
    <row r="292" spans="1:12" x14ac:dyDescent="0.25">
      <c r="A292" s="38"/>
      <c r="B292" s="35"/>
      <c r="C292" s="39"/>
      <c r="D292" s="52"/>
      <c r="E292" s="53"/>
      <c r="F292" s="44" t="e">
        <f t="shared" si="5"/>
        <v>#DIV/0!</v>
      </c>
      <c r="G292" s="110"/>
      <c r="H292" s="111"/>
      <c r="I292" s="112"/>
      <c r="J292" s="113"/>
      <c r="K292" s="114"/>
      <c r="L292" s="5"/>
    </row>
    <row r="293" spans="1:12" x14ac:dyDescent="0.25">
      <c r="A293" s="48"/>
      <c r="B293" s="35"/>
      <c r="C293" s="39"/>
      <c r="D293" s="52"/>
      <c r="E293" s="53"/>
      <c r="F293" s="44" t="e">
        <f t="shared" si="5"/>
        <v>#DIV/0!</v>
      </c>
      <c r="G293" s="110"/>
      <c r="H293" s="111"/>
      <c r="I293" s="112"/>
      <c r="J293" s="113"/>
      <c r="K293" s="114"/>
      <c r="L293" s="5"/>
    </row>
    <row r="294" spans="1:12" x14ac:dyDescent="0.25">
      <c r="A294" s="27"/>
      <c r="B294" s="11"/>
      <c r="C294" s="6"/>
      <c r="D294" s="54"/>
      <c r="E294" s="55"/>
      <c r="F294" s="44" t="e">
        <f t="shared" si="5"/>
        <v>#DIV/0!</v>
      </c>
      <c r="G294" s="110"/>
      <c r="H294" s="111"/>
      <c r="I294" s="112"/>
      <c r="J294" s="113"/>
      <c r="K294" s="114"/>
      <c r="L294" s="5"/>
    </row>
    <row r="295" spans="1:12" x14ac:dyDescent="0.25">
      <c r="A295" s="68"/>
      <c r="B295" s="11"/>
      <c r="C295" s="6"/>
      <c r="D295" s="54"/>
      <c r="E295" s="55"/>
      <c r="F295" s="44" t="e">
        <f t="shared" si="5"/>
        <v>#DIV/0!</v>
      </c>
      <c r="G295" s="110"/>
      <c r="H295" s="111"/>
      <c r="I295" s="112"/>
      <c r="J295" s="113"/>
      <c r="K295" s="114"/>
      <c r="L295" s="5"/>
    </row>
    <row r="296" spans="1:12" ht="15.75" thickBot="1" x14ac:dyDescent="0.3">
      <c r="A296" s="5"/>
      <c r="B296" s="5"/>
      <c r="C296" s="7" t="s">
        <v>35</v>
      </c>
      <c r="D296" s="17">
        <f>D290+D291+D292+D293+D294+D295</f>
        <v>300</v>
      </c>
      <c r="E296" s="17">
        <f>E290+E291+E292+E293+E294+E295</f>
        <v>6108</v>
      </c>
      <c r="F296" s="5"/>
      <c r="G296" s="110"/>
      <c r="H296" s="111"/>
      <c r="I296" s="112"/>
      <c r="J296" s="113"/>
      <c r="K296" s="114"/>
      <c r="L296" s="7" t="s">
        <v>36</v>
      </c>
    </row>
    <row r="297" spans="1:12" ht="15.75" thickBot="1" x14ac:dyDescent="0.3">
      <c r="A297" s="5"/>
      <c r="B297" s="5"/>
      <c r="C297" s="5"/>
      <c r="D297" s="5"/>
      <c r="E297" s="5"/>
      <c r="F297" s="5"/>
      <c r="G297" s="130"/>
      <c r="H297" s="131"/>
      <c r="I297" s="132"/>
      <c r="J297" s="133"/>
      <c r="K297" s="134"/>
      <c r="L297" s="18">
        <f>J290+J291+J292+J293+J294+J295+J296+J297</f>
        <v>0</v>
      </c>
    </row>
    <row r="298" spans="1:12" ht="15.75" thickBo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75" thickBot="1" x14ac:dyDescent="0.3">
      <c r="A299" s="19"/>
      <c r="B299" s="20"/>
      <c r="C299" s="20"/>
      <c r="D299" s="20"/>
      <c r="E299" s="21" t="s">
        <v>13</v>
      </c>
      <c r="F299" s="5"/>
      <c r="G299" s="19"/>
      <c r="H299" s="20"/>
      <c r="I299" s="20"/>
      <c r="J299" s="20"/>
      <c r="K299" s="21" t="s">
        <v>13</v>
      </c>
      <c r="L299" s="5"/>
    </row>
    <row r="300" spans="1:12" x14ac:dyDescent="0.25">
      <c r="A300" s="22" t="s">
        <v>31</v>
      </c>
      <c r="B300" s="115">
        <v>12083</v>
      </c>
      <c r="C300" s="116"/>
      <c r="D300" s="116"/>
      <c r="E300" s="117"/>
      <c r="F300" s="5"/>
      <c r="G300" s="22" t="s">
        <v>32</v>
      </c>
      <c r="H300" s="115">
        <v>0</v>
      </c>
      <c r="I300" s="116"/>
      <c r="J300" s="116"/>
      <c r="K300" s="117"/>
      <c r="L300" s="5"/>
    </row>
    <row r="301" spans="1:1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x14ac:dyDescent="0.25">
      <c r="A302" s="7" t="s">
        <v>16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x14ac:dyDescent="0.25">
      <c r="A303" s="9" t="s">
        <v>17</v>
      </c>
      <c r="B303" s="23">
        <f>L282-C277</f>
        <v>737</v>
      </c>
      <c r="C303" s="5"/>
      <c r="D303" s="106" t="s">
        <v>18</v>
      </c>
      <c r="E303" s="107"/>
      <c r="F303" s="24" t="s">
        <v>19</v>
      </c>
      <c r="G303" s="9" t="s">
        <v>20</v>
      </c>
      <c r="H303" s="118">
        <f>B300+H300</f>
        <v>12083</v>
      </c>
      <c r="I303" s="119"/>
      <c r="J303" s="5"/>
      <c r="K303" s="5"/>
      <c r="L303" s="5"/>
    </row>
    <row r="304" spans="1:12" x14ac:dyDescent="0.25">
      <c r="A304" s="9" t="s">
        <v>41</v>
      </c>
      <c r="B304" s="40">
        <f>B303/D296</f>
        <v>2.4566666666666666</v>
      </c>
      <c r="C304" s="5"/>
      <c r="D304" s="102">
        <f>E296</f>
        <v>6108</v>
      </c>
      <c r="E304" s="141"/>
      <c r="F304" s="25">
        <f>H304/B303</f>
        <v>9.1625508819538677</v>
      </c>
      <c r="G304" s="9" t="s">
        <v>21</v>
      </c>
      <c r="H304" s="104">
        <f>L297+D304+D306+D308+D310+A307</f>
        <v>6752.8</v>
      </c>
      <c r="I304" s="142"/>
      <c r="J304" s="5"/>
      <c r="K304" s="5"/>
      <c r="L304" s="5"/>
    </row>
    <row r="305" spans="1:12" x14ac:dyDescent="0.25">
      <c r="A305" s="9" t="s">
        <v>43</v>
      </c>
      <c r="B305" s="23">
        <f>D296/B303</f>
        <v>0.40705563093622793</v>
      </c>
      <c r="C305" s="5"/>
      <c r="D305" s="106" t="s">
        <v>33</v>
      </c>
      <c r="E305" s="107"/>
      <c r="F305" s="5"/>
      <c r="G305" s="13" t="s">
        <v>22</v>
      </c>
      <c r="H305" s="6"/>
      <c r="I305" s="26">
        <f>H303-H304</f>
        <v>5330.2</v>
      </c>
      <c r="J305" s="5"/>
      <c r="K305" s="5"/>
      <c r="L305" s="5"/>
    </row>
    <row r="306" spans="1:12" x14ac:dyDescent="0.25">
      <c r="A306" s="106" t="s">
        <v>40</v>
      </c>
      <c r="B306" s="107"/>
      <c r="C306" s="5"/>
      <c r="D306" s="108">
        <v>250</v>
      </c>
      <c r="E306" s="109"/>
      <c r="F306" s="5"/>
      <c r="G306" s="5"/>
      <c r="H306" s="5"/>
      <c r="I306" s="5"/>
      <c r="J306" s="5"/>
      <c r="K306" s="5"/>
      <c r="L306" s="5"/>
    </row>
    <row r="307" spans="1:12" x14ac:dyDescent="0.25">
      <c r="A307" s="108">
        <f>B303*0.4</f>
        <v>294.8</v>
      </c>
      <c r="B307" s="109"/>
      <c r="C307" s="5"/>
      <c r="D307" s="106" t="s">
        <v>34</v>
      </c>
      <c r="E307" s="107"/>
      <c r="F307" s="5"/>
      <c r="G307" s="5"/>
      <c r="H307" s="5"/>
      <c r="I307" s="5"/>
      <c r="J307" s="5"/>
      <c r="K307" s="5"/>
      <c r="L307" s="5"/>
    </row>
    <row r="308" spans="1:12" x14ac:dyDescent="0.25">
      <c r="A308" s="5"/>
      <c r="B308" s="5"/>
      <c r="C308" s="5"/>
      <c r="D308" s="108">
        <v>100</v>
      </c>
      <c r="E308" s="109"/>
      <c r="F308" s="5"/>
      <c r="G308" s="5"/>
      <c r="H308" s="5"/>
      <c r="I308" s="5"/>
      <c r="J308" s="5"/>
      <c r="K308" s="5"/>
      <c r="L308" s="5"/>
    </row>
    <row r="309" spans="1:12" x14ac:dyDescent="0.25">
      <c r="A309" s="5"/>
      <c r="B309" s="5"/>
      <c r="C309" s="5"/>
      <c r="D309" s="106" t="s">
        <v>37</v>
      </c>
      <c r="E309" s="107"/>
      <c r="F309" s="5"/>
      <c r="G309" s="5"/>
      <c r="H309" s="5"/>
      <c r="I309" s="5"/>
      <c r="J309" s="5"/>
      <c r="K309" s="5"/>
      <c r="L309" s="5"/>
    </row>
    <row r="310" spans="1:12" x14ac:dyDescent="0.25">
      <c r="A310" s="5"/>
      <c r="B310" s="5"/>
      <c r="C310" s="5"/>
      <c r="D310" s="108">
        <v>0</v>
      </c>
      <c r="E310" s="109"/>
      <c r="F310" s="5"/>
      <c r="G310" s="5"/>
      <c r="H310" s="5"/>
      <c r="I310" s="5"/>
      <c r="J310" s="5"/>
      <c r="K310" s="5"/>
      <c r="L310" s="5"/>
    </row>
    <row r="311" spans="1:1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x14ac:dyDescent="0.25">
      <c r="A312" s="5" t="s">
        <v>23</v>
      </c>
      <c r="B312" s="5" t="s">
        <v>54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s="49" customFormat="1" x14ac:dyDescent="0.25"/>
    <row r="316" spans="1:12" x14ac:dyDescent="0.25">
      <c r="A316" s="120" t="s">
        <v>24</v>
      </c>
      <c r="B316" s="120"/>
      <c r="C316" s="120"/>
      <c r="D316" s="120"/>
      <c r="E316" s="120"/>
      <c r="F316" s="120"/>
      <c r="G316" s="120"/>
      <c r="H316" s="120"/>
    </row>
    <row r="317" spans="1:12" x14ac:dyDescent="0.25">
      <c r="A317" s="120"/>
      <c r="B317" s="120"/>
      <c r="C317" s="120"/>
      <c r="D317" s="120"/>
      <c r="E317" s="120"/>
      <c r="F317" s="120"/>
      <c r="G317" s="120"/>
      <c r="H317" s="120"/>
    </row>
    <row r="318" spans="1:12" x14ac:dyDescent="0.25">
      <c r="A318" s="1" t="s">
        <v>4</v>
      </c>
      <c r="B318" s="2"/>
      <c r="C318" s="2"/>
      <c r="D318" s="2"/>
      <c r="E318" s="2"/>
      <c r="F318" s="2"/>
      <c r="G318" s="3" t="s">
        <v>5</v>
      </c>
      <c r="H318" s="3" t="s">
        <v>6</v>
      </c>
      <c r="I318" s="4" t="s">
        <v>7</v>
      </c>
      <c r="J318" s="5"/>
      <c r="K318" s="5"/>
      <c r="L318" s="5"/>
    </row>
    <row r="319" spans="1:12" x14ac:dyDescent="0.25">
      <c r="A319" s="28" t="s">
        <v>98</v>
      </c>
      <c r="B319" s="29" t="s">
        <v>42</v>
      </c>
      <c r="C319" s="67"/>
      <c r="D319" s="66"/>
      <c r="E319" s="2"/>
      <c r="F319" s="2"/>
      <c r="G319" s="28" t="s">
        <v>91</v>
      </c>
      <c r="H319" s="66"/>
      <c r="I319" s="33"/>
      <c r="J319" s="6"/>
      <c r="K319" s="33"/>
      <c r="L319" s="6"/>
    </row>
    <row r="320" spans="1:12" x14ac:dyDescent="0.25">
      <c r="A320" s="7" t="s">
        <v>2</v>
      </c>
      <c r="B320" s="5"/>
      <c r="C320" s="5"/>
      <c r="D320" s="5"/>
      <c r="E320" s="5"/>
      <c r="F320" s="5"/>
      <c r="G320" s="8" t="s">
        <v>8</v>
      </c>
      <c r="H320" s="31"/>
      <c r="I320" s="5"/>
      <c r="J320" s="5"/>
      <c r="K320" s="5"/>
      <c r="L320" s="5"/>
    </row>
    <row r="321" spans="1:12" x14ac:dyDescent="0.25">
      <c r="A321" s="7" t="s">
        <v>25</v>
      </c>
      <c r="B321" s="5"/>
      <c r="C321" s="7" t="s">
        <v>0</v>
      </c>
      <c r="D321" s="5"/>
      <c r="E321" s="5"/>
      <c r="F321" s="5"/>
      <c r="G321" s="7" t="s">
        <v>25</v>
      </c>
      <c r="H321" s="5"/>
      <c r="I321" s="7" t="s">
        <v>0</v>
      </c>
      <c r="J321" s="5"/>
      <c r="K321" s="5"/>
      <c r="L321" s="5"/>
    </row>
    <row r="322" spans="1:12" x14ac:dyDescent="0.25">
      <c r="A322" s="42" t="s">
        <v>104</v>
      </c>
      <c r="B322" s="6"/>
      <c r="C322" s="31">
        <f>L282</f>
        <v>463722</v>
      </c>
      <c r="D322" s="5"/>
      <c r="E322" s="5"/>
      <c r="F322" s="5"/>
      <c r="G322" s="42"/>
      <c r="H322" s="6"/>
      <c r="I322" s="9"/>
      <c r="J322" s="5"/>
      <c r="K322" s="5"/>
      <c r="L322" s="5"/>
    </row>
    <row r="323" spans="1:12" ht="16.5" thickBot="1" x14ac:dyDescent="0.3">
      <c r="A323" s="7"/>
      <c r="B323" s="5"/>
      <c r="C323" s="5"/>
      <c r="D323" s="5"/>
      <c r="E323" s="5"/>
      <c r="F323" s="5"/>
      <c r="G323" s="10"/>
      <c r="H323" s="5"/>
      <c r="I323" s="5"/>
      <c r="J323" s="5"/>
      <c r="K323" s="5"/>
      <c r="L323" s="5"/>
    </row>
    <row r="324" spans="1:12" ht="15.75" thickBot="1" x14ac:dyDescent="0.3">
      <c r="A324" s="121" t="s">
        <v>9</v>
      </c>
      <c r="B324" s="135"/>
      <c r="C324" s="136"/>
      <c r="D324" s="5"/>
      <c r="E324" s="5"/>
      <c r="F324" s="5"/>
      <c r="G324" s="121" t="s">
        <v>26</v>
      </c>
      <c r="H324" s="135"/>
      <c r="I324" s="136"/>
      <c r="J324" s="5"/>
      <c r="K324" s="5"/>
      <c r="L324" s="5"/>
    </row>
    <row r="325" spans="1:12" x14ac:dyDescent="0.25">
      <c r="A325" s="30" t="s">
        <v>38</v>
      </c>
      <c r="B325" s="11"/>
      <c r="C325" s="11"/>
      <c r="D325" s="11"/>
      <c r="E325" s="6"/>
      <c r="F325" s="5"/>
      <c r="G325" s="30" t="str">
        <f>A328</f>
        <v>Oshikango</v>
      </c>
      <c r="H325" s="11"/>
      <c r="I325" s="11"/>
      <c r="J325" s="11"/>
      <c r="K325" s="11"/>
      <c r="L325" s="6"/>
    </row>
    <row r="326" spans="1:12" ht="15.75" thickBot="1" x14ac:dyDescent="0.3">
      <c r="A326" s="7"/>
      <c r="B326" s="7"/>
      <c r="C326" s="7"/>
      <c r="D326" s="5"/>
      <c r="E326" s="5"/>
      <c r="F326" s="5"/>
      <c r="G326" s="7" t="s">
        <v>3</v>
      </c>
      <c r="H326" s="7"/>
      <c r="I326" s="7"/>
      <c r="J326" s="5"/>
      <c r="K326" s="5"/>
      <c r="L326" s="5"/>
    </row>
    <row r="327" spans="1:12" ht="15.75" thickBot="1" x14ac:dyDescent="0.3">
      <c r="A327" s="121" t="s">
        <v>30</v>
      </c>
      <c r="B327" s="143"/>
      <c r="C327" s="144"/>
      <c r="D327" s="12" t="s">
        <v>1</v>
      </c>
      <c r="E327" s="32"/>
      <c r="F327" s="5"/>
      <c r="G327" s="121" t="s">
        <v>27</v>
      </c>
      <c r="H327" s="135"/>
      <c r="I327" s="136"/>
      <c r="J327" s="5"/>
      <c r="K327" s="12" t="s">
        <v>1</v>
      </c>
      <c r="L327" s="32">
        <v>465248</v>
      </c>
    </row>
    <row r="328" spans="1:12" x14ac:dyDescent="0.25">
      <c r="A328" s="13" t="s">
        <v>64</v>
      </c>
      <c r="B328" s="14"/>
      <c r="C328" s="11"/>
      <c r="D328" s="11"/>
      <c r="E328" s="6"/>
      <c r="F328" s="5"/>
      <c r="G328" s="34" t="str">
        <f>A325</f>
        <v>Windhoek</v>
      </c>
      <c r="H328" s="11"/>
      <c r="I328" s="11"/>
      <c r="J328" s="11"/>
      <c r="K328" s="11"/>
      <c r="L328" s="6"/>
    </row>
    <row r="329" spans="1:12" x14ac:dyDescent="0.25">
      <c r="A329" s="13"/>
      <c r="B329" s="11"/>
      <c r="C329" s="11"/>
      <c r="D329" s="11"/>
      <c r="E329" s="6"/>
      <c r="F329" s="5"/>
      <c r="G329" s="13"/>
      <c r="H329" s="11"/>
      <c r="I329" s="11"/>
      <c r="J329" s="11"/>
      <c r="K329" s="11"/>
      <c r="L329" s="6"/>
    </row>
    <row r="330" spans="1:12" x14ac:dyDescent="0.25">
      <c r="A330" s="13"/>
      <c r="B330" s="11"/>
      <c r="C330" s="11"/>
      <c r="D330" s="11"/>
      <c r="E330" s="6"/>
      <c r="F330" s="5"/>
      <c r="G330" s="13"/>
      <c r="H330" s="11"/>
      <c r="I330" s="11"/>
      <c r="J330" s="11"/>
      <c r="K330" s="11"/>
      <c r="L330" s="6"/>
    </row>
    <row r="331" spans="1:12" x14ac:dyDescent="0.25">
      <c r="A331" s="13"/>
      <c r="B331" s="11"/>
      <c r="C331" s="11"/>
      <c r="D331" s="11"/>
      <c r="E331" s="6"/>
      <c r="F331" s="5"/>
      <c r="G331" s="13"/>
      <c r="H331" s="11"/>
      <c r="I331" s="11"/>
      <c r="J331" s="11"/>
      <c r="K331" s="11"/>
      <c r="L331" s="6"/>
    </row>
    <row r="332" spans="1:12" ht="15.75" thickBot="1" x14ac:dyDescent="0.3">
      <c r="A332" s="13"/>
      <c r="B332" s="11"/>
      <c r="C332" s="11" t="s">
        <v>29</v>
      </c>
      <c r="D332" s="43"/>
      <c r="E332" s="6"/>
      <c r="F332" s="5"/>
      <c r="G332" s="13"/>
      <c r="H332" s="11"/>
      <c r="I332" s="14" t="s">
        <v>28</v>
      </c>
      <c r="J332" s="43"/>
      <c r="K332" s="11"/>
      <c r="L332" s="6"/>
    </row>
    <row r="333" spans="1:12" ht="15.75" thickBot="1" x14ac:dyDescent="0.3">
      <c r="A333" s="15" t="s">
        <v>10</v>
      </c>
      <c r="B333" s="5"/>
      <c r="C333" s="5"/>
      <c r="D333" s="5"/>
      <c r="E333" s="5"/>
      <c r="F333" s="5"/>
      <c r="G333" s="15" t="s">
        <v>14</v>
      </c>
      <c r="H333" s="5"/>
      <c r="I333" s="5"/>
      <c r="J333" s="5"/>
      <c r="K333" s="5"/>
      <c r="L333" s="5"/>
    </row>
    <row r="334" spans="1:12" ht="15.75" thickBot="1" x14ac:dyDescent="0.3">
      <c r="A334" s="121" t="s">
        <v>11</v>
      </c>
      <c r="B334" s="135"/>
      <c r="C334" s="136"/>
      <c r="D334" s="16" t="s">
        <v>12</v>
      </c>
      <c r="E334" s="16" t="s">
        <v>13</v>
      </c>
      <c r="F334" s="5"/>
      <c r="G334" s="137" t="s">
        <v>15</v>
      </c>
      <c r="H334" s="138"/>
      <c r="I334" s="139"/>
      <c r="J334" s="137" t="s">
        <v>13</v>
      </c>
      <c r="K334" s="140"/>
      <c r="L334" s="5"/>
    </row>
    <row r="335" spans="1:12" x14ac:dyDescent="0.25">
      <c r="A335" s="41" t="s">
        <v>89</v>
      </c>
      <c r="B335" s="36" t="s">
        <v>47</v>
      </c>
      <c r="C335" s="37"/>
      <c r="D335" s="50">
        <v>628.75</v>
      </c>
      <c r="E335" s="51">
        <v>12799.75</v>
      </c>
      <c r="F335" s="44">
        <f t="shared" ref="F335:F340" si="6">E335/D335</f>
        <v>20.357455268389661</v>
      </c>
      <c r="G335" s="125"/>
      <c r="H335" s="126"/>
      <c r="I335" s="127"/>
      <c r="J335" s="128"/>
      <c r="K335" s="129"/>
      <c r="L335" s="5"/>
    </row>
    <row r="336" spans="1:12" x14ac:dyDescent="0.25">
      <c r="A336" s="48"/>
      <c r="B336" s="35"/>
      <c r="C336" s="39"/>
      <c r="D336" s="52"/>
      <c r="E336" s="53"/>
      <c r="F336" s="44" t="e">
        <f t="shared" si="6"/>
        <v>#DIV/0!</v>
      </c>
      <c r="G336" s="110"/>
      <c r="H336" s="111"/>
      <c r="I336" s="112"/>
      <c r="J336" s="113"/>
      <c r="K336" s="114"/>
      <c r="L336" s="5"/>
    </row>
    <row r="337" spans="1:12" x14ac:dyDescent="0.25">
      <c r="A337" s="38"/>
      <c r="B337" s="35"/>
      <c r="C337" s="39"/>
      <c r="D337" s="52"/>
      <c r="E337" s="53"/>
      <c r="F337" s="44" t="e">
        <f t="shared" si="6"/>
        <v>#DIV/0!</v>
      </c>
      <c r="G337" s="110"/>
      <c r="H337" s="111"/>
      <c r="I337" s="112"/>
      <c r="J337" s="113"/>
      <c r="K337" s="114"/>
      <c r="L337" s="5"/>
    </row>
    <row r="338" spans="1:12" x14ac:dyDescent="0.25">
      <c r="A338" s="48"/>
      <c r="B338" s="35"/>
      <c r="C338" s="39"/>
      <c r="D338" s="52"/>
      <c r="E338" s="53"/>
      <c r="F338" s="44" t="e">
        <f t="shared" si="6"/>
        <v>#DIV/0!</v>
      </c>
      <c r="G338" s="110"/>
      <c r="H338" s="111"/>
      <c r="I338" s="112"/>
      <c r="J338" s="113"/>
      <c r="K338" s="114"/>
      <c r="L338" s="5"/>
    </row>
    <row r="339" spans="1:12" x14ac:dyDescent="0.25">
      <c r="A339" s="27"/>
      <c r="B339" s="11"/>
      <c r="C339" s="6"/>
      <c r="D339" s="54"/>
      <c r="E339" s="55"/>
      <c r="F339" s="44" t="e">
        <f t="shared" si="6"/>
        <v>#DIV/0!</v>
      </c>
      <c r="G339" s="110"/>
      <c r="H339" s="111"/>
      <c r="I339" s="112"/>
      <c r="J339" s="113"/>
      <c r="K339" s="114"/>
      <c r="L339" s="5"/>
    </row>
    <row r="340" spans="1:12" x14ac:dyDescent="0.25">
      <c r="A340" s="68"/>
      <c r="B340" s="11"/>
      <c r="C340" s="6"/>
      <c r="D340" s="54"/>
      <c r="E340" s="55"/>
      <c r="F340" s="44" t="e">
        <f t="shared" si="6"/>
        <v>#DIV/0!</v>
      </c>
      <c r="G340" s="110"/>
      <c r="H340" s="111"/>
      <c r="I340" s="112"/>
      <c r="J340" s="113"/>
      <c r="K340" s="114"/>
      <c r="L340" s="5"/>
    </row>
    <row r="341" spans="1:12" ht="15.75" thickBot="1" x14ac:dyDescent="0.3">
      <c r="A341" s="5"/>
      <c r="B341" s="5"/>
      <c r="C341" s="7" t="s">
        <v>35</v>
      </c>
      <c r="D341" s="17">
        <f>D335+D336+D337+D338+D339+D340</f>
        <v>628.75</v>
      </c>
      <c r="E341" s="17">
        <f>E335+E336+E337+E338+E339+E340</f>
        <v>12799.75</v>
      </c>
      <c r="F341" s="5"/>
      <c r="G341" s="110"/>
      <c r="H341" s="111"/>
      <c r="I341" s="112"/>
      <c r="J341" s="113"/>
      <c r="K341" s="114"/>
      <c r="L341" s="7" t="s">
        <v>36</v>
      </c>
    </row>
    <row r="342" spans="1:12" ht="15.75" thickBot="1" x14ac:dyDescent="0.3">
      <c r="A342" s="5"/>
      <c r="B342" s="5"/>
      <c r="C342" s="5"/>
      <c r="D342" s="5"/>
      <c r="E342" s="5"/>
      <c r="F342" s="5"/>
      <c r="G342" s="130"/>
      <c r="H342" s="131"/>
      <c r="I342" s="132"/>
      <c r="J342" s="133"/>
      <c r="K342" s="134"/>
      <c r="L342" s="18">
        <f>J335+J336+J337+J338+J339+J340+J341+J342</f>
        <v>0</v>
      </c>
    </row>
    <row r="343" spans="1:12" ht="15.75" thickBo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75" thickBot="1" x14ac:dyDescent="0.3">
      <c r="A344" s="19"/>
      <c r="B344" s="20"/>
      <c r="C344" s="20"/>
      <c r="D344" s="20"/>
      <c r="E344" s="21" t="s">
        <v>13</v>
      </c>
      <c r="F344" s="5"/>
      <c r="G344" s="19"/>
      <c r="H344" s="20"/>
      <c r="I344" s="20"/>
      <c r="J344" s="20"/>
      <c r="K344" s="21" t="s">
        <v>13</v>
      </c>
      <c r="L344" s="5"/>
    </row>
    <row r="345" spans="1:12" x14ac:dyDescent="0.25">
      <c r="A345" s="22" t="s">
        <v>31</v>
      </c>
      <c r="B345" s="115">
        <v>24779</v>
      </c>
      <c r="C345" s="116"/>
      <c r="D345" s="116"/>
      <c r="E345" s="117"/>
      <c r="F345" s="5"/>
      <c r="G345" s="22" t="s">
        <v>32</v>
      </c>
      <c r="H345" s="115">
        <v>0</v>
      </c>
      <c r="I345" s="116"/>
      <c r="J345" s="116"/>
      <c r="K345" s="117"/>
      <c r="L345" s="5"/>
    </row>
    <row r="346" spans="1:1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x14ac:dyDescent="0.25">
      <c r="A347" s="7" t="s">
        <v>16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x14ac:dyDescent="0.25">
      <c r="A348" s="9" t="s">
        <v>17</v>
      </c>
      <c r="B348" s="23">
        <f>L327-C322</f>
        <v>1526</v>
      </c>
      <c r="C348" s="5"/>
      <c r="D348" s="106" t="s">
        <v>18</v>
      </c>
      <c r="E348" s="107"/>
      <c r="F348" s="24" t="s">
        <v>19</v>
      </c>
      <c r="G348" s="9" t="s">
        <v>20</v>
      </c>
      <c r="H348" s="118">
        <f>B345+H345</f>
        <v>24779</v>
      </c>
      <c r="I348" s="119"/>
      <c r="J348" s="5"/>
      <c r="K348" s="5"/>
      <c r="L348" s="5"/>
    </row>
    <row r="349" spans="1:12" x14ac:dyDescent="0.25">
      <c r="A349" s="9" t="s">
        <v>41</v>
      </c>
      <c r="B349" s="40">
        <f>B348/D341</f>
        <v>2.4270377733598409</v>
      </c>
      <c r="C349" s="5"/>
      <c r="D349" s="102">
        <f>E341</f>
        <v>12799.75</v>
      </c>
      <c r="E349" s="141"/>
      <c r="F349" s="25">
        <f>H349/B348</f>
        <v>9.0499017038007867</v>
      </c>
      <c r="G349" s="9" t="s">
        <v>21</v>
      </c>
      <c r="H349" s="104">
        <f>L342+D349+D351+D353+D355+A352</f>
        <v>13810.15</v>
      </c>
      <c r="I349" s="142"/>
      <c r="J349" s="5"/>
      <c r="K349" s="5"/>
      <c r="L349" s="5"/>
    </row>
    <row r="350" spans="1:12" x14ac:dyDescent="0.25">
      <c r="A350" s="9" t="s">
        <v>43</v>
      </c>
      <c r="B350" s="23">
        <f>D341/B348</f>
        <v>0.41202490170380079</v>
      </c>
      <c r="C350" s="5"/>
      <c r="D350" s="106" t="s">
        <v>33</v>
      </c>
      <c r="E350" s="107"/>
      <c r="F350" s="5"/>
      <c r="G350" s="13" t="s">
        <v>22</v>
      </c>
      <c r="H350" s="6"/>
      <c r="I350" s="26">
        <f>H348-H349</f>
        <v>10968.85</v>
      </c>
      <c r="J350" s="5"/>
      <c r="K350" s="5"/>
      <c r="L350" s="5"/>
    </row>
    <row r="351" spans="1:12" x14ac:dyDescent="0.25">
      <c r="A351" s="106" t="s">
        <v>40</v>
      </c>
      <c r="B351" s="107"/>
      <c r="C351" s="5"/>
      <c r="D351" s="108">
        <v>300</v>
      </c>
      <c r="E351" s="109"/>
      <c r="F351" s="5"/>
      <c r="G351" s="5"/>
      <c r="H351" s="5"/>
      <c r="I351" s="5"/>
      <c r="J351" s="5"/>
      <c r="K351" s="5"/>
      <c r="L351" s="5"/>
    </row>
    <row r="352" spans="1:12" x14ac:dyDescent="0.25">
      <c r="A352" s="108">
        <f>B348*0.4</f>
        <v>610.4</v>
      </c>
      <c r="B352" s="109"/>
      <c r="C352" s="5"/>
      <c r="D352" s="106" t="s">
        <v>34</v>
      </c>
      <c r="E352" s="107"/>
      <c r="F352" s="5"/>
      <c r="G352" s="5"/>
      <c r="H352" s="5"/>
      <c r="I352" s="5"/>
      <c r="J352" s="5"/>
      <c r="K352" s="5"/>
      <c r="L352" s="5"/>
    </row>
    <row r="353" spans="1:12" x14ac:dyDescent="0.25">
      <c r="A353" s="5"/>
      <c r="B353" s="5"/>
      <c r="C353" s="5"/>
      <c r="D353" s="108">
        <v>100</v>
      </c>
      <c r="E353" s="109"/>
      <c r="F353" s="5"/>
      <c r="G353" s="5"/>
      <c r="H353" s="5"/>
      <c r="I353" s="5"/>
      <c r="J353" s="5"/>
      <c r="K353" s="5"/>
      <c r="L353" s="5"/>
    </row>
    <row r="354" spans="1:12" x14ac:dyDescent="0.25">
      <c r="A354" s="5"/>
      <c r="B354" s="5"/>
      <c r="C354" s="5"/>
      <c r="D354" s="106" t="s">
        <v>37</v>
      </c>
      <c r="E354" s="107"/>
      <c r="F354" s="5"/>
      <c r="G354" s="5"/>
      <c r="H354" s="5"/>
      <c r="I354" s="5"/>
      <c r="J354" s="5"/>
      <c r="K354" s="5"/>
      <c r="L354" s="5"/>
    </row>
    <row r="355" spans="1:12" x14ac:dyDescent="0.25">
      <c r="A355" s="5"/>
      <c r="B355" s="5"/>
      <c r="C355" s="5"/>
      <c r="D355" s="108">
        <v>0</v>
      </c>
      <c r="E355" s="109"/>
      <c r="F355" s="5"/>
      <c r="G355" s="5"/>
      <c r="H355" s="5"/>
      <c r="I355" s="5"/>
      <c r="J355" s="5"/>
      <c r="K355" s="5"/>
      <c r="L355" s="5"/>
    </row>
    <row r="356" spans="1:1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x14ac:dyDescent="0.25">
      <c r="A357" s="5" t="s">
        <v>23</v>
      </c>
      <c r="B357" s="5" t="s">
        <v>54</v>
      </c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s="49" customFormat="1" x14ac:dyDescent="0.25"/>
    <row r="361" spans="1:12" x14ac:dyDescent="0.25">
      <c r="A361" s="120" t="s">
        <v>24</v>
      </c>
      <c r="B361" s="120"/>
      <c r="C361" s="120"/>
      <c r="D361" s="120"/>
      <c r="E361" s="120"/>
      <c r="F361" s="120"/>
      <c r="G361" s="120"/>
      <c r="H361" s="120"/>
    </row>
    <row r="362" spans="1:12" x14ac:dyDescent="0.25">
      <c r="A362" s="120"/>
      <c r="B362" s="120"/>
      <c r="C362" s="120"/>
      <c r="D362" s="120"/>
      <c r="E362" s="120"/>
      <c r="F362" s="120"/>
      <c r="G362" s="120"/>
      <c r="H362" s="120"/>
    </row>
    <row r="363" spans="1:12" x14ac:dyDescent="0.25">
      <c r="A363" s="1" t="s">
        <v>4</v>
      </c>
      <c r="B363" s="2"/>
      <c r="C363" s="2"/>
      <c r="D363" s="2"/>
      <c r="E363" s="2"/>
      <c r="F363" s="2"/>
      <c r="G363" s="3" t="s">
        <v>5</v>
      </c>
      <c r="H363" s="3" t="s">
        <v>6</v>
      </c>
      <c r="I363" s="4" t="s">
        <v>7</v>
      </c>
      <c r="J363" s="5"/>
      <c r="K363" s="5"/>
      <c r="L363" s="5"/>
    </row>
    <row r="364" spans="1:12" x14ac:dyDescent="0.25">
      <c r="A364" s="28" t="s">
        <v>98</v>
      </c>
      <c r="B364" s="29" t="s">
        <v>42</v>
      </c>
      <c r="C364" s="67"/>
      <c r="D364" s="66"/>
      <c r="E364" s="2"/>
      <c r="F364" s="2"/>
      <c r="G364" s="28" t="s">
        <v>91</v>
      </c>
      <c r="H364" s="66"/>
      <c r="I364" s="33"/>
      <c r="J364" s="6"/>
      <c r="K364" s="33"/>
      <c r="L364" s="6"/>
    </row>
    <row r="365" spans="1:12" x14ac:dyDescent="0.25">
      <c r="A365" s="7" t="s">
        <v>2</v>
      </c>
      <c r="B365" s="5"/>
      <c r="C365" s="5"/>
      <c r="D365" s="5"/>
      <c r="E365" s="5"/>
      <c r="F365" s="5"/>
      <c r="G365" s="8" t="s">
        <v>8</v>
      </c>
      <c r="H365" s="31"/>
      <c r="I365" s="5"/>
      <c r="J365" s="5"/>
      <c r="K365" s="5"/>
      <c r="L365" s="5"/>
    </row>
    <row r="366" spans="1:12" ht="15" customHeight="1" x14ac:dyDescent="0.25">
      <c r="A366" s="7" t="s">
        <v>25</v>
      </c>
      <c r="B366" s="5"/>
      <c r="C366" s="7" t="s">
        <v>0</v>
      </c>
      <c r="D366" s="5"/>
      <c r="E366" s="5"/>
      <c r="F366" s="5"/>
      <c r="G366" s="7" t="s">
        <v>25</v>
      </c>
      <c r="H366" s="5"/>
      <c r="I366" s="7" t="s">
        <v>0</v>
      </c>
      <c r="J366" s="5"/>
      <c r="K366" s="5"/>
      <c r="L366" s="5"/>
    </row>
    <row r="367" spans="1:12" ht="15" customHeight="1" x14ac:dyDescent="0.25">
      <c r="A367" s="42" t="s">
        <v>89</v>
      </c>
      <c r="B367" s="6"/>
      <c r="C367" s="31">
        <f>L327</f>
        <v>465248</v>
      </c>
      <c r="D367" s="5"/>
      <c r="E367" s="5"/>
      <c r="F367" s="5"/>
      <c r="G367" s="42"/>
      <c r="H367" s="6"/>
      <c r="I367" s="9"/>
      <c r="J367" s="5"/>
      <c r="K367" s="5"/>
      <c r="L367" s="5"/>
    </row>
    <row r="368" spans="1:12" ht="16.5" thickBot="1" x14ac:dyDescent="0.3">
      <c r="A368" s="7"/>
      <c r="B368" s="5"/>
      <c r="C368" s="5"/>
      <c r="D368" s="5"/>
      <c r="E368" s="5"/>
      <c r="F368" s="5"/>
      <c r="G368" s="10"/>
      <c r="H368" s="5"/>
      <c r="I368" s="5"/>
      <c r="J368" s="5"/>
      <c r="K368" s="5"/>
      <c r="L368" s="5"/>
    </row>
    <row r="369" spans="1:12" ht="15.75" thickBot="1" x14ac:dyDescent="0.3">
      <c r="A369" s="121" t="s">
        <v>9</v>
      </c>
      <c r="B369" s="122"/>
      <c r="C369" s="123"/>
      <c r="D369" s="5"/>
      <c r="E369" s="5"/>
      <c r="F369" s="5"/>
      <c r="G369" s="121" t="s">
        <v>26</v>
      </c>
      <c r="H369" s="122"/>
      <c r="I369" s="123"/>
      <c r="J369" s="5"/>
      <c r="K369" s="5"/>
      <c r="L369" s="5"/>
    </row>
    <row r="370" spans="1:12" x14ac:dyDescent="0.25">
      <c r="A370" s="30" t="s">
        <v>38</v>
      </c>
      <c r="B370" s="11"/>
      <c r="C370" s="11"/>
      <c r="D370" s="11"/>
      <c r="E370" s="6"/>
      <c r="F370" s="5"/>
      <c r="G370" s="30" t="str">
        <f>A373</f>
        <v>Swakop</v>
      </c>
      <c r="H370" s="11"/>
      <c r="I370" s="11"/>
      <c r="J370" s="11"/>
      <c r="K370" s="11"/>
      <c r="L370" s="6"/>
    </row>
    <row r="371" spans="1:12" ht="15.75" thickBot="1" x14ac:dyDescent="0.3">
      <c r="A371" s="7"/>
      <c r="B371" s="7"/>
      <c r="C371" s="7"/>
      <c r="D371" s="5"/>
      <c r="E371" s="5"/>
      <c r="F371" s="5"/>
      <c r="G371" s="7" t="s">
        <v>3</v>
      </c>
      <c r="H371" s="7"/>
      <c r="I371" s="7"/>
      <c r="J371" s="5"/>
      <c r="K371" s="5"/>
      <c r="L371" s="5"/>
    </row>
    <row r="372" spans="1:12" ht="15.75" thickBot="1" x14ac:dyDescent="0.3">
      <c r="A372" s="121" t="s">
        <v>30</v>
      </c>
      <c r="B372" s="122"/>
      <c r="C372" s="124"/>
      <c r="D372" s="12" t="s">
        <v>1</v>
      </c>
      <c r="E372" s="32"/>
      <c r="F372" s="5"/>
      <c r="G372" s="121" t="s">
        <v>27</v>
      </c>
      <c r="H372" s="122"/>
      <c r="I372" s="123"/>
      <c r="J372" s="5"/>
      <c r="K372" s="12" t="s">
        <v>1</v>
      </c>
      <c r="L372" s="32">
        <v>466036</v>
      </c>
    </row>
    <row r="373" spans="1:12" x14ac:dyDescent="0.25">
      <c r="A373" s="13" t="s">
        <v>53</v>
      </c>
      <c r="B373" s="14"/>
      <c r="C373" s="11"/>
      <c r="D373" s="11"/>
      <c r="E373" s="6"/>
      <c r="F373" s="5"/>
      <c r="G373" s="34" t="str">
        <f>A370</f>
        <v>Windhoek</v>
      </c>
      <c r="H373" s="11"/>
      <c r="I373" s="11"/>
      <c r="J373" s="11"/>
      <c r="K373" s="11"/>
      <c r="L373" s="6"/>
    </row>
    <row r="374" spans="1:12" x14ac:dyDescent="0.25">
      <c r="A374" s="13"/>
      <c r="B374" s="11"/>
      <c r="C374" s="11"/>
      <c r="D374" s="11"/>
      <c r="E374" s="6"/>
      <c r="F374" s="5"/>
      <c r="G374" s="13"/>
      <c r="H374" s="11"/>
      <c r="I374" s="11"/>
      <c r="J374" s="11"/>
      <c r="K374" s="11"/>
      <c r="L374" s="6"/>
    </row>
    <row r="375" spans="1:12" x14ac:dyDescent="0.25">
      <c r="A375" s="13"/>
      <c r="B375" s="11"/>
      <c r="C375" s="11"/>
      <c r="D375" s="11"/>
      <c r="E375" s="6"/>
      <c r="F375" s="5"/>
      <c r="G375" s="13"/>
      <c r="H375" s="11"/>
      <c r="I375" s="11"/>
      <c r="J375" s="11"/>
      <c r="K375" s="11"/>
      <c r="L375" s="6"/>
    </row>
    <row r="376" spans="1:12" x14ac:dyDescent="0.25">
      <c r="A376" s="13"/>
      <c r="B376" s="11"/>
      <c r="C376" s="11"/>
      <c r="D376" s="11"/>
      <c r="E376" s="6"/>
      <c r="F376" s="5"/>
      <c r="G376" s="13"/>
      <c r="H376" s="11"/>
      <c r="I376" s="11"/>
      <c r="J376" s="11"/>
      <c r="K376" s="11"/>
      <c r="L376" s="6"/>
    </row>
    <row r="377" spans="1:12" ht="15.75" thickBot="1" x14ac:dyDescent="0.3">
      <c r="A377" s="13"/>
      <c r="B377" s="11"/>
      <c r="C377" s="11" t="s">
        <v>29</v>
      </c>
      <c r="D377" s="43"/>
      <c r="E377" s="6"/>
      <c r="F377" s="5"/>
      <c r="G377" s="13"/>
      <c r="H377" s="11"/>
      <c r="I377" s="14" t="s">
        <v>28</v>
      </c>
      <c r="J377" s="43"/>
      <c r="K377" s="11"/>
      <c r="L377" s="6"/>
    </row>
    <row r="378" spans="1:12" ht="15.75" thickBot="1" x14ac:dyDescent="0.3">
      <c r="A378" s="15" t="s">
        <v>10</v>
      </c>
      <c r="B378" s="5"/>
      <c r="C378" s="5"/>
      <c r="D378" s="5"/>
      <c r="E378" s="5"/>
      <c r="F378" s="5"/>
      <c r="G378" s="15" t="s">
        <v>14</v>
      </c>
      <c r="H378" s="5"/>
      <c r="I378" s="5"/>
      <c r="J378" s="5"/>
      <c r="K378" s="5"/>
      <c r="L378" s="5"/>
    </row>
    <row r="379" spans="1:12" ht="15.75" thickBot="1" x14ac:dyDescent="0.3">
      <c r="A379" s="121" t="s">
        <v>11</v>
      </c>
      <c r="B379" s="122"/>
      <c r="C379" s="123"/>
      <c r="D379" s="16" t="s">
        <v>12</v>
      </c>
      <c r="E379" s="16" t="s">
        <v>13</v>
      </c>
      <c r="F379" s="5"/>
      <c r="G379" s="121" t="s">
        <v>15</v>
      </c>
      <c r="H379" s="122"/>
      <c r="I379" s="123"/>
      <c r="J379" s="121" t="s">
        <v>13</v>
      </c>
      <c r="K379" s="123"/>
      <c r="L379" s="5"/>
    </row>
    <row r="380" spans="1:12" x14ac:dyDescent="0.25">
      <c r="A380" s="41" t="s">
        <v>105</v>
      </c>
      <c r="B380" s="36" t="s">
        <v>47</v>
      </c>
      <c r="C380" s="37"/>
      <c r="D380" s="50">
        <v>354.75</v>
      </c>
      <c r="E380" s="51">
        <v>7222.7</v>
      </c>
      <c r="F380" s="44">
        <f t="shared" ref="F380:F385" si="7">E380/D380</f>
        <v>20.359971811134603</v>
      </c>
      <c r="G380" s="125"/>
      <c r="H380" s="126"/>
      <c r="I380" s="127"/>
      <c r="J380" s="128"/>
      <c r="K380" s="129"/>
      <c r="L380" s="5"/>
    </row>
    <row r="381" spans="1:12" x14ac:dyDescent="0.25">
      <c r="A381" s="48"/>
      <c r="B381" s="35"/>
      <c r="C381" s="39"/>
      <c r="D381" s="52"/>
      <c r="E381" s="53"/>
      <c r="F381" s="44" t="e">
        <f t="shared" si="7"/>
        <v>#DIV/0!</v>
      </c>
      <c r="G381" s="110"/>
      <c r="H381" s="111"/>
      <c r="I381" s="112"/>
      <c r="J381" s="113"/>
      <c r="K381" s="114"/>
      <c r="L381" s="5"/>
    </row>
    <row r="382" spans="1:12" x14ac:dyDescent="0.25">
      <c r="A382" s="38"/>
      <c r="B382" s="35"/>
      <c r="C382" s="39"/>
      <c r="D382" s="52"/>
      <c r="E382" s="53"/>
      <c r="F382" s="44" t="e">
        <f t="shared" si="7"/>
        <v>#DIV/0!</v>
      </c>
      <c r="G382" s="110"/>
      <c r="H382" s="111"/>
      <c r="I382" s="112"/>
      <c r="J382" s="113"/>
      <c r="K382" s="114"/>
      <c r="L382" s="5"/>
    </row>
    <row r="383" spans="1:12" x14ac:dyDescent="0.25">
      <c r="A383" s="48"/>
      <c r="B383" s="35"/>
      <c r="C383" s="39"/>
      <c r="D383" s="52"/>
      <c r="E383" s="53"/>
      <c r="F383" s="44" t="e">
        <f t="shared" si="7"/>
        <v>#DIV/0!</v>
      </c>
      <c r="G383" s="110"/>
      <c r="H383" s="111"/>
      <c r="I383" s="112"/>
      <c r="J383" s="113"/>
      <c r="K383" s="114"/>
      <c r="L383" s="5"/>
    </row>
    <row r="384" spans="1:12" x14ac:dyDescent="0.25">
      <c r="A384" s="27"/>
      <c r="B384" s="11"/>
      <c r="C384" s="6"/>
      <c r="D384" s="54"/>
      <c r="E384" s="55"/>
      <c r="F384" s="44" t="e">
        <f t="shared" si="7"/>
        <v>#DIV/0!</v>
      </c>
      <c r="G384" s="110"/>
      <c r="H384" s="111"/>
      <c r="I384" s="112"/>
      <c r="J384" s="113"/>
      <c r="K384" s="114"/>
      <c r="L384" s="5"/>
    </row>
    <row r="385" spans="1:12" x14ac:dyDescent="0.25">
      <c r="A385" s="68"/>
      <c r="B385" s="11"/>
      <c r="C385" s="6"/>
      <c r="D385" s="54"/>
      <c r="E385" s="55"/>
      <c r="F385" s="44" t="e">
        <f t="shared" si="7"/>
        <v>#DIV/0!</v>
      </c>
      <c r="G385" s="110"/>
      <c r="H385" s="111"/>
      <c r="I385" s="112"/>
      <c r="J385" s="113"/>
      <c r="K385" s="114"/>
      <c r="L385" s="5"/>
    </row>
    <row r="386" spans="1:12" ht="15.75" thickBot="1" x14ac:dyDescent="0.3">
      <c r="A386" s="5"/>
      <c r="B386" s="5"/>
      <c r="C386" s="7" t="s">
        <v>35</v>
      </c>
      <c r="D386" s="17">
        <f>D380+D381+D382+D383+D384+D385</f>
        <v>354.75</v>
      </c>
      <c r="E386" s="17">
        <f>E380+E381+E382+E383+E384+E385</f>
        <v>7222.7</v>
      </c>
      <c r="F386" s="5"/>
      <c r="G386" s="110"/>
      <c r="H386" s="111"/>
      <c r="I386" s="112"/>
      <c r="J386" s="113"/>
      <c r="K386" s="114"/>
      <c r="L386" s="7" t="s">
        <v>36</v>
      </c>
    </row>
    <row r="387" spans="1:12" ht="15.75" thickBot="1" x14ac:dyDescent="0.3">
      <c r="A387" s="5"/>
      <c r="B387" s="5"/>
      <c r="C387" s="5"/>
      <c r="D387" s="5"/>
      <c r="E387" s="5"/>
      <c r="F387" s="5"/>
      <c r="G387" s="130"/>
      <c r="H387" s="131"/>
      <c r="I387" s="132"/>
      <c r="J387" s="133"/>
      <c r="K387" s="134"/>
      <c r="L387" s="18">
        <f>J380+J381+J382+J383+J384+J385+J386+J387</f>
        <v>0</v>
      </c>
    </row>
    <row r="388" spans="1:12" ht="15.75" thickBo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75" thickBot="1" x14ac:dyDescent="0.3">
      <c r="A389" s="19"/>
      <c r="B389" s="20"/>
      <c r="C389" s="20"/>
      <c r="D389" s="20"/>
      <c r="E389" s="21" t="s">
        <v>13</v>
      </c>
      <c r="F389" s="5"/>
      <c r="G389" s="19"/>
      <c r="H389" s="20"/>
      <c r="I389" s="20"/>
      <c r="J389" s="20"/>
      <c r="K389" s="21" t="s">
        <v>13</v>
      </c>
      <c r="L389" s="5"/>
    </row>
    <row r="390" spans="1:12" x14ac:dyDescent="0.25">
      <c r="A390" s="22" t="s">
        <v>31</v>
      </c>
      <c r="B390" s="115">
        <v>12083</v>
      </c>
      <c r="C390" s="116"/>
      <c r="D390" s="116"/>
      <c r="E390" s="117"/>
      <c r="F390" s="5"/>
      <c r="G390" s="22" t="s">
        <v>32</v>
      </c>
      <c r="H390" s="115">
        <v>1087</v>
      </c>
      <c r="I390" s="116"/>
      <c r="J390" s="116"/>
      <c r="K390" s="117"/>
      <c r="L390" s="5"/>
    </row>
    <row r="391" spans="1:1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x14ac:dyDescent="0.25">
      <c r="A392" s="7" t="s">
        <v>16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x14ac:dyDescent="0.25">
      <c r="A393" s="9" t="s">
        <v>17</v>
      </c>
      <c r="B393" s="23">
        <f>L372-C367</f>
        <v>788</v>
      </c>
      <c r="C393" s="5"/>
      <c r="D393" s="106" t="s">
        <v>18</v>
      </c>
      <c r="E393" s="107"/>
      <c r="F393" s="24" t="s">
        <v>19</v>
      </c>
      <c r="G393" s="9" t="s">
        <v>20</v>
      </c>
      <c r="H393" s="118">
        <f>B390+H390</f>
        <v>13170</v>
      </c>
      <c r="I393" s="119"/>
      <c r="J393" s="5"/>
      <c r="K393" s="5"/>
      <c r="L393" s="5"/>
    </row>
    <row r="394" spans="1:12" x14ac:dyDescent="0.25">
      <c r="A394" s="9" t="s">
        <v>41</v>
      </c>
      <c r="B394" s="40">
        <f>B393/D386</f>
        <v>2.2212825933756166</v>
      </c>
      <c r="C394" s="5"/>
      <c r="D394" s="102">
        <f>E386</f>
        <v>7222.7</v>
      </c>
      <c r="E394" s="103"/>
      <c r="F394" s="25">
        <f>H394/B393</f>
        <v>10.200380710659898</v>
      </c>
      <c r="G394" s="9" t="s">
        <v>21</v>
      </c>
      <c r="H394" s="104">
        <f>L387+D394+D396+D398+D400+A397</f>
        <v>8037.9</v>
      </c>
      <c r="I394" s="105"/>
      <c r="J394" s="5"/>
      <c r="K394" s="5"/>
      <c r="L394" s="5"/>
    </row>
    <row r="395" spans="1:12" x14ac:dyDescent="0.25">
      <c r="A395" s="9" t="s">
        <v>43</v>
      </c>
      <c r="B395" s="23">
        <f>D386/B393</f>
        <v>0.45019035532994922</v>
      </c>
      <c r="C395" s="5"/>
      <c r="D395" s="106" t="s">
        <v>33</v>
      </c>
      <c r="E395" s="107"/>
      <c r="F395" s="5"/>
      <c r="G395" s="13" t="s">
        <v>22</v>
      </c>
      <c r="H395" s="6"/>
      <c r="I395" s="26">
        <f>H393-H394</f>
        <v>5132.1000000000004</v>
      </c>
      <c r="J395" s="5"/>
      <c r="K395" s="5"/>
      <c r="L395" s="5"/>
    </row>
    <row r="396" spans="1:12" x14ac:dyDescent="0.25">
      <c r="A396" s="106" t="s">
        <v>40</v>
      </c>
      <c r="B396" s="107"/>
      <c r="C396" s="5"/>
      <c r="D396" s="108">
        <v>300</v>
      </c>
      <c r="E396" s="109"/>
      <c r="F396" s="5"/>
      <c r="G396" s="5"/>
      <c r="H396" s="5"/>
      <c r="I396" s="5"/>
      <c r="J396" s="5"/>
      <c r="K396" s="5"/>
      <c r="L396" s="5"/>
    </row>
    <row r="397" spans="1:12" x14ac:dyDescent="0.25">
      <c r="A397" s="108">
        <f>B393*0.4</f>
        <v>315.20000000000005</v>
      </c>
      <c r="B397" s="109"/>
      <c r="C397" s="5"/>
      <c r="D397" s="106" t="s">
        <v>34</v>
      </c>
      <c r="E397" s="107"/>
      <c r="F397" s="5"/>
      <c r="G397" s="5"/>
      <c r="H397" s="5"/>
      <c r="I397" s="5"/>
      <c r="J397" s="5"/>
      <c r="K397" s="5"/>
      <c r="L397" s="5"/>
    </row>
    <row r="398" spans="1:12" x14ac:dyDescent="0.25">
      <c r="A398" s="5"/>
      <c r="B398" s="5"/>
      <c r="C398" s="5"/>
      <c r="D398" s="108">
        <v>100</v>
      </c>
      <c r="E398" s="109"/>
      <c r="F398" s="5"/>
      <c r="G398" s="5"/>
      <c r="H398" s="5"/>
      <c r="I398" s="5"/>
      <c r="J398" s="5"/>
      <c r="K398" s="5"/>
      <c r="L398" s="5"/>
    </row>
    <row r="399" spans="1:12" x14ac:dyDescent="0.25">
      <c r="A399" s="5"/>
      <c r="B399" s="5"/>
      <c r="C399" s="5"/>
      <c r="D399" s="106" t="s">
        <v>37</v>
      </c>
      <c r="E399" s="107"/>
      <c r="F399" s="5"/>
      <c r="G399" s="5"/>
      <c r="H399" s="5"/>
      <c r="I399" s="5"/>
      <c r="J399" s="5"/>
      <c r="K399" s="5"/>
      <c r="L399" s="5"/>
    </row>
    <row r="400" spans="1:12" x14ac:dyDescent="0.25">
      <c r="A400" s="5"/>
      <c r="B400" s="5"/>
      <c r="C400" s="5"/>
      <c r="D400" s="108">
        <v>100</v>
      </c>
      <c r="E400" s="109"/>
      <c r="F400" s="5"/>
      <c r="G400" s="5"/>
      <c r="H400" s="5"/>
      <c r="I400" s="5"/>
      <c r="J400" s="5"/>
      <c r="K400" s="5"/>
      <c r="L400" s="5"/>
    </row>
    <row r="401" spans="1:1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x14ac:dyDescent="0.25">
      <c r="A402" s="5" t="s">
        <v>23</v>
      </c>
      <c r="B402" s="5" t="s">
        <v>54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s="49" customFormat="1" x14ac:dyDescent="0.25"/>
    <row r="406" spans="1:12" x14ac:dyDescent="0.25">
      <c r="A406" s="120" t="s">
        <v>24</v>
      </c>
      <c r="B406" s="120"/>
      <c r="C406" s="120"/>
      <c r="D406" s="120"/>
      <c r="E406" s="120"/>
      <c r="F406" s="120"/>
      <c r="G406" s="120"/>
      <c r="H406" s="120"/>
    </row>
    <row r="407" spans="1:12" x14ac:dyDescent="0.25">
      <c r="A407" s="120"/>
      <c r="B407" s="120"/>
      <c r="C407" s="120"/>
      <c r="D407" s="120"/>
      <c r="E407" s="120"/>
      <c r="F407" s="120"/>
      <c r="G407" s="120"/>
      <c r="H407" s="120"/>
    </row>
    <row r="408" spans="1:12" x14ac:dyDescent="0.25">
      <c r="A408" s="1" t="s">
        <v>4</v>
      </c>
      <c r="B408" s="2"/>
      <c r="C408" s="2"/>
      <c r="D408" s="2"/>
      <c r="E408" s="2"/>
      <c r="F408" s="2"/>
      <c r="G408" s="3" t="s">
        <v>5</v>
      </c>
      <c r="H408" s="3" t="s">
        <v>6</v>
      </c>
      <c r="I408" s="4" t="s">
        <v>7</v>
      </c>
      <c r="J408" s="5"/>
      <c r="K408" s="5"/>
      <c r="L408" s="5"/>
    </row>
    <row r="409" spans="1:12" x14ac:dyDescent="0.25">
      <c r="A409" s="28" t="s">
        <v>98</v>
      </c>
      <c r="B409" s="29" t="s">
        <v>42</v>
      </c>
      <c r="C409" s="67"/>
      <c r="D409" s="66"/>
      <c r="E409" s="2"/>
      <c r="F409" s="2"/>
      <c r="G409" s="28" t="s">
        <v>91</v>
      </c>
      <c r="H409" s="66"/>
      <c r="I409" s="33"/>
      <c r="J409" s="6"/>
      <c r="K409" s="33"/>
      <c r="L409" s="6"/>
    </row>
    <row r="410" spans="1:12" x14ac:dyDescent="0.25">
      <c r="A410" s="7" t="s">
        <v>2</v>
      </c>
      <c r="B410" s="5"/>
      <c r="C410" s="5"/>
      <c r="D410" s="5"/>
      <c r="E410" s="5"/>
      <c r="F410" s="5"/>
      <c r="G410" s="8" t="s">
        <v>8</v>
      </c>
      <c r="H410" s="31"/>
      <c r="I410" s="5"/>
      <c r="J410" s="5"/>
      <c r="K410" s="5"/>
      <c r="L410" s="5"/>
    </row>
    <row r="411" spans="1:12" x14ac:dyDescent="0.25">
      <c r="A411" s="7" t="s">
        <v>25</v>
      </c>
      <c r="B411" s="5"/>
      <c r="C411" s="7" t="s">
        <v>0</v>
      </c>
      <c r="D411" s="5"/>
      <c r="E411" s="5"/>
      <c r="F411" s="5"/>
      <c r="G411" s="7" t="s">
        <v>25</v>
      </c>
      <c r="H411" s="5"/>
      <c r="I411" s="7" t="s">
        <v>0</v>
      </c>
      <c r="J411" s="5"/>
      <c r="K411" s="5"/>
      <c r="L411" s="5"/>
    </row>
    <row r="412" spans="1:12" x14ac:dyDescent="0.25">
      <c r="A412" s="42" t="s">
        <v>105</v>
      </c>
      <c r="B412" s="6"/>
      <c r="C412" s="31">
        <f>L372</f>
        <v>466036</v>
      </c>
      <c r="D412" s="5"/>
      <c r="E412" s="5"/>
      <c r="F412" s="5"/>
      <c r="G412" s="42"/>
      <c r="H412" s="6"/>
      <c r="I412" s="9"/>
      <c r="J412" s="5"/>
      <c r="K412" s="5"/>
      <c r="L412" s="5"/>
    </row>
    <row r="413" spans="1:12" ht="16.5" thickBot="1" x14ac:dyDescent="0.3">
      <c r="A413" s="7"/>
      <c r="B413" s="5"/>
      <c r="C413" s="5"/>
      <c r="D413" s="5"/>
      <c r="E413" s="5"/>
      <c r="F413" s="5"/>
      <c r="G413" s="10"/>
      <c r="H413" s="5"/>
      <c r="I413" s="5"/>
      <c r="J413" s="5"/>
      <c r="K413" s="5"/>
      <c r="L413" s="5"/>
    </row>
    <row r="414" spans="1:12" ht="15.75" thickBot="1" x14ac:dyDescent="0.3">
      <c r="A414" s="121" t="s">
        <v>9</v>
      </c>
      <c r="B414" s="122"/>
      <c r="C414" s="123"/>
      <c r="D414" s="5"/>
      <c r="E414" s="5"/>
      <c r="F414" s="5"/>
      <c r="G414" s="121" t="s">
        <v>26</v>
      </c>
      <c r="H414" s="122"/>
      <c r="I414" s="123"/>
      <c r="J414" s="5"/>
      <c r="K414" s="5"/>
      <c r="L414" s="5"/>
    </row>
    <row r="415" spans="1:12" x14ac:dyDescent="0.25">
      <c r="A415" s="30" t="s">
        <v>38</v>
      </c>
      <c r="B415" s="11"/>
      <c r="C415" s="11"/>
      <c r="D415" s="11"/>
      <c r="E415" s="6"/>
      <c r="F415" s="5"/>
      <c r="G415" s="30" t="str">
        <f>A418</f>
        <v>Oshakati</v>
      </c>
      <c r="H415" s="11"/>
      <c r="I415" s="11"/>
      <c r="J415" s="11"/>
      <c r="K415" s="11"/>
      <c r="L415" s="6"/>
    </row>
    <row r="416" spans="1:12" ht="15.75" thickBot="1" x14ac:dyDescent="0.3">
      <c r="A416" s="7"/>
      <c r="B416" s="7"/>
      <c r="C416" s="7"/>
      <c r="D416" s="5"/>
      <c r="E416" s="5"/>
      <c r="F416" s="5"/>
      <c r="G416" s="7" t="s">
        <v>3</v>
      </c>
      <c r="H416" s="7"/>
      <c r="I416" s="7"/>
      <c r="J416" s="5"/>
      <c r="K416" s="5"/>
      <c r="L416" s="5"/>
    </row>
    <row r="417" spans="1:12" ht="15.75" thickBot="1" x14ac:dyDescent="0.3">
      <c r="A417" s="121" t="s">
        <v>30</v>
      </c>
      <c r="B417" s="122"/>
      <c r="C417" s="124"/>
      <c r="D417" s="12" t="s">
        <v>1</v>
      </c>
      <c r="E417" s="32"/>
      <c r="F417" s="5"/>
      <c r="G417" s="121" t="s">
        <v>27</v>
      </c>
      <c r="H417" s="122"/>
      <c r="I417" s="123"/>
      <c r="J417" s="5"/>
      <c r="K417" s="12" t="s">
        <v>1</v>
      </c>
      <c r="L417" s="32">
        <v>467545</v>
      </c>
    </row>
    <row r="418" spans="1:12" x14ac:dyDescent="0.25">
      <c r="A418" s="13" t="s">
        <v>39</v>
      </c>
      <c r="B418" s="14"/>
      <c r="C418" s="11"/>
      <c r="D418" s="11"/>
      <c r="E418" s="6"/>
      <c r="F418" s="5"/>
      <c r="G418" s="34" t="str">
        <f>A415</f>
        <v>Windhoek</v>
      </c>
      <c r="H418" s="11"/>
      <c r="I418" s="11"/>
      <c r="J418" s="11"/>
      <c r="K418" s="11"/>
      <c r="L418" s="6"/>
    </row>
    <row r="419" spans="1:12" x14ac:dyDescent="0.25">
      <c r="A419" s="13"/>
      <c r="B419" s="11"/>
      <c r="C419" s="11"/>
      <c r="D419" s="11"/>
      <c r="E419" s="6"/>
      <c r="F419" s="5"/>
      <c r="G419" s="13"/>
      <c r="H419" s="11"/>
      <c r="I419" s="11"/>
      <c r="J419" s="11"/>
      <c r="K419" s="11"/>
      <c r="L419" s="6"/>
    </row>
    <row r="420" spans="1:12" x14ac:dyDescent="0.25">
      <c r="A420" s="13"/>
      <c r="B420" s="11"/>
      <c r="C420" s="11"/>
      <c r="D420" s="11"/>
      <c r="E420" s="6"/>
      <c r="F420" s="5"/>
      <c r="G420" s="13"/>
      <c r="H420" s="11"/>
      <c r="I420" s="11"/>
      <c r="J420" s="11"/>
      <c r="K420" s="11"/>
      <c r="L420" s="6"/>
    </row>
    <row r="421" spans="1:12" x14ac:dyDescent="0.25">
      <c r="A421" s="13"/>
      <c r="B421" s="11"/>
      <c r="C421" s="11"/>
      <c r="D421" s="11"/>
      <c r="E421" s="6"/>
      <c r="F421" s="5"/>
      <c r="G421" s="13"/>
      <c r="H421" s="11"/>
      <c r="I421" s="11"/>
      <c r="J421" s="11"/>
      <c r="K421" s="11"/>
      <c r="L421" s="6"/>
    </row>
    <row r="422" spans="1:12" ht="15.75" thickBot="1" x14ac:dyDescent="0.3">
      <c r="A422" s="13"/>
      <c r="B422" s="11"/>
      <c r="C422" s="11" t="s">
        <v>29</v>
      </c>
      <c r="D422" s="43"/>
      <c r="E422" s="6"/>
      <c r="F422" s="5"/>
      <c r="G422" s="13"/>
      <c r="H422" s="11"/>
      <c r="I422" s="14" t="s">
        <v>28</v>
      </c>
      <c r="J422" s="43"/>
      <c r="K422" s="11"/>
      <c r="L422" s="6"/>
    </row>
    <row r="423" spans="1:12" ht="15.75" thickBot="1" x14ac:dyDescent="0.3">
      <c r="A423" s="15" t="s">
        <v>10</v>
      </c>
      <c r="B423" s="5"/>
      <c r="C423" s="5"/>
      <c r="D423" s="5"/>
      <c r="E423" s="5"/>
      <c r="F423" s="5"/>
      <c r="G423" s="15" t="s">
        <v>14</v>
      </c>
      <c r="H423" s="5"/>
      <c r="I423" s="5"/>
      <c r="J423" s="5"/>
      <c r="K423" s="5"/>
      <c r="L423" s="5"/>
    </row>
    <row r="424" spans="1:12" ht="15.75" thickBot="1" x14ac:dyDescent="0.3">
      <c r="A424" s="121" t="s">
        <v>11</v>
      </c>
      <c r="B424" s="122"/>
      <c r="C424" s="123"/>
      <c r="D424" s="16" t="s">
        <v>12</v>
      </c>
      <c r="E424" s="16" t="s">
        <v>13</v>
      </c>
      <c r="F424" s="5"/>
      <c r="G424" s="121" t="s">
        <v>15</v>
      </c>
      <c r="H424" s="122"/>
      <c r="I424" s="123"/>
      <c r="J424" s="121" t="s">
        <v>13</v>
      </c>
      <c r="K424" s="123"/>
      <c r="L424" s="5"/>
    </row>
    <row r="425" spans="1:12" x14ac:dyDescent="0.25">
      <c r="A425" s="41" t="s">
        <v>106</v>
      </c>
      <c r="B425" s="36" t="s">
        <v>47</v>
      </c>
      <c r="C425" s="37"/>
      <c r="D425" s="50">
        <v>683.07</v>
      </c>
      <c r="E425" s="51">
        <v>13907.3</v>
      </c>
      <c r="F425" s="44">
        <f t="shared" ref="F425:F430" si="8">E425/D425</f>
        <v>20.359992387310228</v>
      </c>
      <c r="G425" s="125"/>
      <c r="H425" s="126"/>
      <c r="I425" s="127"/>
      <c r="J425" s="128"/>
      <c r="K425" s="129"/>
      <c r="L425" s="5"/>
    </row>
    <row r="426" spans="1:12" x14ac:dyDescent="0.25">
      <c r="A426" s="48"/>
      <c r="B426" s="35"/>
      <c r="C426" s="39"/>
      <c r="D426" s="52"/>
      <c r="E426" s="53"/>
      <c r="F426" s="44" t="e">
        <f t="shared" si="8"/>
        <v>#DIV/0!</v>
      </c>
      <c r="G426" s="110"/>
      <c r="H426" s="111"/>
      <c r="I426" s="112"/>
      <c r="J426" s="113"/>
      <c r="K426" s="114"/>
      <c r="L426" s="5"/>
    </row>
    <row r="427" spans="1:12" x14ac:dyDescent="0.25">
      <c r="A427" s="38"/>
      <c r="B427" s="35"/>
      <c r="C427" s="39"/>
      <c r="D427" s="52"/>
      <c r="E427" s="53"/>
      <c r="F427" s="44" t="e">
        <f t="shared" si="8"/>
        <v>#DIV/0!</v>
      </c>
      <c r="G427" s="110"/>
      <c r="H427" s="111"/>
      <c r="I427" s="112"/>
      <c r="J427" s="113"/>
      <c r="K427" s="114"/>
      <c r="L427" s="5"/>
    </row>
    <row r="428" spans="1:12" x14ac:dyDescent="0.25">
      <c r="A428" s="48"/>
      <c r="B428" s="35"/>
      <c r="C428" s="39"/>
      <c r="D428" s="52"/>
      <c r="E428" s="53"/>
      <c r="F428" s="44" t="e">
        <f t="shared" si="8"/>
        <v>#DIV/0!</v>
      </c>
      <c r="G428" s="110"/>
      <c r="H428" s="111"/>
      <c r="I428" s="112"/>
      <c r="J428" s="113"/>
      <c r="K428" s="114"/>
      <c r="L428" s="5"/>
    </row>
    <row r="429" spans="1:12" x14ac:dyDescent="0.25">
      <c r="A429" s="27"/>
      <c r="B429" s="11"/>
      <c r="C429" s="6"/>
      <c r="D429" s="54"/>
      <c r="E429" s="55"/>
      <c r="F429" s="44" t="e">
        <f t="shared" si="8"/>
        <v>#DIV/0!</v>
      </c>
      <c r="G429" s="110"/>
      <c r="H429" s="111"/>
      <c r="I429" s="112"/>
      <c r="J429" s="113"/>
      <c r="K429" s="114"/>
      <c r="L429" s="5"/>
    </row>
    <row r="430" spans="1:12" x14ac:dyDescent="0.25">
      <c r="A430" s="68"/>
      <c r="B430" s="11"/>
      <c r="C430" s="6"/>
      <c r="D430" s="54"/>
      <c r="E430" s="55"/>
      <c r="F430" s="44" t="e">
        <f t="shared" si="8"/>
        <v>#DIV/0!</v>
      </c>
      <c r="G430" s="110"/>
      <c r="H430" s="111"/>
      <c r="I430" s="112"/>
      <c r="J430" s="113"/>
      <c r="K430" s="114"/>
      <c r="L430" s="5"/>
    </row>
    <row r="431" spans="1:12" ht="15.75" thickBot="1" x14ac:dyDescent="0.3">
      <c r="A431" s="5"/>
      <c r="B431" s="5"/>
      <c r="C431" s="7" t="s">
        <v>35</v>
      </c>
      <c r="D431" s="17">
        <f>D425+D426+D427+D428+D429+D430</f>
        <v>683.07</v>
      </c>
      <c r="E431" s="17">
        <f>E425+E426+E427+E428+E429+E430</f>
        <v>13907.3</v>
      </c>
      <c r="F431" s="5"/>
      <c r="G431" s="110"/>
      <c r="H431" s="111"/>
      <c r="I431" s="112"/>
      <c r="J431" s="113"/>
      <c r="K431" s="114"/>
      <c r="L431" s="7" t="s">
        <v>36</v>
      </c>
    </row>
    <row r="432" spans="1:12" ht="15.75" thickBot="1" x14ac:dyDescent="0.3">
      <c r="A432" s="5"/>
      <c r="B432" s="5"/>
      <c r="C432" s="5"/>
      <c r="D432" s="5"/>
      <c r="E432" s="5"/>
      <c r="F432" s="5"/>
      <c r="G432" s="130"/>
      <c r="H432" s="131"/>
      <c r="I432" s="132"/>
      <c r="J432" s="133"/>
      <c r="K432" s="134"/>
      <c r="L432" s="18">
        <f>J425+J426+J427+J428+J429+J430+J431+J432</f>
        <v>0</v>
      </c>
    </row>
    <row r="433" spans="1:12" ht="15.75" thickBo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75" thickBot="1" x14ac:dyDescent="0.3">
      <c r="A434" s="19"/>
      <c r="B434" s="20"/>
      <c r="C434" s="20"/>
      <c r="D434" s="20"/>
      <c r="E434" s="21" t="s">
        <v>13</v>
      </c>
      <c r="F434" s="5"/>
      <c r="G434" s="19"/>
      <c r="H434" s="20"/>
      <c r="I434" s="20"/>
      <c r="J434" s="20"/>
      <c r="K434" s="21" t="s">
        <v>13</v>
      </c>
      <c r="L434" s="5"/>
    </row>
    <row r="435" spans="1:12" x14ac:dyDescent="0.25">
      <c r="A435" s="22" t="s">
        <v>31</v>
      </c>
      <c r="B435" s="115">
        <v>23592</v>
      </c>
      <c r="C435" s="116"/>
      <c r="D435" s="116"/>
      <c r="E435" s="117"/>
      <c r="F435" s="5"/>
      <c r="G435" s="22" t="s">
        <v>32</v>
      </c>
      <c r="H435" s="115">
        <f>1087+1087</f>
        <v>2174</v>
      </c>
      <c r="I435" s="116"/>
      <c r="J435" s="116"/>
      <c r="K435" s="117"/>
      <c r="L435" s="5"/>
    </row>
    <row r="436" spans="1:1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x14ac:dyDescent="0.25">
      <c r="A437" s="7" t="s">
        <v>16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x14ac:dyDescent="0.25">
      <c r="A438" s="9" t="s">
        <v>17</v>
      </c>
      <c r="B438" s="23">
        <f>L417-C412</f>
        <v>1509</v>
      </c>
      <c r="C438" s="5"/>
      <c r="D438" s="106" t="s">
        <v>18</v>
      </c>
      <c r="E438" s="107"/>
      <c r="F438" s="24" t="s">
        <v>19</v>
      </c>
      <c r="G438" s="9" t="s">
        <v>20</v>
      </c>
      <c r="H438" s="118">
        <f>B435+H435</f>
        <v>25766</v>
      </c>
      <c r="I438" s="119"/>
      <c r="J438" s="5"/>
      <c r="K438" s="5"/>
      <c r="L438" s="5"/>
    </row>
    <row r="439" spans="1:12" x14ac:dyDescent="0.25">
      <c r="A439" s="9" t="s">
        <v>41</v>
      </c>
      <c r="B439" s="40">
        <f>B438/D431</f>
        <v>2.2091440115947121</v>
      </c>
      <c r="C439" s="5"/>
      <c r="D439" s="102">
        <f>E431</f>
        <v>13907.3</v>
      </c>
      <c r="E439" s="103"/>
      <c r="F439" s="25">
        <f>H439/B438</f>
        <v>10.013850231941683</v>
      </c>
      <c r="G439" s="9" t="s">
        <v>21</v>
      </c>
      <c r="H439" s="104">
        <f>L432+D439+D441+D443+D445+A442</f>
        <v>15110.9</v>
      </c>
      <c r="I439" s="105"/>
      <c r="J439" s="5"/>
      <c r="K439" s="5"/>
      <c r="L439" s="5"/>
    </row>
    <row r="440" spans="1:12" x14ac:dyDescent="0.25">
      <c r="A440" s="9" t="s">
        <v>43</v>
      </c>
      <c r="B440" s="23">
        <f>D431/B438</f>
        <v>0.45266401590457261</v>
      </c>
      <c r="C440" s="5"/>
      <c r="D440" s="106" t="s">
        <v>33</v>
      </c>
      <c r="E440" s="107"/>
      <c r="F440" s="5"/>
      <c r="G440" s="13" t="s">
        <v>22</v>
      </c>
      <c r="H440" s="6"/>
      <c r="I440" s="26">
        <f>H438-H439</f>
        <v>10655.1</v>
      </c>
      <c r="J440" s="5"/>
      <c r="K440" s="5"/>
      <c r="L440" s="5"/>
    </row>
    <row r="441" spans="1:12" x14ac:dyDescent="0.25">
      <c r="A441" s="106" t="s">
        <v>40</v>
      </c>
      <c r="B441" s="107"/>
      <c r="C441" s="5"/>
      <c r="D441" s="108">
        <v>300</v>
      </c>
      <c r="E441" s="109"/>
      <c r="F441" s="5"/>
      <c r="G441" s="5"/>
      <c r="H441" s="5"/>
      <c r="I441" s="5"/>
      <c r="J441" s="5"/>
      <c r="K441" s="5"/>
      <c r="L441" s="5"/>
    </row>
    <row r="442" spans="1:12" x14ac:dyDescent="0.25">
      <c r="A442" s="108">
        <f>B438*0.4</f>
        <v>603.6</v>
      </c>
      <c r="B442" s="109"/>
      <c r="C442" s="5"/>
      <c r="D442" s="106" t="s">
        <v>34</v>
      </c>
      <c r="E442" s="107"/>
      <c r="F442" s="5"/>
      <c r="G442" s="5"/>
      <c r="H442" s="5"/>
      <c r="I442" s="5"/>
      <c r="J442" s="5"/>
      <c r="K442" s="5"/>
      <c r="L442" s="5"/>
    </row>
    <row r="443" spans="1:12" x14ac:dyDescent="0.25">
      <c r="A443" s="5"/>
      <c r="B443" s="5"/>
      <c r="C443" s="5"/>
      <c r="D443" s="108">
        <v>100</v>
      </c>
      <c r="E443" s="109"/>
      <c r="F443" s="5"/>
      <c r="G443" s="5"/>
      <c r="H443" s="5"/>
      <c r="I443" s="5"/>
      <c r="J443" s="5"/>
      <c r="K443" s="5"/>
      <c r="L443" s="5"/>
    </row>
    <row r="444" spans="1:12" x14ac:dyDescent="0.25">
      <c r="A444" s="5"/>
      <c r="B444" s="5"/>
      <c r="C444" s="5"/>
      <c r="D444" s="106" t="s">
        <v>37</v>
      </c>
      <c r="E444" s="107"/>
      <c r="F444" s="5"/>
      <c r="G444" s="5"/>
      <c r="H444" s="5"/>
      <c r="I444" s="5"/>
      <c r="J444" s="5"/>
      <c r="K444" s="5"/>
      <c r="L444" s="5"/>
    </row>
    <row r="445" spans="1:12" x14ac:dyDescent="0.25">
      <c r="A445" s="5"/>
      <c r="B445" s="5"/>
      <c r="C445" s="5"/>
      <c r="D445" s="108">
        <f>100+100</f>
        <v>200</v>
      </c>
      <c r="E445" s="109"/>
      <c r="F445" s="5"/>
      <c r="G445" s="5"/>
      <c r="H445" s="5"/>
      <c r="I445" s="5"/>
      <c r="J445" s="5"/>
      <c r="K445" s="5"/>
      <c r="L445" s="5"/>
    </row>
    <row r="446" spans="1:1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x14ac:dyDescent="0.25">
      <c r="A447" s="5" t="s">
        <v>23</v>
      </c>
      <c r="B447" s="5" t="s">
        <v>54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s="49" customFormat="1" x14ac:dyDescent="0.25"/>
    <row r="451" spans="1:12" x14ac:dyDescent="0.25">
      <c r="A451" s="120" t="s">
        <v>24</v>
      </c>
      <c r="B451" s="120"/>
      <c r="C451" s="120"/>
      <c r="D451" s="120"/>
      <c r="E451" s="120"/>
      <c r="F451" s="120"/>
      <c r="G451" s="120"/>
      <c r="H451" s="120"/>
    </row>
    <row r="452" spans="1:12" x14ac:dyDescent="0.25">
      <c r="A452" s="120"/>
      <c r="B452" s="120"/>
      <c r="C452" s="120"/>
      <c r="D452" s="120"/>
      <c r="E452" s="120"/>
      <c r="F452" s="120"/>
      <c r="G452" s="120"/>
      <c r="H452" s="120"/>
    </row>
    <row r="453" spans="1:12" x14ac:dyDescent="0.25">
      <c r="A453" s="1" t="s">
        <v>4</v>
      </c>
      <c r="B453" s="2"/>
      <c r="C453" s="2"/>
      <c r="D453" s="2"/>
      <c r="E453" s="2"/>
      <c r="F453" s="2"/>
      <c r="G453" s="3" t="s">
        <v>5</v>
      </c>
      <c r="H453" s="3" t="s">
        <v>6</v>
      </c>
      <c r="I453" s="4" t="s">
        <v>7</v>
      </c>
      <c r="J453" s="5"/>
      <c r="K453" s="5"/>
      <c r="L453" s="5"/>
    </row>
    <row r="454" spans="1:12" x14ac:dyDescent="0.25">
      <c r="A454" s="28" t="s">
        <v>98</v>
      </c>
      <c r="B454" s="29" t="s">
        <v>42</v>
      </c>
      <c r="C454" s="67"/>
      <c r="D454" s="66"/>
      <c r="E454" s="2"/>
      <c r="F454" s="2"/>
      <c r="G454" s="28" t="s">
        <v>91</v>
      </c>
      <c r="H454" s="66"/>
      <c r="I454" s="33"/>
      <c r="J454" s="6"/>
      <c r="K454" s="33"/>
      <c r="L454" s="6"/>
    </row>
    <row r="455" spans="1:12" x14ac:dyDescent="0.25">
      <c r="A455" s="7" t="s">
        <v>2</v>
      </c>
      <c r="B455" s="5"/>
      <c r="C455" s="5"/>
      <c r="D455" s="5"/>
      <c r="E455" s="5"/>
      <c r="F455" s="5"/>
      <c r="G455" s="8" t="s">
        <v>8</v>
      </c>
      <c r="H455" s="31"/>
      <c r="I455" s="5"/>
      <c r="J455" s="5"/>
      <c r="K455" s="5"/>
      <c r="L455" s="5"/>
    </row>
    <row r="456" spans="1:12" x14ac:dyDescent="0.25">
      <c r="A456" s="7" t="s">
        <v>25</v>
      </c>
      <c r="B456" s="5"/>
      <c r="C456" s="7" t="s">
        <v>0</v>
      </c>
      <c r="D456" s="5"/>
      <c r="E456" s="5"/>
      <c r="F456" s="5"/>
      <c r="G456" s="7" t="s">
        <v>25</v>
      </c>
      <c r="H456" s="5"/>
      <c r="I456" s="7" t="s">
        <v>0</v>
      </c>
      <c r="J456" s="5"/>
      <c r="K456" s="5"/>
      <c r="L456" s="5"/>
    </row>
    <row r="457" spans="1:12" x14ac:dyDescent="0.25">
      <c r="A457" s="42" t="s">
        <v>106</v>
      </c>
      <c r="B457" s="6"/>
      <c r="C457" s="31">
        <f>L417</f>
        <v>467545</v>
      </c>
      <c r="D457" s="5"/>
      <c r="E457" s="5"/>
      <c r="F457" s="5"/>
      <c r="G457" s="42"/>
      <c r="H457" s="6"/>
      <c r="I457" s="9"/>
      <c r="J457" s="5"/>
      <c r="K457" s="5"/>
      <c r="L457" s="5"/>
    </row>
    <row r="458" spans="1:12" ht="16.5" thickBot="1" x14ac:dyDescent="0.3">
      <c r="A458" s="7"/>
      <c r="B458" s="5"/>
      <c r="C458" s="5"/>
      <c r="D458" s="5"/>
      <c r="E458" s="5"/>
      <c r="F458" s="5"/>
      <c r="G458" s="10"/>
      <c r="H458" s="5"/>
      <c r="I458" s="5"/>
      <c r="J458" s="5"/>
      <c r="K458" s="5"/>
      <c r="L458" s="5"/>
    </row>
    <row r="459" spans="1:12" ht="15.75" thickBot="1" x14ac:dyDescent="0.3">
      <c r="A459" s="121" t="s">
        <v>9</v>
      </c>
      <c r="B459" s="122"/>
      <c r="C459" s="123"/>
      <c r="D459" s="5"/>
      <c r="E459" s="5"/>
      <c r="F459" s="5"/>
      <c r="G459" s="121" t="s">
        <v>26</v>
      </c>
      <c r="H459" s="122"/>
      <c r="I459" s="123"/>
      <c r="J459" s="5"/>
      <c r="K459" s="5"/>
      <c r="L459" s="5"/>
    </row>
    <row r="460" spans="1:12" x14ac:dyDescent="0.25">
      <c r="A460" s="30" t="s">
        <v>38</v>
      </c>
      <c r="B460" s="11"/>
      <c r="C460" s="11"/>
      <c r="D460" s="11"/>
      <c r="E460" s="6"/>
      <c r="F460" s="5"/>
      <c r="G460" s="30" t="str">
        <f>A463</f>
        <v>Oshakati</v>
      </c>
      <c r="H460" s="11"/>
      <c r="I460" s="11"/>
      <c r="J460" s="11"/>
      <c r="K460" s="11"/>
      <c r="L460" s="6"/>
    </row>
    <row r="461" spans="1:12" ht="15.75" thickBot="1" x14ac:dyDescent="0.3">
      <c r="A461" s="7"/>
      <c r="B461" s="7"/>
      <c r="C461" s="7"/>
      <c r="D461" s="5"/>
      <c r="E461" s="5"/>
      <c r="F461" s="5"/>
      <c r="G461" s="7" t="s">
        <v>3</v>
      </c>
      <c r="H461" s="7"/>
      <c r="I461" s="7"/>
      <c r="J461" s="5"/>
      <c r="K461" s="5"/>
      <c r="L461" s="5"/>
    </row>
    <row r="462" spans="1:12" ht="15.75" thickBot="1" x14ac:dyDescent="0.3">
      <c r="A462" s="121" t="s">
        <v>30</v>
      </c>
      <c r="B462" s="122"/>
      <c r="C462" s="124"/>
      <c r="D462" s="12" t="s">
        <v>1</v>
      </c>
      <c r="E462" s="32"/>
      <c r="F462" s="5"/>
      <c r="G462" s="121" t="s">
        <v>27</v>
      </c>
      <c r="H462" s="122"/>
      <c r="I462" s="123"/>
      <c r="J462" s="5"/>
      <c r="K462" s="12" t="s">
        <v>1</v>
      </c>
      <c r="L462" s="32">
        <v>469078</v>
      </c>
    </row>
    <row r="463" spans="1:12" x14ac:dyDescent="0.25">
      <c r="A463" s="13" t="s">
        <v>39</v>
      </c>
      <c r="B463" s="14"/>
      <c r="C463" s="11"/>
      <c r="D463" s="11"/>
      <c r="E463" s="6"/>
      <c r="F463" s="5"/>
      <c r="G463" s="34" t="str">
        <f>A460</f>
        <v>Windhoek</v>
      </c>
      <c r="H463" s="11"/>
      <c r="I463" s="11"/>
      <c r="J463" s="11"/>
      <c r="K463" s="11"/>
      <c r="L463" s="6"/>
    </row>
    <row r="464" spans="1:12" x14ac:dyDescent="0.25">
      <c r="A464" s="13"/>
      <c r="B464" s="11"/>
      <c r="C464" s="11"/>
      <c r="D464" s="11"/>
      <c r="E464" s="6"/>
      <c r="F464" s="5"/>
      <c r="G464" s="13"/>
      <c r="H464" s="11"/>
      <c r="I464" s="11"/>
      <c r="J464" s="11"/>
      <c r="K464" s="11"/>
      <c r="L464" s="6"/>
    </row>
    <row r="465" spans="1:12" x14ac:dyDescent="0.25">
      <c r="A465" s="13"/>
      <c r="B465" s="11"/>
      <c r="C465" s="11"/>
      <c r="D465" s="11"/>
      <c r="E465" s="6"/>
      <c r="F465" s="5"/>
      <c r="G465" s="13"/>
      <c r="H465" s="11"/>
      <c r="I465" s="11"/>
      <c r="J465" s="11"/>
      <c r="K465" s="11"/>
      <c r="L465" s="6"/>
    </row>
    <row r="466" spans="1:12" x14ac:dyDescent="0.25">
      <c r="A466" s="13"/>
      <c r="B466" s="11"/>
      <c r="C466" s="11"/>
      <c r="D466" s="11"/>
      <c r="E466" s="6"/>
      <c r="F466" s="5"/>
      <c r="G466" s="13"/>
      <c r="H466" s="11"/>
      <c r="I466" s="11"/>
      <c r="J466" s="11"/>
      <c r="K466" s="11"/>
      <c r="L466" s="6"/>
    </row>
    <row r="467" spans="1:12" ht="15.75" thickBot="1" x14ac:dyDescent="0.3">
      <c r="A467" s="13"/>
      <c r="B467" s="11"/>
      <c r="C467" s="11" t="s">
        <v>29</v>
      </c>
      <c r="D467" s="43"/>
      <c r="E467" s="6"/>
      <c r="F467" s="5"/>
      <c r="G467" s="13"/>
      <c r="H467" s="11"/>
      <c r="I467" s="14" t="s">
        <v>28</v>
      </c>
      <c r="J467" s="43"/>
      <c r="K467" s="11"/>
      <c r="L467" s="6"/>
    </row>
    <row r="468" spans="1:12" ht="15.75" thickBot="1" x14ac:dyDescent="0.3">
      <c r="A468" s="15" t="s">
        <v>10</v>
      </c>
      <c r="B468" s="5"/>
      <c r="C468" s="5"/>
      <c r="D468" s="5"/>
      <c r="E468" s="5"/>
      <c r="F468" s="5"/>
      <c r="G468" s="15" t="s">
        <v>14</v>
      </c>
      <c r="H468" s="5"/>
      <c r="I468" s="5"/>
      <c r="J468" s="5"/>
      <c r="K468" s="5"/>
      <c r="L468" s="5"/>
    </row>
    <row r="469" spans="1:12" ht="15.75" thickBot="1" x14ac:dyDescent="0.3">
      <c r="A469" s="121" t="s">
        <v>11</v>
      </c>
      <c r="B469" s="122"/>
      <c r="C469" s="123"/>
      <c r="D469" s="16" t="s">
        <v>12</v>
      </c>
      <c r="E469" s="16" t="s">
        <v>13</v>
      </c>
      <c r="F469" s="5"/>
      <c r="G469" s="121" t="s">
        <v>15</v>
      </c>
      <c r="H469" s="122"/>
      <c r="I469" s="123"/>
      <c r="J469" s="121" t="s">
        <v>13</v>
      </c>
      <c r="K469" s="123"/>
      <c r="L469" s="5"/>
    </row>
    <row r="470" spans="1:12" x14ac:dyDescent="0.25">
      <c r="A470" s="41">
        <v>44718</v>
      </c>
      <c r="B470" s="36" t="s">
        <v>47</v>
      </c>
      <c r="C470" s="37"/>
      <c r="D470" s="50">
        <v>604.39</v>
      </c>
      <c r="E470" s="51">
        <v>13000.45</v>
      </c>
      <c r="F470" s="44">
        <f t="shared" ref="F470:F475" si="9">E470/D470</f>
        <v>21.510034911232815</v>
      </c>
      <c r="G470" s="125"/>
      <c r="H470" s="126"/>
      <c r="I470" s="127"/>
      <c r="J470" s="128"/>
      <c r="K470" s="129"/>
      <c r="L470" s="5"/>
    </row>
    <row r="471" spans="1:12" x14ac:dyDescent="0.25">
      <c r="A471" s="48"/>
      <c r="B471" s="35"/>
      <c r="C471" s="39"/>
      <c r="D471" s="52"/>
      <c r="E471" s="53"/>
      <c r="F471" s="44" t="e">
        <f t="shared" si="9"/>
        <v>#DIV/0!</v>
      </c>
      <c r="G471" s="110"/>
      <c r="H471" s="111"/>
      <c r="I471" s="112"/>
      <c r="J471" s="113"/>
      <c r="K471" s="114"/>
      <c r="L471" s="5"/>
    </row>
    <row r="472" spans="1:12" x14ac:dyDescent="0.25">
      <c r="A472" s="38"/>
      <c r="B472" s="35"/>
      <c r="C472" s="39"/>
      <c r="D472" s="52"/>
      <c r="E472" s="53"/>
      <c r="F472" s="44" t="e">
        <f t="shared" si="9"/>
        <v>#DIV/0!</v>
      </c>
      <c r="G472" s="110"/>
      <c r="H472" s="111"/>
      <c r="I472" s="112"/>
      <c r="J472" s="113"/>
      <c r="K472" s="114"/>
      <c r="L472" s="5"/>
    </row>
    <row r="473" spans="1:12" x14ac:dyDescent="0.25">
      <c r="A473" s="48"/>
      <c r="B473" s="35"/>
      <c r="C473" s="39"/>
      <c r="D473" s="52"/>
      <c r="E473" s="53"/>
      <c r="F473" s="44" t="e">
        <f t="shared" si="9"/>
        <v>#DIV/0!</v>
      </c>
      <c r="G473" s="110"/>
      <c r="H473" s="111"/>
      <c r="I473" s="112"/>
      <c r="J473" s="113"/>
      <c r="K473" s="114"/>
      <c r="L473" s="5"/>
    </row>
    <row r="474" spans="1:12" x14ac:dyDescent="0.25">
      <c r="A474" s="27"/>
      <c r="B474" s="11"/>
      <c r="C474" s="6"/>
      <c r="D474" s="54"/>
      <c r="E474" s="55"/>
      <c r="F474" s="44" t="e">
        <f t="shared" si="9"/>
        <v>#DIV/0!</v>
      </c>
      <c r="G474" s="110"/>
      <c r="H474" s="111"/>
      <c r="I474" s="112"/>
      <c r="J474" s="113"/>
      <c r="K474" s="114"/>
      <c r="L474" s="5"/>
    </row>
    <row r="475" spans="1:12" x14ac:dyDescent="0.25">
      <c r="A475" s="68"/>
      <c r="B475" s="11"/>
      <c r="C475" s="6"/>
      <c r="D475" s="54"/>
      <c r="E475" s="55"/>
      <c r="F475" s="44" t="e">
        <f t="shared" si="9"/>
        <v>#DIV/0!</v>
      </c>
      <c r="G475" s="110"/>
      <c r="H475" s="111"/>
      <c r="I475" s="112"/>
      <c r="J475" s="113"/>
      <c r="K475" s="114"/>
      <c r="L475" s="5"/>
    </row>
    <row r="476" spans="1:12" ht="15.75" thickBot="1" x14ac:dyDescent="0.3">
      <c r="A476" s="5"/>
      <c r="B476" s="5"/>
      <c r="C476" s="7" t="s">
        <v>35</v>
      </c>
      <c r="D476" s="17">
        <f>D470+D471+D472+D473+D474+D475</f>
        <v>604.39</v>
      </c>
      <c r="E476" s="17">
        <f>E470+E471+E472+E473+E474+E475</f>
        <v>13000.45</v>
      </c>
      <c r="F476" s="5"/>
      <c r="G476" s="110"/>
      <c r="H476" s="111"/>
      <c r="I476" s="112"/>
      <c r="J476" s="113"/>
      <c r="K476" s="114"/>
      <c r="L476" s="7" t="s">
        <v>36</v>
      </c>
    </row>
    <row r="477" spans="1:12" ht="15.75" thickBot="1" x14ac:dyDescent="0.3">
      <c r="A477" s="5"/>
      <c r="B477" s="5"/>
      <c r="C477" s="5"/>
      <c r="D477" s="5"/>
      <c r="E477" s="5"/>
      <c r="F477" s="5"/>
      <c r="G477" s="130"/>
      <c r="H477" s="131"/>
      <c r="I477" s="132"/>
      <c r="J477" s="133"/>
      <c r="K477" s="134"/>
      <c r="L477" s="18">
        <f>J470+J471+J472+J473+J474+J475+J476+J477</f>
        <v>0</v>
      </c>
    </row>
    <row r="478" spans="1:12" ht="15.75" thickBo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75" thickBot="1" x14ac:dyDescent="0.3">
      <c r="A479" s="19"/>
      <c r="B479" s="20"/>
      <c r="C479" s="20"/>
      <c r="D479" s="20"/>
      <c r="E479" s="21" t="s">
        <v>13</v>
      </c>
      <c r="F479" s="5"/>
      <c r="G479" s="19"/>
      <c r="H479" s="20"/>
      <c r="I479" s="20"/>
      <c r="J479" s="20"/>
      <c r="K479" s="21" t="s">
        <v>13</v>
      </c>
      <c r="L479" s="5"/>
    </row>
    <row r="480" spans="1:12" x14ac:dyDescent="0.25">
      <c r="A480" s="22" t="s">
        <v>31</v>
      </c>
      <c r="B480" s="115">
        <v>23592</v>
      </c>
      <c r="C480" s="116"/>
      <c r="D480" s="116"/>
      <c r="E480" s="117"/>
      <c r="F480" s="5"/>
      <c r="G480" s="22" t="s">
        <v>32</v>
      </c>
      <c r="H480" s="115">
        <v>0</v>
      </c>
      <c r="I480" s="116"/>
      <c r="J480" s="116"/>
      <c r="K480" s="117"/>
      <c r="L480" s="5"/>
    </row>
    <row r="481" spans="1:1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x14ac:dyDescent="0.25">
      <c r="A482" s="7" t="s">
        <v>16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x14ac:dyDescent="0.25">
      <c r="A483" s="9" t="s">
        <v>17</v>
      </c>
      <c r="B483" s="23">
        <f>L462-C457</f>
        <v>1533</v>
      </c>
      <c r="C483" s="5"/>
      <c r="D483" s="106" t="s">
        <v>18</v>
      </c>
      <c r="E483" s="107"/>
      <c r="F483" s="24" t="s">
        <v>19</v>
      </c>
      <c r="G483" s="9" t="s">
        <v>20</v>
      </c>
      <c r="H483" s="118">
        <f>B480+H480</f>
        <v>23592</v>
      </c>
      <c r="I483" s="119"/>
      <c r="J483" s="5"/>
      <c r="K483" s="5"/>
      <c r="L483" s="5"/>
    </row>
    <row r="484" spans="1:12" x14ac:dyDescent="0.25">
      <c r="A484" s="9" t="s">
        <v>41</v>
      </c>
      <c r="B484" s="40">
        <f>B483/D476</f>
        <v>2.5364417015503236</v>
      </c>
      <c r="C484" s="5"/>
      <c r="D484" s="102">
        <f>E476</f>
        <v>13000.45</v>
      </c>
      <c r="E484" s="103"/>
      <c r="F484" s="25">
        <f>H484/B483</f>
        <v>9.1413242009132425</v>
      </c>
      <c r="G484" s="9" t="s">
        <v>21</v>
      </c>
      <c r="H484" s="104">
        <f>L477+D484+D486+D488+D490+A487</f>
        <v>14013.650000000001</v>
      </c>
      <c r="I484" s="105"/>
      <c r="J484" s="5"/>
      <c r="K484" s="5"/>
      <c r="L484" s="5"/>
    </row>
    <row r="485" spans="1:12" x14ac:dyDescent="0.25">
      <c r="A485" s="9" t="s">
        <v>43</v>
      </c>
      <c r="B485" s="23">
        <f>D476/B483</f>
        <v>0.39425309849967383</v>
      </c>
      <c r="C485" s="5"/>
      <c r="D485" s="106" t="s">
        <v>33</v>
      </c>
      <c r="E485" s="107"/>
      <c r="F485" s="5"/>
      <c r="G485" s="13" t="s">
        <v>22</v>
      </c>
      <c r="H485" s="6"/>
      <c r="I485" s="26">
        <f>H483-H484</f>
        <v>9578.3499999999985</v>
      </c>
      <c r="J485" s="5"/>
      <c r="K485" s="5"/>
      <c r="L485" s="5"/>
    </row>
    <row r="486" spans="1:12" x14ac:dyDescent="0.25">
      <c r="A486" s="106" t="s">
        <v>40</v>
      </c>
      <c r="B486" s="107"/>
      <c r="C486" s="5"/>
      <c r="D486" s="108">
        <v>300</v>
      </c>
      <c r="E486" s="109"/>
      <c r="F486" s="5"/>
      <c r="G486" s="5"/>
      <c r="H486" s="5"/>
      <c r="I486" s="5"/>
      <c r="J486" s="5"/>
      <c r="K486" s="5"/>
      <c r="L486" s="5"/>
    </row>
    <row r="487" spans="1:12" x14ac:dyDescent="0.25">
      <c r="A487" s="108">
        <f>B483*0.4</f>
        <v>613.20000000000005</v>
      </c>
      <c r="B487" s="109"/>
      <c r="C487" s="5"/>
      <c r="D487" s="106" t="s">
        <v>34</v>
      </c>
      <c r="E487" s="107"/>
      <c r="F487" s="5"/>
      <c r="G487" s="5"/>
      <c r="H487" s="5"/>
      <c r="I487" s="5"/>
      <c r="J487" s="5"/>
      <c r="K487" s="5"/>
      <c r="L487" s="5"/>
    </row>
    <row r="488" spans="1:12" x14ac:dyDescent="0.25">
      <c r="A488" s="5"/>
      <c r="B488" s="5"/>
      <c r="C488" s="5"/>
      <c r="D488" s="108">
        <v>100</v>
      </c>
      <c r="E488" s="109"/>
      <c r="F488" s="5"/>
      <c r="G488" s="5"/>
      <c r="H488" s="5"/>
      <c r="I488" s="5"/>
      <c r="J488" s="5"/>
      <c r="K488" s="5"/>
      <c r="L488" s="5"/>
    </row>
    <row r="489" spans="1:12" x14ac:dyDescent="0.25">
      <c r="A489" s="5"/>
      <c r="B489" s="5"/>
      <c r="C489" s="5"/>
      <c r="D489" s="106" t="s">
        <v>37</v>
      </c>
      <c r="E489" s="107"/>
      <c r="F489" s="5"/>
      <c r="G489" s="5"/>
      <c r="H489" s="5"/>
      <c r="I489" s="5"/>
      <c r="J489" s="5"/>
      <c r="K489" s="5"/>
      <c r="L489" s="5"/>
    </row>
    <row r="490" spans="1:12" x14ac:dyDescent="0.25">
      <c r="A490" s="5"/>
      <c r="B490" s="5"/>
      <c r="C490" s="5"/>
      <c r="D490" s="108">
        <v>0</v>
      </c>
      <c r="E490" s="109"/>
      <c r="F490" s="5"/>
      <c r="G490" s="5"/>
      <c r="H490" s="5"/>
      <c r="I490" s="5"/>
      <c r="J490" s="5"/>
      <c r="K490" s="5"/>
      <c r="L490" s="5"/>
    </row>
    <row r="491" spans="1:1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x14ac:dyDescent="0.25">
      <c r="A492" s="5" t="s">
        <v>23</v>
      </c>
      <c r="B492" s="5" t="s">
        <v>54</v>
      </c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s="49" customFormat="1" x14ac:dyDescent="0.25"/>
    <row r="496" spans="1:12" x14ac:dyDescent="0.25">
      <c r="A496" s="120" t="s">
        <v>24</v>
      </c>
      <c r="B496" s="120"/>
      <c r="C496" s="120"/>
      <c r="D496" s="120"/>
      <c r="E496" s="120"/>
      <c r="F496" s="120"/>
      <c r="G496" s="120"/>
      <c r="H496" s="120"/>
    </row>
    <row r="497" spans="1:12" x14ac:dyDescent="0.25">
      <c r="A497" s="120"/>
      <c r="B497" s="120"/>
      <c r="C497" s="120"/>
      <c r="D497" s="120"/>
      <c r="E497" s="120"/>
      <c r="F497" s="120"/>
      <c r="G497" s="120"/>
      <c r="H497" s="120"/>
    </row>
    <row r="498" spans="1:12" x14ac:dyDescent="0.25">
      <c r="A498" s="1" t="s">
        <v>4</v>
      </c>
      <c r="B498" s="2"/>
      <c r="C498" s="2"/>
      <c r="D498" s="2"/>
      <c r="E498" s="2"/>
      <c r="F498" s="2"/>
      <c r="G498" s="3" t="s">
        <v>5</v>
      </c>
      <c r="H498" s="3" t="s">
        <v>6</v>
      </c>
      <c r="I498" s="4" t="s">
        <v>7</v>
      </c>
      <c r="J498" s="5"/>
      <c r="K498" s="5"/>
      <c r="L498" s="5"/>
    </row>
    <row r="499" spans="1:12" x14ac:dyDescent="0.25">
      <c r="A499" s="28" t="s">
        <v>98</v>
      </c>
      <c r="B499" s="29" t="s">
        <v>42</v>
      </c>
      <c r="C499" s="67"/>
      <c r="D499" s="66"/>
      <c r="E499" s="2"/>
      <c r="F499" s="2"/>
      <c r="G499" s="28" t="s">
        <v>91</v>
      </c>
      <c r="H499" s="66"/>
      <c r="I499" s="33"/>
      <c r="J499" s="6"/>
      <c r="K499" s="33"/>
      <c r="L499" s="6"/>
    </row>
    <row r="500" spans="1:12" x14ac:dyDescent="0.25">
      <c r="A500" s="7" t="s">
        <v>2</v>
      </c>
      <c r="B500" s="5"/>
      <c r="C500" s="5"/>
      <c r="D500" s="5"/>
      <c r="E500" s="5"/>
      <c r="F500" s="5"/>
      <c r="G500" s="8" t="s">
        <v>8</v>
      </c>
      <c r="H500" s="31"/>
      <c r="I500" s="5"/>
      <c r="J500" s="5"/>
      <c r="K500" s="5"/>
      <c r="L500" s="5"/>
    </row>
    <row r="501" spans="1:12" x14ac:dyDescent="0.25">
      <c r="A501" s="7" t="s">
        <v>25</v>
      </c>
      <c r="B501" s="5"/>
      <c r="C501" s="7" t="s">
        <v>0</v>
      </c>
      <c r="D501" s="5"/>
      <c r="E501" s="5"/>
      <c r="F501" s="5"/>
      <c r="G501" s="7" t="s">
        <v>25</v>
      </c>
      <c r="H501" s="5"/>
      <c r="I501" s="7" t="s">
        <v>0</v>
      </c>
      <c r="J501" s="5"/>
      <c r="K501" s="5"/>
      <c r="L501" s="5"/>
    </row>
    <row r="502" spans="1:12" x14ac:dyDescent="0.25">
      <c r="A502" s="42" t="s">
        <v>112</v>
      </c>
      <c r="B502" s="6"/>
      <c r="C502" s="31">
        <f>L462</f>
        <v>469078</v>
      </c>
      <c r="D502" s="5"/>
      <c r="E502" s="5"/>
      <c r="F502" s="5"/>
      <c r="G502" s="42"/>
      <c r="H502" s="6"/>
      <c r="I502" s="9"/>
      <c r="J502" s="5"/>
      <c r="K502" s="5"/>
      <c r="L502" s="5"/>
    </row>
    <row r="503" spans="1:12" ht="16.5" thickBot="1" x14ac:dyDescent="0.3">
      <c r="A503" s="7"/>
      <c r="B503" s="5"/>
      <c r="C503" s="5"/>
      <c r="D503" s="5"/>
      <c r="E503" s="5"/>
      <c r="F503" s="5"/>
      <c r="G503" s="10"/>
      <c r="H503" s="5"/>
      <c r="I503" s="5"/>
      <c r="J503" s="5"/>
      <c r="K503" s="5"/>
      <c r="L503" s="5"/>
    </row>
    <row r="504" spans="1:12" ht="15.75" thickBot="1" x14ac:dyDescent="0.3">
      <c r="A504" s="121" t="s">
        <v>9</v>
      </c>
      <c r="B504" s="122"/>
      <c r="C504" s="123"/>
      <c r="D504" s="5"/>
      <c r="E504" s="5"/>
      <c r="F504" s="5"/>
      <c r="G504" s="121" t="s">
        <v>26</v>
      </c>
      <c r="H504" s="122"/>
      <c r="I504" s="123"/>
      <c r="J504" s="5"/>
      <c r="K504" s="5"/>
      <c r="L504" s="5"/>
    </row>
    <row r="505" spans="1:12" x14ac:dyDescent="0.25">
      <c r="A505" s="30" t="s">
        <v>38</v>
      </c>
      <c r="B505" s="11"/>
      <c r="C505" s="11"/>
      <c r="D505" s="11"/>
      <c r="E505" s="6"/>
      <c r="F505" s="5"/>
      <c r="G505" s="30" t="str">
        <f>A508</f>
        <v>Rundu</v>
      </c>
      <c r="H505" s="11"/>
      <c r="I505" s="11"/>
      <c r="J505" s="11"/>
      <c r="K505" s="11"/>
      <c r="L505" s="6"/>
    </row>
    <row r="506" spans="1:12" ht="15.75" thickBot="1" x14ac:dyDescent="0.3">
      <c r="A506" s="7"/>
      <c r="B506" s="7"/>
      <c r="C506" s="7"/>
      <c r="D506" s="5"/>
      <c r="E506" s="5"/>
      <c r="F506" s="5"/>
      <c r="G506" s="7" t="s">
        <v>3</v>
      </c>
      <c r="H506" s="7"/>
      <c r="I506" s="7"/>
      <c r="J506" s="5"/>
      <c r="K506" s="5"/>
      <c r="L506" s="5"/>
    </row>
    <row r="507" spans="1:12" ht="15.75" thickBot="1" x14ac:dyDescent="0.3">
      <c r="A507" s="121" t="s">
        <v>30</v>
      </c>
      <c r="B507" s="122"/>
      <c r="C507" s="124"/>
      <c r="D507" s="12" t="s">
        <v>1</v>
      </c>
      <c r="E507" s="32"/>
      <c r="F507" s="5"/>
      <c r="G507" s="121" t="s">
        <v>27</v>
      </c>
      <c r="H507" s="122"/>
      <c r="I507" s="123"/>
      <c r="J507" s="5"/>
      <c r="K507" s="12" t="s">
        <v>1</v>
      </c>
      <c r="L507" s="32">
        <v>470550</v>
      </c>
    </row>
    <row r="508" spans="1:12" x14ac:dyDescent="0.25">
      <c r="A508" s="13" t="s">
        <v>49</v>
      </c>
      <c r="B508" s="14"/>
      <c r="C508" s="11"/>
      <c r="D508" s="11"/>
      <c r="E508" s="6"/>
      <c r="F508" s="5"/>
      <c r="G508" s="34" t="str">
        <f>A505</f>
        <v>Windhoek</v>
      </c>
      <c r="H508" s="11"/>
      <c r="I508" s="11"/>
      <c r="J508" s="11"/>
      <c r="K508" s="11"/>
      <c r="L508" s="6"/>
    </row>
    <row r="509" spans="1:12" x14ac:dyDescent="0.25">
      <c r="A509" s="13"/>
      <c r="B509" s="11"/>
      <c r="C509" s="11"/>
      <c r="D509" s="11"/>
      <c r="E509" s="6"/>
      <c r="F509" s="5"/>
      <c r="G509" s="13"/>
      <c r="H509" s="11"/>
      <c r="I509" s="11"/>
      <c r="J509" s="11"/>
      <c r="K509" s="11"/>
      <c r="L509" s="6"/>
    </row>
    <row r="510" spans="1:12" x14ac:dyDescent="0.25">
      <c r="A510" s="13"/>
      <c r="B510" s="11"/>
      <c r="C510" s="11"/>
      <c r="D510" s="11"/>
      <c r="E510" s="6"/>
      <c r="F510" s="5"/>
      <c r="G510" s="13"/>
      <c r="H510" s="11"/>
      <c r="I510" s="11"/>
      <c r="J510" s="11"/>
      <c r="K510" s="11"/>
      <c r="L510" s="6"/>
    </row>
    <row r="511" spans="1:12" x14ac:dyDescent="0.25">
      <c r="A511" s="13"/>
      <c r="B511" s="11"/>
      <c r="C511" s="11"/>
      <c r="D511" s="11"/>
      <c r="E511" s="6"/>
      <c r="F511" s="5"/>
      <c r="G511" s="13"/>
      <c r="H511" s="11"/>
      <c r="I511" s="11"/>
      <c r="J511" s="11"/>
      <c r="K511" s="11"/>
      <c r="L511" s="6"/>
    </row>
    <row r="512" spans="1:12" ht="15.75" thickBot="1" x14ac:dyDescent="0.3">
      <c r="A512" s="13"/>
      <c r="B512" s="11"/>
      <c r="C512" s="11" t="s">
        <v>29</v>
      </c>
      <c r="D512" s="43"/>
      <c r="E512" s="6"/>
      <c r="F512" s="5"/>
      <c r="G512" s="13"/>
      <c r="H512" s="11"/>
      <c r="I512" s="14" t="s">
        <v>28</v>
      </c>
      <c r="J512" s="43"/>
      <c r="K512" s="11"/>
      <c r="L512" s="6"/>
    </row>
    <row r="513" spans="1:12" ht="15.75" thickBot="1" x14ac:dyDescent="0.3">
      <c r="A513" s="15" t="s">
        <v>10</v>
      </c>
      <c r="B513" s="5"/>
      <c r="C513" s="5"/>
      <c r="D513" s="5"/>
      <c r="E513" s="5"/>
      <c r="F513" s="5"/>
      <c r="G513" s="15" t="s">
        <v>14</v>
      </c>
      <c r="H513" s="5"/>
      <c r="I513" s="5"/>
      <c r="J513" s="5"/>
      <c r="K513" s="5"/>
      <c r="L513" s="5"/>
    </row>
    <row r="514" spans="1:12" ht="15.75" thickBot="1" x14ac:dyDescent="0.3">
      <c r="A514" s="121" t="s">
        <v>11</v>
      </c>
      <c r="B514" s="122"/>
      <c r="C514" s="123"/>
      <c r="D514" s="16" t="s">
        <v>12</v>
      </c>
      <c r="E514" s="16" t="s">
        <v>13</v>
      </c>
      <c r="F514" s="5"/>
      <c r="G514" s="121" t="s">
        <v>15</v>
      </c>
      <c r="H514" s="122"/>
      <c r="I514" s="123"/>
      <c r="J514" s="121" t="s">
        <v>13</v>
      </c>
      <c r="K514" s="123"/>
      <c r="L514" s="5"/>
    </row>
    <row r="515" spans="1:12" x14ac:dyDescent="0.25">
      <c r="A515" s="41" t="s">
        <v>113</v>
      </c>
      <c r="B515" s="36" t="s">
        <v>47</v>
      </c>
      <c r="C515" s="37"/>
      <c r="D515" s="50">
        <v>672.43</v>
      </c>
      <c r="E515" s="51">
        <v>14699.35</v>
      </c>
      <c r="F515" s="44">
        <f t="shared" ref="F515:F520" si="10">E515/D515</f>
        <v>21.860044911738026</v>
      </c>
      <c r="G515" s="125"/>
      <c r="H515" s="126"/>
      <c r="I515" s="127"/>
      <c r="J515" s="128"/>
      <c r="K515" s="129"/>
      <c r="L515" s="5"/>
    </row>
    <row r="516" spans="1:12" x14ac:dyDescent="0.25">
      <c r="A516" s="48"/>
      <c r="B516" s="35"/>
      <c r="C516" s="39"/>
      <c r="D516" s="52"/>
      <c r="E516" s="53"/>
      <c r="F516" s="44" t="e">
        <f t="shared" si="10"/>
        <v>#DIV/0!</v>
      </c>
      <c r="G516" s="110"/>
      <c r="H516" s="111"/>
      <c r="I516" s="112"/>
      <c r="J516" s="113"/>
      <c r="K516" s="114"/>
      <c r="L516" s="5"/>
    </row>
    <row r="517" spans="1:12" x14ac:dyDescent="0.25">
      <c r="A517" s="38"/>
      <c r="B517" s="35"/>
      <c r="C517" s="39"/>
      <c r="D517" s="52"/>
      <c r="E517" s="53"/>
      <c r="F517" s="44" t="e">
        <f t="shared" si="10"/>
        <v>#DIV/0!</v>
      </c>
      <c r="G517" s="110"/>
      <c r="H517" s="111"/>
      <c r="I517" s="112"/>
      <c r="J517" s="113"/>
      <c r="K517" s="114"/>
      <c r="L517" s="5"/>
    </row>
    <row r="518" spans="1:12" x14ac:dyDescent="0.25">
      <c r="A518" s="48"/>
      <c r="B518" s="35"/>
      <c r="C518" s="39"/>
      <c r="D518" s="52"/>
      <c r="E518" s="53"/>
      <c r="F518" s="44" t="e">
        <f t="shared" si="10"/>
        <v>#DIV/0!</v>
      </c>
      <c r="G518" s="110"/>
      <c r="H518" s="111"/>
      <c r="I518" s="112"/>
      <c r="J518" s="113"/>
      <c r="K518" s="114"/>
      <c r="L518" s="5"/>
    </row>
    <row r="519" spans="1:12" x14ac:dyDescent="0.25">
      <c r="A519" s="27"/>
      <c r="B519" s="11"/>
      <c r="C519" s="6"/>
      <c r="D519" s="54"/>
      <c r="E519" s="55"/>
      <c r="F519" s="44" t="e">
        <f t="shared" si="10"/>
        <v>#DIV/0!</v>
      </c>
      <c r="G519" s="110"/>
      <c r="H519" s="111"/>
      <c r="I519" s="112"/>
      <c r="J519" s="113"/>
      <c r="K519" s="114"/>
      <c r="L519" s="5"/>
    </row>
    <row r="520" spans="1:12" x14ac:dyDescent="0.25">
      <c r="A520" s="68"/>
      <c r="B520" s="11"/>
      <c r="C520" s="6"/>
      <c r="D520" s="54"/>
      <c r="E520" s="55"/>
      <c r="F520" s="44" t="e">
        <f t="shared" si="10"/>
        <v>#DIV/0!</v>
      </c>
      <c r="G520" s="110"/>
      <c r="H520" s="111"/>
      <c r="I520" s="112"/>
      <c r="J520" s="113"/>
      <c r="K520" s="114"/>
      <c r="L520" s="5"/>
    </row>
    <row r="521" spans="1:12" ht="15.75" thickBot="1" x14ac:dyDescent="0.3">
      <c r="A521" s="5"/>
      <c r="B521" s="5"/>
      <c r="C521" s="7" t="s">
        <v>35</v>
      </c>
      <c r="D521" s="17">
        <f>D515+D516+D517+D518+D519+D520</f>
        <v>672.43</v>
      </c>
      <c r="E521" s="17">
        <f>E515+E516+E517+E518+E519+E520</f>
        <v>14699.35</v>
      </c>
      <c r="F521" s="5"/>
      <c r="G521" s="110"/>
      <c r="H521" s="111"/>
      <c r="I521" s="112"/>
      <c r="J521" s="113"/>
      <c r="K521" s="114"/>
      <c r="L521" s="7" t="s">
        <v>36</v>
      </c>
    </row>
    <row r="522" spans="1:12" ht="15.75" thickBot="1" x14ac:dyDescent="0.3">
      <c r="A522" s="5"/>
      <c r="B522" s="5"/>
      <c r="C522" s="5"/>
      <c r="D522" s="5"/>
      <c r="E522" s="5"/>
      <c r="F522" s="5"/>
      <c r="G522" s="130"/>
      <c r="H522" s="131"/>
      <c r="I522" s="132"/>
      <c r="J522" s="133"/>
      <c r="K522" s="134"/>
      <c r="L522" s="18">
        <f>J515+J516+J517+J518+J519+J520+J521+J522</f>
        <v>0</v>
      </c>
    </row>
    <row r="523" spans="1:12" ht="15.75" thickBo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75" thickBot="1" x14ac:dyDescent="0.3">
      <c r="A524" s="19"/>
      <c r="B524" s="20"/>
      <c r="C524" s="20"/>
      <c r="D524" s="20"/>
      <c r="E524" s="21" t="s">
        <v>13</v>
      </c>
      <c r="F524" s="5"/>
      <c r="G524" s="19"/>
      <c r="H524" s="20"/>
      <c r="I524" s="20"/>
      <c r="J524" s="20"/>
      <c r="K524" s="21" t="s">
        <v>13</v>
      </c>
      <c r="L524" s="5"/>
    </row>
    <row r="525" spans="1:12" x14ac:dyDescent="0.25">
      <c r="A525" s="22" t="s">
        <v>31</v>
      </c>
      <c r="B525" s="115">
        <v>24647</v>
      </c>
      <c r="C525" s="116"/>
      <c r="D525" s="116"/>
      <c r="E525" s="117"/>
      <c r="F525" s="5"/>
      <c r="G525" s="22" t="s">
        <v>32</v>
      </c>
      <c r="H525" s="115">
        <v>0</v>
      </c>
      <c r="I525" s="116"/>
      <c r="J525" s="116"/>
      <c r="K525" s="117"/>
      <c r="L525" s="5"/>
    </row>
    <row r="526" spans="1:1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x14ac:dyDescent="0.25">
      <c r="A527" s="7" t="s">
        <v>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x14ac:dyDescent="0.25">
      <c r="A528" s="9" t="s">
        <v>17</v>
      </c>
      <c r="B528" s="23">
        <f>L507-C502</f>
        <v>1472</v>
      </c>
      <c r="C528" s="5"/>
      <c r="D528" s="106" t="s">
        <v>18</v>
      </c>
      <c r="E528" s="107"/>
      <c r="F528" s="24" t="s">
        <v>19</v>
      </c>
      <c r="G528" s="9" t="s">
        <v>20</v>
      </c>
      <c r="H528" s="118">
        <f>B525+H525</f>
        <v>24647</v>
      </c>
      <c r="I528" s="119"/>
      <c r="J528" s="5"/>
      <c r="K528" s="5"/>
      <c r="L528" s="5"/>
    </row>
    <row r="529" spans="1:12" x14ac:dyDescent="0.25">
      <c r="A529" s="9" t="s">
        <v>41</v>
      </c>
      <c r="B529" s="40">
        <f>B528/D521</f>
        <v>2.1890754427970198</v>
      </c>
      <c r="C529" s="5"/>
      <c r="D529" s="102">
        <f>E521</f>
        <v>14699.35</v>
      </c>
      <c r="E529" s="103"/>
      <c r="F529" s="25">
        <f>H529/B528</f>
        <v>10.657710597826087</v>
      </c>
      <c r="G529" s="9" t="s">
        <v>21</v>
      </c>
      <c r="H529" s="104">
        <f>L522+D529+D531+D533+D535+A532</f>
        <v>15688.15</v>
      </c>
      <c r="I529" s="105"/>
      <c r="J529" s="5"/>
      <c r="K529" s="5"/>
      <c r="L529" s="5"/>
    </row>
    <row r="530" spans="1:12" x14ac:dyDescent="0.25">
      <c r="A530" s="9" t="s">
        <v>43</v>
      </c>
      <c r="B530" s="23">
        <f>D521/B528</f>
        <v>0.45681385869565216</v>
      </c>
      <c r="C530" s="5"/>
      <c r="D530" s="106" t="s">
        <v>33</v>
      </c>
      <c r="E530" s="107"/>
      <c r="F530" s="5"/>
      <c r="G530" s="13" t="s">
        <v>22</v>
      </c>
      <c r="H530" s="6"/>
      <c r="I530" s="26">
        <f>H528-H529</f>
        <v>8958.85</v>
      </c>
      <c r="J530" s="5"/>
      <c r="K530" s="5"/>
      <c r="L530" s="5"/>
    </row>
    <row r="531" spans="1:12" x14ac:dyDescent="0.25">
      <c r="A531" s="106" t="s">
        <v>40</v>
      </c>
      <c r="B531" s="107"/>
      <c r="C531" s="5"/>
      <c r="D531" s="108">
        <v>300</v>
      </c>
      <c r="E531" s="109"/>
      <c r="F531" s="5"/>
      <c r="G531" s="5"/>
      <c r="H531" s="5"/>
      <c r="I531" s="5"/>
      <c r="J531" s="5"/>
      <c r="K531" s="5"/>
      <c r="L531" s="5"/>
    </row>
    <row r="532" spans="1:12" x14ac:dyDescent="0.25">
      <c r="A532" s="108">
        <f>B528*0.4</f>
        <v>588.80000000000007</v>
      </c>
      <c r="B532" s="109"/>
      <c r="C532" s="5"/>
      <c r="D532" s="106" t="s">
        <v>34</v>
      </c>
      <c r="E532" s="107"/>
      <c r="F532" s="5"/>
      <c r="G532" s="5"/>
      <c r="H532" s="5"/>
      <c r="I532" s="5"/>
      <c r="J532" s="5"/>
      <c r="K532" s="5"/>
      <c r="L532" s="5"/>
    </row>
    <row r="533" spans="1:12" x14ac:dyDescent="0.25">
      <c r="A533" s="5"/>
      <c r="B533" s="5"/>
      <c r="C533" s="5"/>
      <c r="D533" s="108">
        <v>100</v>
      </c>
      <c r="E533" s="109"/>
      <c r="F533" s="5"/>
      <c r="G533" s="5"/>
      <c r="H533" s="5"/>
      <c r="I533" s="5"/>
      <c r="J533" s="5"/>
      <c r="K533" s="5"/>
      <c r="L533" s="5"/>
    </row>
    <row r="534" spans="1:12" x14ac:dyDescent="0.25">
      <c r="A534" s="5"/>
      <c r="B534" s="5"/>
      <c r="C534" s="5"/>
      <c r="D534" s="106" t="s">
        <v>37</v>
      </c>
      <c r="E534" s="107"/>
      <c r="F534" s="5"/>
      <c r="G534" s="5"/>
      <c r="H534" s="5"/>
      <c r="I534" s="5"/>
      <c r="J534" s="5"/>
      <c r="K534" s="5"/>
      <c r="L534" s="5"/>
    </row>
    <row r="535" spans="1:12" x14ac:dyDescent="0.25">
      <c r="A535" s="5"/>
      <c r="B535" s="5"/>
      <c r="C535" s="5"/>
      <c r="D535" s="108">
        <v>0</v>
      </c>
      <c r="E535" s="109"/>
      <c r="F535" s="5"/>
      <c r="G535" s="5"/>
      <c r="H535" s="5"/>
      <c r="I535" s="5"/>
      <c r="J535" s="5"/>
      <c r="K535" s="5"/>
      <c r="L535" s="5"/>
    </row>
    <row r="536" spans="1:1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x14ac:dyDescent="0.25">
      <c r="A537" s="5" t="s">
        <v>23</v>
      </c>
      <c r="B537" s="5" t="s">
        <v>54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s="49" customFormat="1" x14ac:dyDescent="0.25">
      <c r="A538" s="65"/>
    </row>
    <row r="541" spans="1:12" x14ac:dyDescent="0.25">
      <c r="A541" s="120" t="s">
        <v>24</v>
      </c>
      <c r="B541" s="120"/>
      <c r="C541" s="120"/>
      <c r="D541" s="120"/>
      <c r="E541" s="120"/>
      <c r="F541" s="120"/>
      <c r="G541" s="120"/>
      <c r="H541" s="120"/>
    </row>
    <row r="542" spans="1:12" x14ac:dyDescent="0.25">
      <c r="A542" s="120"/>
      <c r="B542" s="120"/>
      <c r="C542" s="120"/>
      <c r="D542" s="120"/>
      <c r="E542" s="120"/>
      <c r="F542" s="120"/>
      <c r="G542" s="120"/>
      <c r="H542" s="120"/>
    </row>
    <row r="543" spans="1:12" x14ac:dyDescent="0.25">
      <c r="A543" s="1" t="s">
        <v>4</v>
      </c>
      <c r="B543" s="2"/>
      <c r="C543" s="2"/>
      <c r="D543" s="2"/>
      <c r="E543" s="2"/>
      <c r="F543" s="2"/>
      <c r="G543" s="3" t="s">
        <v>5</v>
      </c>
      <c r="H543" s="3" t="s">
        <v>6</v>
      </c>
      <c r="I543" s="4" t="s">
        <v>7</v>
      </c>
      <c r="J543" s="5"/>
      <c r="K543" s="5"/>
      <c r="L543" s="5"/>
    </row>
    <row r="544" spans="1:12" x14ac:dyDescent="0.25">
      <c r="A544" s="28" t="s">
        <v>98</v>
      </c>
      <c r="B544" s="29" t="s">
        <v>42</v>
      </c>
      <c r="C544" s="67"/>
      <c r="D544" s="66"/>
      <c r="E544" s="2"/>
      <c r="F544" s="2"/>
      <c r="G544" s="28" t="s">
        <v>91</v>
      </c>
      <c r="H544" s="66"/>
      <c r="I544" s="33"/>
      <c r="J544" s="6"/>
      <c r="K544" s="33"/>
      <c r="L544" s="6"/>
    </row>
    <row r="545" spans="1:12" x14ac:dyDescent="0.25">
      <c r="A545" s="7" t="s">
        <v>2</v>
      </c>
      <c r="B545" s="5"/>
      <c r="C545" s="5"/>
      <c r="D545" s="5"/>
      <c r="E545" s="5"/>
      <c r="F545" s="5"/>
      <c r="G545" s="8" t="s">
        <v>8</v>
      </c>
      <c r="H545" s="31"/>
      <c r="I545" s="5"/>
      <c r="J545" s="5"/>
      <c r="K545" s="5"/>
      <c r="L545" s="5"/>
    </row>
    <row r="546" spans="1:12" x14ac:dyDescent="0.25">
      <c r="A546" s="7" t="s">
        <v>25</v>
      </c>
      <c r="B546" s="5"/>
      <c r="C546" s="7" t="s">
        <v>0</v>
      </c>
      <c r="D546" s="5"/>
      <c r="E546" s="5"/>
      <c r="F546" s="5"/>
      <c r="G546" s="7" t="s">
        <v>25</v>
      </c>
      <c r="H546" s="5"/>
      <c r="I546" s="7" t="s">
        <v>0</v>
      </c>
      <c r="J546" s="5"/>
      <c r="K546" s="5"/>
      <c r="L546" s="5"/>
    </row>
    <row r="547" spans="1:12" x14ac:dyDescent="0.25">
      <c r="A547" s="42" t="s">
        <v>113</v>
      </c>
      <c r="B547" s="6"/>
      <c r="C547" s="31">
        <v>469080</v>
      </c>
      <c r="D547" s="5"/>
      <c r="E547" s="5"/>
      <c r="F547" s="5"/>
      <c r="G547" s="42"/>
      <c r="H547" s="6"/>
      <c r="I547" s="9"/>
      <c r="J547" s="5"/>
      <c r="K547" s="5"/>
      <c r="L547" s="5"/>
    </row>
    <row r="548" spans="1:12" ht="16.5" thickBot="1" x14ac:dyDescent="0.3">
      <c r="A548" s="7"/>
      <c r="B548" s="5"/>
      <c r="C548" s="5"/>
      <c r="D548" s="5"/>
      <c r="E548" s="5"/>
      <c r="F548" s="5"/>
      <c r="G548" s="10"/>
      <c r="H548" s="5"/>
      <c r="I548" s="5"/>
      <c r="J548" s="5"/>
      <c r="K548" s="5"/>
      <c r="L548" s="5"/>
    </row>
    <row r="549" spans="1:12" ht="15.75" thickBot="1" x14ac:dyDescent="0.3">
      <c r="A549" s="121" t="s">
        <v>9</v>
      </c>
      <c r="B549" s="122"/>
      <c r="C549" s="123"/>
      <c r="D549" s="5"/>
      <c r="E549" s="5"/>
      <c r="F549" s="5"/>
      <c r="G549" s="121" t="s">
        <v>26</v>
      </c>
      <c r="H549" s="122"/>
      <c r="I549" s="123"/>
      <c r="J549" s="5"/>
      <c r="K549" s="5"/>
      <c r="L549" s="5"/>
    </row>
    <row r="550" spans="1:12" x14ac:dyDescent="0.25">
      <c r="A550" s="30" t="s">
        <v>38</v>
      </c>
      <c r="B550" s="11"/>
      <c r="C550" s="11"/>
      <c r="D550" s="11"/>
      <c r="E550" s="6"/>
      <c r="F550" s="5"/>
      <c r="G550" s="30" t="str">
        <f>A553</f>
        <v>Oshakati</v>
      </c>
      <c r="H550" s="11"/>
      <c r="I550" s="11"/>
      <c r="J550" s="11"/>
      <c r="K550" s="11"/>
      <c r="L550" s="6"/>
    </row>
    <row r="551" spans="1:12" ht="15.75" thickBot="1" x14ac:dyDescent="0.3">
      <c r="A551" s="7"/>
      <c r="B551" s="7"/>
      <c r="C551" s="7"/>
      <c r="D551" s="5"/>
      <c r="E551" s="5"/>
      <c r="F551" s="5"/>
      <c r="G551" s="7" t="s">
        <v>3</v>
      </c>
      <c r="H551" s="7"/>
      <c r="I551" s="7"/>
      <c r="J551" s="5"/>
      <c r="K551" s="5"/>
      <c r="L551" s="5"/>
    </row>
    <row r="552" spans="1:12" ht="15.75" thickBot="1" x14ac:dyDescent="0.3">
      <c r="A552" s="121" t="s">
        <v>30</v>
      </c>
      <c r="B552" s="122"/>
      <c r="C552" s="124"/>
      <c r="D552" s="12" t="s">
        <v>1</v>
      </c>
      <c r="E552" s="32"/>
      <c r="F552" s="5"/>
      <c r="G552" s="121" t="s">
        <v>27</v>
      </c>
      <c r="H552" s="122"/>
      <c r="I552" s="123"/>
      <c r="J552" s="5"/>
      <c r="K552" s="12" t="s">
        <v>1</v>
      </c>
      <c r="L552" s="32">
        <v>470550</v>
      </c>
    </row>
    <row r="553" spans="1:12" x14ac:dyDescent="0.25">
      <c r="A553" s="13" t="s">
        <v>39</v>
      </c>
      <c r="B553" s="14"/>
      <c r="C553" s="11"/>
      <c r="D553" s="11"/>
      <c r="E553" s="6"/>
      <c r="F553" s="5"/>
      <c r="G553" s="34" t="str">
        <f>A550</f>
        <v>Windhoek</v>
      </c>
      <c r="H553" s="11"/>
      <c r="I553" s="11"/>
      <c r="J553" s="11"/>
      <c r="K553" s="11"/>
      <c r="L553" s="6"/>
    </row>
    <row r="554" spans="1:12" x14ac:dyDescent="0.25">
      <c r="A554" s="13"/>
      <c r="B554" s="11"/>
      <c r="C554" s="11"/>
      <c r="D554" s="11"/>
      <c r="E554" s="6"/>
      <c r="F554" s="5"/>
      <c r="G554" s="13"/>
      <c r="H554" s="11"/>
      <c r="I554" s="11"/>
      <c r="J554" s="11"/>
      <c r="K554" s="11"/>
      <c r="L554" s="6"/>
    </row>
    <row r="555" spans="1:12" x14ac:dyDescent="0.25">
      <c r="A555" s="13"/>
      <c r="B555" s="11"/>
      <c r="C555" s="11"/>
      <c r="D555" s="11"/>
      <c r="E555" s="6"/>
      <c r="F555" s="5"/>
      <c r="G555" s="13"/>
      <c r="H555" s="11"/>
      <c r="I555" s="11"/>
      <c r="J555" s="11"/>
      <c r="K555" s="11"/>
      <c r="L555" s="6"/>
    </row>
    <row r="556" spans="1:12" x14ac:dyDescent="0.25">
      <c r="A556" s="13"/>
      <c r="B556" s="11"/>
      <c r="C556" s="11"/>
      <c r="D556" s="11"/>
      <c r="E556" s="6"/>
      <c r="F556" s="5"/>
      <c r="G556" s="13"/>
      <c r="H556" s="11"/>
      <c r="I556" s="11"/>
      <c r="J556" s="11"/>
      <c r="K556" s="11"/>
      <c r="L556" s="6"/>
    </row>
    <row r="557" spans="1:12" ht="15.75" thickBot="1" x14ac:dyDescent="0.3">
      <c r="A557" s="13"/>
      <c r="B557" s="11"/>
      <c r="C557" s="11" t="s">
        <v>29</v>
      </c>
      <c r="D557" s="43"/>
      <c r="E557" s="6"/>
      <c r="F557" s="5"/>
      <c r="G557" s="13"/>
      <c r="H557" s="11"/>
      <c r="I557" s="14" t="s">
        <v>28</v>
      </c>
      <c r="J557" s="43"/>
      <c r="K557" s="11"/>
      <c r="L557" s="6"/>
    </row>
    <row r="558" spans="1:12" ht="15.75" thickBot="1" x14ac:dyDescent="0.3">
      <c r="A558" s="15" t="s">
        <v>10</v>
      </c>
      <c r="B558" s="5"/>
      <c r="C558" s="5"/>
      <c r="D558" s="5"/>
      <c r="E558" s="5"/>
      <c r="F558" s="5"/>
      <c r="G558" s="15" t="s">
        <v>14</v>
      </c>
      <c r="H558" s="5"/>
      <c r="I558" s="5"/>
      <c r="J558" s="5"/>
      <c r="K558" s="5"/>
      <c r="L558" s="5"/>
    </row>
    <row r="559" spans="1:12" ht="15.75" thickBot="1" x14ac:dyDescent="0.3">
      <c r="A559" s="121" t="s">
        <v>11</v>
      </c>
      <c r="B559" s="122"/>
      <c r="C559" s="123"/>
      <c r="D559" s="16" t="s">
        <v>12</v>
      </c>
      <c r="E559" s="16" t="s">
        <v>13</v>
      </c>
      <c r="F559" s="5"/>
      <c r="G559" s="121" t="s">
        <v>15</v>
      </c>
      <c r="H559" s="122"/>
      <c r="I559" s="123"/>
      <c r="J559" s="121" t="s">
        <v>13</v>
      </c>
      <c r="K559" s="123"/>
      <c r="L559" s="5"/>
    </row>
    <row r="560" spans="1:12" x14ac:dyDescent="0.25">
      <c r="A560" s="41" t="s">
        <v>114</v>
      </c>
      <c r="B560" s="36" t="s">
        <v>47</v>
      </c>
      <c r="C560" s="37"/>
      <c r="D560" s="50">
        <v>708.07</v>
      </c>
      <c r="E560" s="51">
        <v>15478.45</v>
      </c>
      <c r="F560" s="44">
        <f t="shared" ref="F560:F565" si="11">E560/D560</f>
        <v>21.860056209131866</v>
      </c>
      <c r="G560" s="125"/>
      <c r="H560" s="126"/>
      <c r="I560" s="127"/>
      <c r="J560" s="128"/>
      <c r="K560" s="129"/>
      <c r="L560" s="5"/>
    </row>
    <row r="561" spans="1:12" x14ac:dyDescent="0.25">
      <c r="A561" s="48"/>
      <c r="B561" s="35"/>
      <c r="C561" s="39"/>
      <c r="D561" s="52"/>
      <c r="E561" s="53"/>
      <c r="F561" s="44" t="e">
        <f t="shared" si="11"/>
        <v>#DIV/0!</v>
      </c>
      <c r="G561" s="110"/>
      <c r="H561" s="111"/>
      <c r="I561" s="112"/>
      <c r="J561" s="113"/>
      <c r="K561" s="114"/>
      <c r="L561" s="5"/>
    </row>
    <row r="562" spans="1:12" x14ac:dyDescent="0.25">
      <c r="A562" s="38"/>
      <c r="B562" s="35"/>
      <c r="C562" s="39"/>
      <c r="D562" s="52"/>
      <c r="E562" s="53"/>
      <c r="F562" s="44" t="e">
        <f t="shared" si="11"/>
        <v>#DIV/0!</v>
      </c>
      <c r="G562" s="110"/>
      <c r="H562" s="111"/>
      <c r="I562" s="112"/>
      <c r="J562" s="113"/>
      <c r="K562" s="114"/>
      <c r="L562" s="5"/>
    </row>
    <row r="563" spans="1:12" x14ac:dyDescent="0.25">
      <c r="A563" s="48"/>
      <c r="B563" s="35"/>
      <c r="C563" s="39"/>
      <c r="D563" s="52"/>
      <c r="E563" s="53"/>
      <c r="F563" s="44" t="e">
        <f t="shared" si="11"/>
        <v>#DIV/0!</v>
      </c>
      <c r="G563" s="110"/>
      <c r="H563" s="111"/>
      <c r="I563" s="112"/>
      <c r="J563" s="113"/>
      <c r="K563" s="114"/>
      <c r="L563" s="5"/>
    </row>
    <row r="564" spans="1:12" x14ac:dyDescent="0.25">
      <c r="A564" s="27"/>
      <c r="B564" s="11"/>
      <c r="C564" s="6"/>
      <c r="D564" s="54"/>
      <c r="E564" s="55"/>
      <c r="F564" s="44" t="e">
        <f t="shared" si="11"/>
        <v>#DIV/0!</v>
      </c>
      <c r="G564" s="110"/>
      <c r="H564" s="111"/>
      <c r="I564" s="112"/>
      <c r="J564" s="113"/>
      <c r="K564" s="114"/>
      <c r="L564" s="5"/>
    </row>
    <row r="565" spans="1:12" x14ac:dyDescent="0.25">
      <c r="A565" s="68"/>
      <c r="B565" s="11"/>
      <c r="C565" s="6"/>
      <c r="D565" s="54"/>
      <c r="E565" s="55"/>
      <c r="F565" s="44" t="e">
        <f t="shared" si="11"/>
        <v>#DIV/0!</v>
      </c>
      <c r="G565" s="110"/>
      <c r="H565" s="111"/>
      <c r="I565" s="112"/>
      <c r="J565" s="113"/>
      <c r="K565" s="114"/>
      <c r="L565" s="5"/>
    </row>
    <row r="566" spans="1:12" ht="15.75" thickBot="1" x14ac:dyDescent="0.3">
      <c r="A566" s="5"/>
      <c r="B566" s="5"/>
      <c r="C566" s="7" t="s">
        <v>35</v>
      </c>
      <c r="D566" s="17">
        <f>D560+D561+D562+D563+D564+D565</f>
        <v>708.07</v>
      </c>
      <c r="E566" s="17">
        <f>E560+E561+E562+E563+E564+E565</f>
        <v>15478.45</v>
      </c>
      <c r="F566" s="5"/>
      <c r="G566" s="110"/>
      <c r="H566" s="111"/>
      <c r="I566" s="112"/>
      <c r="J566" s="113"/>
      <c r="K566" s="114"/>
      <c r="L566" s="7" t="s">
        <v>36</v>
      </c>
    </row>
    <row r="567" spans="1:12" ht="15.75" thickBot="1" x14ac:dyDescent="0.3">
      <c r="A567" s="5"/>
      <c r="B567" s="5"/>
      <c r="C567" s="5"/>
      <c r="D567" s="5"/>
      <c r="E567" s="5"/>
      <c r="F567" s="5"/>
      <c r="G567" s="130"/>
      <c r="H567" s="131"/>
      <c r="I567" s="132"/>
      <c r="J567" s="133"/>
      <c r="K567" s="134"/>
      <c r="L567" s="18">
        <f>J560+J561+J562+J563+J564+J565+J566+J567</f>
        <v>0</v>
      </c>
    </row>
    <row r="568" spans="1:12" ht="15.75" thickBo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75" thickBot="1" x14ac:dyDescent="0.3">
      <c r="A569" s="19"/>
      <c r="B569" s="20"/>
      <c r="C569" s="20"/>
      <c r="D569" s="20"/>
      <c r="E569" s="21" t="s">
        <v>13</v>
      </c>
      <c r="F569" s="5"/>
      <c r="G569" s="19"/>
      <c r="H569" s="20"/>
      <c r="I569" s="20"/>
      <c r="J569" s="20"/>
      <c r="K569" s="21" t="s">
        <v>13</v>
      </c>
      <c r="L569" s="5"/>
    </row>
    <row r="570" spans="1:12" x14ac:dyDescent="0.25">
      <c r="A570" s="22" t="s">
        <v>31</v>
      </c>
      <c r="B570" s="115">
        <v>24474</v>
      </c>
      <c r="C570" s="116"/>
      <c r="D570" s="116"/>
      <c r="E570" s="117"/>
      <c r="F570" s="5"/>
      <c r="G570" s="22" t="s">
        <v>32</v>
      </c>
      <c r="H570" s="115">
        <v>0</v>
      </c>
      <c r="I570" s="116"/>
      <c r="J570" s="116"/>
      <c r="K570" s="117"/>
      <c r="L570" s="5"/>
    </row>
    <row r="571" spans="1:1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x14ac:dyDescent="0.25">
      <c r="A572" s="7" t="s">
        <v>16</v>
      </c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x14ac:dyDescent="0.25">
      <c r="A573" s="9" t="s">
        <v>17</v>
      </c>
      <c r="B573" s="23">
        <f>L552-C547</f>
        <v>1470</v>
      </c>
      <c r="C573" s="5"/>
      <c r="D573" s="106" t="s">
        <v>18</v>
      </c>
      <c r="E573" s="107"/>
      <c r="F573" s="24" t="s">
        <v>19</v>
      </c>
      <c r="G573" s="9" t="s">
        <v>20</v>
      </c>
      <c r="H573" s="118">
        <f>B570+H570</f>
        <v>24474</v>
      </c>
      <c r="I573" s="119"/>
      <c r="J573" s="5"/>
      <c r="K573" s="5"/>
      <c r="L573" s="5"/>
    </row>
    <row r="574" spans="1:12" x14ac:dyDescent="0.25">
      <c r="A574" s="9" t="s">
        <v>41</v>
      </c>
      <c r="B574" s="40">
        <f>B573/D566</f>
        <v>2.0760659256853136</v>
      </c>
      <c r="C574" s="5"/>
      <c r="D574" s="102">
        <f>E566</f>
        <v>15478.45</v>
      </c>
      <c r="E574" s="103"/>
      <c r="F574" s="25">
        <f>H574/B573</f>
        <v>11.101666666666667</v>
      </c>
      <c r="G574" s="9" t="s">
        <v>21</v>
      </c>
      <c r="H574" s="104">
        <f>L567+D574+D576+D578+D580+A577</f>
        <v>16319.45</v>
      </c>
      <c r="I574" s="105"/>
      <c r="J574" s="5"/>
      <c r="K574" s="5"/>
      <c r="L574" s="5"/>
    </row>
    <row r="575" spans="1:12" x14ac:dyDescent="0.25">
      <c r="A575" s="9" t="s">
        <v>43</v>
      </c>
      <c r="B575" s="23">
        <f>D566/B573</f>
        <v>0.48168027210884357</v>
      </c>
      <c r="C575" s="5"/>
      <c r="D575" s="106" t="s">
        <v>33</v>
      </c>
      <c r="E575" s="107"/>
      <c r="F575" s="5"/>
      <c r="G575" s="13" t="s">
        <v>22</v>
      </c>
      <c r="H575" s="6"/>
      <c r="I575" s="26">
        <f>H573-H574</f>
        <v>8154.5499999999993</v>
      </c>
      <c r="J575" s="5"/>
      <c r="K575" s="5"/>
      <c r="L575" s="5"/>
    </row>
    <row r="576" spans="1:12" x14ac:dyDescent="0.25">
      <c r="A576" s="106" t="s">
        <v>40</v>
      </c>
      <c r="B576" s="107"/>
      <c r="C576" s="5"/>
      <c r="D576" s="108">
        <v>300</v>
      </c>
      <c r="E576" s="109"/>
      <c r="F576" s="5"/>
      <c r="G576" s="5"/>
      <c r="H576" s="5"/>
      <c r="I576" s="5"/>
      <c r="J576" s="5"/>
      <c r="K576" s="5"/>
      <c r="L576" s="5"/>
    </row>
    <row r="577" spans="1:12" x14ac:dyDescent="0.25">
      <c r="A577" s="108">
        <f>B573*0.3</f>
        <v>441</v>
      </c>
      <c r="B577" s="109"/>
      <c r="C577" s="5"/>
      <c r="D577" s="106" t="s">
        <v>34</v>
      </c>
      <c r="E577" s="107"/>
      <c r="F577" s="5"/>
      <c r="G577" s="5"/>
      <c r="H577" s="5"/>
      <c r="I577" s="5"/>
      <c r="J577" s="5"/>
      <c r="K577" s="5"/>
      <c r="L577" s="5"/>
    </row>
    <row r="578" spans="1:12" x14ac:dyDescent="0.25">
      <c r="A578" s="5"/>
      <c r="B578" s="5"/>
      <c r="C578" s="5"/>
      <c r="D578" s="108">
        <v>100</v>
      </c>
      <c r="E578" s="109"/>
      <c r="F578" s="5"/>
      <c r="G578" s="5"/>
      <c r="H578" s="5"/>
      <c r="I578" s="5"/>
      <c r="J578" s="5"/>
      <c r="K578" s="5"/>
      <c r="L578" s="5"/>
    </row>
    <row r="579" spans="1:12" x14ac:dyDescent="0.25">
      <c r="A579" s="5"/>
      <c r="B579" s="5"/>
      <c r="C579" s="5"/>
      <c r="D579" s="106" t="s">
        <v>37</v>
      </c>
      <c r="E579" s="107"/>
      <c r="F579" s="5"/>
      <c r="G579" s="5"/>
      <c r="H579" s="5"/>
      <c r="I579" s="5"/>
      <c r="J579" s="5"/>
      <c r="K579" s="5"/>
      <c r="L579" s="5"/>
    </row>
    <row r="580" spans="1:12" x14ac:dyDescent="0.25">
      <c r="A580" s="5"/>
      <c r="B580" s="5"/>
      <c r="C580" s="5"/>
      <c r="D580" s="108">
        <v>0</v>
      </c>
      <c r="E580" s="109"/>
      <c r="F580" s="5"/>
      <c r="G580" s="5"/>
      <c r="H580" s="5"/>
      <c r="I580" s="5"/>
      <c r="J580" s="5"/>
      <c r="K580" s="5"/>
      <c r="L580" s="5"/>
    </row>
    <row r="581" spans="1:1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x14ac:dyDescent="0.25">
      <c r="A582" s="5" t="s">
        <v>23</v>
      </c>
      <c r="B582" s="5" t="s">
        <v>54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s="49" customFormat="1" x14ac:dyDescent="0.25"/>
    <row r="586" spans="1:12" x14ac:dyDescent="0.25">
      <c r="A586" s="120" t="s">
        <v>24</v>
      </c>
      <c r="B586" s="120"/>
      <c r="C586" s="120"/>
      <c r="D586" s="120"/>
      <c r="E586" s="120"/>
      <c r="F586" s="120"/>
      <c r="G586" s="120"/>
      <c r="H586" s="120"/>
    </row>
    <row r="587" spans="1:12" x14ac:dyDescent="0.25">
      <c r="A587" s="120"/>
      <c r="B587" s="120"/>
      <c r="C587" s="120"/>
      <c r="D587" s="120"/>
      <c r="E587" s="120"/>
      <c r="F587" s="120"/>
      <c r="G587" s="120"/>
      <c r="H587" s="120"/>
    </row>
    <row r="588" spans="1:12" x14ac:dyDescent="0.25">
      <c r="A588" s="1" t="s">
        <v>4</v>
      </c>
      <c r="B588" s="2"/>
      <c r="C588" s="2"/>
      <c r="D588" s="2"/>
      <c r="E588" s="2"/>
      <c r="F588" s="2"/>
      <c r="G588" s="3" t="s">
        <v>5</v>
      </c>
      <c r="H588" s="3" t="s">
        <v>6</v>
      </c>
      <c r="I588" s="4" t="s">
        <v>7</v>
      </c>
      <c r="J588" s="5"/>
      <c r="K588" s="5"/>
      <c r="L588" s="5"/>
    </row>
    <row r="589" spans="1:12" x14ac:dyDescent="0.25">
      <c r="A589" s="28" t="s">
        <v>98</v>
      </c>
      <c r="B589" s="29" t="s">
        <v>42</v>
      </c>
      <c r="C589" s="67"/>
      <c r="D589" s="66"/>
      <c r="E589" s="2"/>
      <c r="F589" s="2"/>
      <c r="G589" s="28" t="s">
        <v>91</v>
      </c>
      <c r="H589" s="66"/>
      <c r="I589" s="33"/>
      <c r="J589" s="6"/>
      <c r="K589" s="33"/>
      <c r="L589" s="6"/>
    </row>
    <row r="590" spans="1:12" x14ac:dyDescent="0.25">
      <c r="A590" s="7" t="s">
        <v>2</v>
      </c>
      <c r="B590" s="5"/>
      <c r="C590" s="5"/>
      <c r="D590" s="5"/>
      <c r="E590" s="5"/>
      <c r="F590" s="5"/>
      <c r="G590" s="8" t="s">
        <v>8</v>
      </c>
      <c r="H590" s="31"/>
      <c r="I590" s="5"/>
      <c r="J590" s="5"/>
      <c r="K590" s="5"/>
      <c r="L590" s="5"/>
    </row>
    <row r="591" spans="1:12" x14ac:dyDescent="0.25">
      <c r="A591" s="7" t="s">
        <v>25</v>
      </c>
      <c r="B591" s="5"/>
      <c r="C591" s="7" t="s">
        <v>0</v>
      </c>
      <c r="D591" s="5"/>
      <c r="E591" s="5"/>
      <c r="F591" s="5"/>
      <c r="G591" s="7" t="s">
        <v>25</v>
      </c>
      <c r="H591" s="5"/>
      <c r="I591" s="7" t="s">
        <v>0</v>
      </c>
      <c r="J591" s="5"/>
      <c r="K591" s="5"/>
      <c r="L591" s="5"/>
    </row>
    <row r="592" spans="1:12" x14ac:dyDescent="0.25">
      <c r="A592" s="42" t="s">
        <v>114</v>
      </c>
      <c r="B592" s="6"/>
      <c r="C592" s="31">
        <f>L552</f>
        <v>470550</v>
      </c>
      <c r="D592" s="5"/>
      <c r="E592" s="5"/>
      <c r="F592" s="5"/>
      <c r="G592" s="42"/>
      <c r="H592" s="6"/>
      <c r="I592" s="9"/>
      <c r="J592" s="5"/>
      <c r="K592" s="5"/>
      <c r="L592" s="5"/>
    </row>
    <row r="593" spans="1:12" ht="16.5" thickBot="1" x14ac:dyDescent="0.3">
      <c r="A593" s="7"/>
      <c r="B593" s="5"/>
      <c r="C593" s="5"/>
      <c r="D593" s="5"/>
      <c r="E593" s="5"/>
      <c r="F593" s="5"/>
      <c r="G593" s="10"/>
      <c r="H593" s="5"/>
      <c r="I593" s="5"/>
      <c r="J593" s="5"/>
      <c r="K593" s="5"/>
      <c r="L593" s="5"/>
    </row>
    <row r="594" spans="1:12" ht="15.75" thickBot="1" x14ac:dyDescent="0.3">
      <c r="A594" s="121" t="s">
        <v>9</v>
      </c>
      <c r="B594" s="122"/>
      <c r="C594" s="123"/>
      <c r="D594" s="5"/>
      <c r="E594" s="5"/>
      <c r="F594" s="5"/>
      <c r="G594" s="121" t="s">
        <v>26</v>
      </c>
      <c r="H594" s="122"/>
      <c r="I594" s="123"/>
      <c r="J594" s="5"/>
      <c r="K594" s="5"/>
      <c r="L594" s="5"/>
    </row>
    <row r="595" spans="1:12" x14ac:dyDescent="0.25">
      <c r="A595" s="30" t="s">
        <v>38</v>
      </c>
      <c r="B595" s="11"/>
      <c r="C595" s="11"/>
      <c r="D595" s="11"/>
      <c r="E595" s="6"/>
      <c r="F595" s="5"/>
      <c r="G595" s="30" t="str">
        <f>A598</f>
        <v>Outapi</v>
      </c>
      <c r="H595" s="11"/>
      <c r="I595" s="11"/>
      <c r="J595" s="11"/>
      <c r="K595" s="11"/>
      <c r="L595" s="6"/>
    </row>
    <row r="596" spans="1:12" ht="15.75" thickBot="1" x14ac:dyDescent="0.3">
      <c r="A596" s="7"/>
      <c r="B596" s="7"/>
      <c r="C596" s="7"/>
      <c r="D596" s="5"/>
      <c r="E596" s="5"/>
      <c r="F596" s="5"/>
      <c r="G596" s="7" t="s">
        <v>3</v>
      </c>
      <c r="H596" s="7"/>
      <c r="I596" s="7"/>
      <c r="J596" s="5"/>
      <c r="K596" s="5"/>
      <c r="L596" s="5"/>
    </row>
    <row r="597" spans="1:12" ht="15.75" thickBot="1" x14ac:dyDescent="0.3">
      <c r="A597" s="121" t="s">
        <v>30</v>
      </c>
      <c r="B597" s="122"/>
      <c r="C597" s="124"/>
      <c r="D597" s="12" t="s">
        <v>1</v>
      </c>
      <c r="E597" s="32"/>
      <c r="F597" s="5"/>
      <c r="G597" s="121" t="s">
        <v>27</v>
      </c>
      <c r="H597" s="122"/>
      <c r="I597" s="123"/>
      <c r="J597" s="5"/>
      <c r="K597" s="12" t="s">
        <v>1</v>
      </c>
      <c r="L597" s="32">
        <v>472251</v>
      </c>
    </row>
    <row r="598" spans="1:12" x14ac:dyDescent="0.25">
      <c r="A598" s="13" t="s">
        <v>70</v>
      </c>
      <c r="B598" s="14"/>
      <c r="C598" s="11"/>
      <c r="D598" s="11"/>
      <c r="E598" s="6"/>
      <c r="F598" s="5"/>
      <c r="G598" s="34" t="str">
        <f>A595</f>
        <v>Windhoek</v>
      </c>
      <c r="H598" s="11"/>
      <c r="I598" s="11"/>
      <c r="J598" s="11"/>
      <c r="K598" s="11"/>
      <c r="L598" s="6"/>
    </row>
    <row r="599" spans="1:12" x14ac:dyDescent="0.25">
      <c r="A599" s="13"/>
      <c r="B599" s="11"/>
      <c r="C599" s="11"/>
      <c r="D599" s="11"/>
      <c r="E599" s="6"/>
      <c r="F599" s="5"/>
      <c r="G599" s="13"/>
      <c r="H599" s="11"/>
      <c r="I599" s="11"/>
      <c r="J599" s="11"/>
      <c r="K599" s="11"/>
      <c r="L599" s="6"/>
    </row>
    <row r="600" spans="1:12" x14ac:dyDescent="0.25">
      <c r="A600" s="13"/>
      <c r="B600" s="11"/>
      <c r="C600" s="11"/>
      <c r="D600" s="11"/>
      <c r="E600" s="6"/>
      <c r="F600" s="5"/>
      <c r="G600" s="13"/>
      <c r="H600" s="11"/>
      <c r="I600" s="11"/>
      <c r="J600" s="11"/>
      <c r="K600" s="11"/>
      <c r="L600" s="6"/>
    </row>
    <row r="601" spans="1:12" x14ac:dyDescent="0.25">
      <c r="A601" s="13"/>
      <c r="B601" s="11"/>
      <c r="C601" s="11"/>
      <c r="D601" s="11"/>
      <c r="E601" s="6"/>
      <c r="F601" s="5"/>
      <c r="G601" s="13"/>
      <c r="H601" s="11"/>
      <c r="I601" s="11"/>
      <c r="J601" s="11"/>
      <c r="K601" s="11"/>
      <c r="L601" s="6"/>
    </row>
    <row r="602" spans="1:12" ht="15.75" thickBot="1" x14ac:dyDescent="0.3">
      <c r="A602" s="13"/>
      <c r="B602" s="11"/>
      <c r="C602" s="11" t="s">
        <v>29</v>
      </c>
      <c r="D602" s="43"/>
      <c r="E602" s="6"/>
      <c r="F602" s="5"/>
      <c r="G602" s="13"/>
      <c r="H602" s="11"/>
      <c r="I602" s="14" t="s">
        <v>28</v>
      </c>
      <c r="J602" s="43"/>
      <c r="K602" s="11"/>
      <c r="L602" s="6"/>
    </row>
    <row r="603" spans="1:12" ht="15.75" thickBot="1" x14ac:dyDescent="0.3">
      <c r="A603" s="15" t="s">
        <v>10</v>
      </c>
      <c r="B603" s="5"/>
      <c r="C603" s="5"/>
      <c r="D603" s="5"/>
      <c r="E603" s="5"/>
      <c r="F603" s="5"/>
      <c r="G603" s="15" t="s">
        <v>14</v>
      </c>
      <c r="H603" s="5"/>
      <c r="I603" s="5"/>
      <c r="J603" s="5"/>
      <c r="K603" s="5"/>
      <c r="L603" s="5"/>
    </row>
    <row r="604" spans="1:12" ht="15.75" thickBot="1" x14ac:dyDescent="0.3">
      <c r="A604" s="121" t="s">
        <v>11</v>
      </c>
      <c r="B604" s="122"/>
      <c r="C604" s="123"/>
      <c r="D604" s="16" t="s">
        <v>12</v>
      </c>
      <c r="E604" s="16" t="s">
        <v>13</v>
      </c>
      <c r="F604" s="5"/>
      <c r="G604" s="121" t="s">
        <v>15</v>
      </c>
      <c r="H604" s="122"/>
      <c r="I604" s="123"/>
      <c r="J604" s="121" t="s">
        <v>13</v>
      </c>
      <c r="K604" s="123"/>
      <c r="L604" s="5"/>
    </row>
    <row r="605" spans="1:12" x14ac:dyDescent="0.25">
      <c r="A605" s="41" t="s">
        <v>115</v>
      </c>
      <c r="B605" s="36" t="s">
        <v>47</v>
      </c>
      <c r="C605" s="37"/>
      <c r="D605" s="50">
        <v>694.19</v>
      </c>
      <c r="E605" s="51">
        <v>15175</v>
      </c>
      <c r="F605" s="44">
        <f t="shared" ref="F605:F610" si="12">E605/D605</f>
        <v>21.860009507483539</v>
      </c>
      <c r="G605" s="125"/>
      <c r="H605" s="126"/>
      <c r="I605" s="127"/>
      <c r="J605" s="128"/>
      <c r="K605" s="129"/>
      <c r="L605" s="5"/>
    </row>
    <row r="606" spans="1:12" x14ac:dyDescent="0.25">
      <c r="A606" s="48"/>
      <c r="B606" s="35"/>
      <c r="C606" s="39"/>
      <c r="D606" s="52"/>
      <c r="E606" s="53"/>
      <c r="F606" s="44" t="e">
        <f t="shared" si="12"/>
        <v>#DIV/0!</v>
      </c>
      <c r="G606" s="110"/>
      <c r="H606" s="111"/>
      <c r="I606" s="112"/>
      <c r="J606" s="113"/>
      <c r="K606" s="114"/>
      <c r="L606" s="5"/>
    </row>
    <row r="607" spans="1:12" x14ac:dyDescent="0.25">
      <c r="A607" s="38"/>
      <c r="B607" s="35"/>
      <c r="C607" s="39"/>
      <c r="D607" s="52"/>
      <c r="E607" s="53"/>
      <c r="F607" s="44" t="e">
        <f t="shared" si="12"/>
        <v>#DIV/0!</v>
      </c>
      <c r="G607" s="110"/>
      <c r="H607" s="111"/>
      <c r="I607" s="112"/>
      <c r="J607" s="113"/>
      <c r="K607" s="114"/>
      <c r="L607" s="5"/>
    </row>
    <row r="608" spans="1:12" x14ac:dyDescent="0.25">
      <c r="A608" s="48"/>
      <c r="B608" s="35"/>
      <c r="C608" s="39"/>
      <c r="D608" s="52"/>
      <c r="E608" s="53"/>
      <c r="F608" s="44" t="e">
        <f t="shared" si="12"/>
        <v>#DIV/0!</v>
      </c>
      <c r="G608" s="110"/>
      <c r="H608" s="111"/>
      <c r="I608" s="112"/>
      <c r="J608" s="113"/>
      <c r="K608" s="114"/>
      <c r="L608" s="5"/>
    </row>
    <row r="609" spans="1:12" x14ac:dyDescent="0.25">
      <c r="A609" s="27"/>
      <c r="B609" s="11"/>
      <c r="C609" s="6"/>
      <c r="D609" s="54"/>
      <c r="E609" s="55"/>
      <c r="F609" s="44" t="e">
        <f t="shared" si="12"/>
        <v>#DIV/0!</v>
      </c>
      <c r="G609" s="110"/>
      <c r="H609" s="111"/>
      <c r="I609" s="112"/>
      <c r="J609" s="113"/>
      <c r="K609" s="114"/>
      <c r="L609" s="5"/>
    </row>
    <row r="610" spans="1:12" x14ac:dyDescent="0.25">
      <c r="A610" s="68"/>
      <c r="B610" s="11"/>
      <c r="C610" s="6"/>
      <c r="D610" s="54"/>
      <c r="E610" s="55"/>
      <c r="F610" s="44" t="e">
        <f t="shared" si="12"/>
        <v>#DIV/0!</v>
      </c>
      <c r="G610" s="110"/>
      <c r="H610" s="111"/>
      <c r="I610" s="112"/>
      <c r="J610" s="113"/>
      <c r="K610" s="114"/>
      <c r="L610" s="5"/>
    </row>
    <row r="611" spans="1:12" ht="15.75" thickBot="1" x14ac:dyDescent="0.3">
      <c r="A611" s="5"/>
      <c r="B611" s="5"/>
      <c r="C611" s="7" t="s">
        <v>35</v>
      </c>
      <c r="D611" s="17">
        <f>D605+D606+D607+D608+D609+D610</f>
        <v>694.19</v>
      </c>
      <c r="E611" s="17">
        <f>E605+E606+E607+E608+E609+E610</f>
        <v>15175</v>
      </c>
      <c r="F611" s="5"/>
      <c r="G611" s="110"/>
      <c r="H611" s="111"/>
      <c r="I611" s="112"/>
      <c r="J611" s="113"/>
      <c r="K611" s="114"/>
      <c r="L611" s="7" t="s">
        <v>36</v>
      </c>
    </row>
    <row r="612" spans="1:12" ht="15.75" thickBot="1" x14ac:dyDescent="0.3">
      <c r="A612" s="5"/>
      <c r="B612" s="5"/>
      <c r="C612" s="5"/>
      <c r="D612" s="5"/>
      <c r="E612" s="5"/>
      <c r="F612" s="5"/>
      <c r="G612" s="130"/>
      <c r="H612" s="131"/>
      <c r="I612" s="132"/>
      <c r="J612" s="133"/>
      <c r="K612" s="134"/>
      <c r="L612" s="18">
        <f>J605+J606+J607+J608+J609+J610+J611+J612</f>
        <v>0</v>
      </c>
    </row>
    <row r="613" spans="1:12" ht="15.75" thickBo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75" thickBot="1" x14ac:dyDescent="0.3">
      <c r="A614" s="19"/>
      <c r="B614" s="20"/>
      <c r="C614" s="20"/>
      <c r="D614" s="20"/>
      <c r="E614" s="21" t="s">
        <v>13</v>
      </c>
      <c r="F614" s="5"/>
      <c r="G614" s="19"/>
      <c r="H614" s="20"/>
      <c r="I614" s="20"/>
      <c r="J614" s="20"/>
      <c r="K614" s="21" t="s">
        <v>13</v>
      </c>
      <c r="L614" s="5"/>
    </row>
    <row r="615" spans="1:12" x14ac:dyDescent="0.25">
      <c r="A615" s="22" t="s">
        <v>31</v>
      </c>
      <c r="B615" s="115">
        <v>25142</v>
      </c>
      <c r="C615" s="116"/>
      <c r="D615" s="116"/>
      <c r="E615" s="117"/>
      <c r="F615" s="5"/>
      <c r="G615" s="22" t="s">
        <v>32</v>
      </c>
      <c r="H615" s="115">
        <v>0</v>
      </c>
      <c r="I615" s="116"/>
      <c r="J615" s="116"/>
      <c r="K615" s="117"/>
      <c r="L615" s="5"/>
    </row>
    <row r="616" spans="1:1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x14ac:dyDescent="0.25">
      <c r="A617" s="7" t="s">
        <v>16</v>
      </c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x14ac:dyDescent="0.25">
      <c r="A618" s="9" t="s">
        <v>17</v>
      </c>
      <c r="B618" s="23">
        <f>L597-C592</f>
        <v>1701</v>
      </c>
      <c r="C618" s="5"/>
      <c r="D618" s="106" t="s">
        <v>18</v>
      </c>
      <c r="E618" s="107"/>
      <c r="F618" s="24" t="s">
        <v>19</v>
      </c>
      <c r="G618" s="9" t="s">
        <v>20</v>
      </c>
      <c r="H618" s="118">
        <f>B615+H615</f>
        <v>25142</v>
      </c>
      <c r="I618" s="119"/>
      <c r="J618" s="5"/>
      <c r="K618" s="5"/>
      <c r="L618" s="5"/>
    </row>
    <row r="619" spans="1:12" x14ac:dyDescent="0.25">
      <c r="A619" s="9" t="s">
        <v>41</v>
      </c>
      <c r="B619" s="40">
        <f>B618/D611</f>
        <v>2.4503378037713017</v>
      </c>
      <c r="C619" s="5"/>
      <c r="D619" s="102">
        <f>E611</f>
        <v>15175</v>
      </c>
      <c r="E619" s="103"/>
      <c r="F619" s="25">
        <f>H619/B618</f>
        <v>9.5563786008230451</v>
      </c>
      <c r="G619" s="9" t="s">
        <v>21</v>
      </c>
      <c r="H619" s="104">
        <f>L612+D619+D621+D623+D625+A622</f>
        <v>16255.4</v>
      </c>
      <c r="I619" s="105"/>
      <c r="J619" s="5"/>
      <c r="K619" s="5"/>
      <c r="L619" s="5"/>
    </row>
    <row r="620" spans="1:12" x14ac:dyDescent="0.25">
      <c r="A620" s="9" t="s">
        <v>43</v>
      </c>
      <c r="B620" s="23">
        <f>D611/B618</f>
        <v>0.40810699588477367</v>
      </c>
      <c r="C620" s="5"/>
      <c r="D620" s="106" t="s">
        <v>33</v>
      </c>
      <c r="E620" s="107"/>
      <c r="F620" s="5"/>
      <c r="G620" s="13" t="s">
        <v>22</v>
      </c>
      <c r="H620" s="6"/>
      <c r="I620" s="26">
        <f>H618-H619</f>
        <v>8886.6</v>
      </c>
      <c r="J620" s="5"/>
      <c r="K620" s="5"/>
      <c r="L620" s="5"/>
    </row>
    <row r="621" spans="1:12" x14ac:dyDescent="0.25">
      <c r="A621" s="106" t="s">
        <v>40</v>
      </c>
      <c r="B621" s="107"/>
      <c r="C621" s="5"/>
      <c r="D621" s="108">
        <v>300</v>
      </c>
      <c r="E621" s="109"/>
      <c r="F621" s="5"/>
      <c r="G621" s="5"/>
      <c r="H621" s="5"/>
      <c r="I621" s="5"/>
      <c r="J621" s="5"/>
      <c r="K621" s="5"/>
      <c r="L621" s="5"/>
    </row>
    <row r="622" spans="1:12" x14ac:dyDescent="0.25">
      <c r="A622" s="108">
        <f>B618*0.4</f>
        <v>680.40000000000009</v>
      </c>
      <c r="B622" s="109"/>
      <c r="C622" s="5"/>
      <c r="D622" s="106" t="s">
        <v>34</v>
      </c>
      <c r="E622" s="107"/>
      <c r="F622" s="5"/>
      <c r="G622" s="5"/>
      <c r="H622" s="5"/>
      <c r="I622" s="5"/>
      <c r="J622" s="5"/>
      <c r="K622" s="5"/>
      <c r="L622" s="5"/>
    </row>
    <row r="623" spans="1:12" x14ac:dyDescent="0.25">
      <c r="A623" s="5"/>
      <c r="B623" s="5"/>
      <c r="C623" s="5"/>
      <c r="D623" s="108">
        <v>100</v>
      </c>
      <c r="E623" s="109"/>
      <c r="F623" s="5"/>
      <c r="G623" s="5"/>
      <c r="H623" s="5"/>
      <c r="I623" s="5"/>
      <c r="J623" s="5"/>
      <c r="K623" s="5"/>
      <c r="L623" s="5"/>
    </row>
    <row r="624" spans="1:12" x14ac:dyDescent="0.25">
      <c r="A624" s="5"/>
      <c r="B624" s="5"/>
      <c r="C624" s="5"/>
      <c r="D624" s="106" t="s">
        <v>37</v>
      </c>
      <c r="E624" s="107"/>
      <c r="F624" s="5"/>
      <c r="G624" s="5"/>
      <c r="H624" s="5"/>
      <c r="I624" s="5"/>
      <c r="J624" s="5"/>
      <c r="K624" s="5"/>
      <c r="L624" s="5"/>
    </row>
    <row r="625" spans="1:12" x14ac:dyDescent="0.25">
      <c r="A625" s="5"/>
      <c r="B625" s="5"/>
      <c r="C625" s="5"/>
      <c r="D625" s="108">
        <v>0</v>
      </c>
      <c r="E625" s="109"/>
      <c r="F625" s="5"/>
      <c r="G625" s="5"/>
      <c r="H625" s="5"/>
      <c r="I625" s="5"/>
      <c r="J625" s="5"/>
      <c r="K625" s="5"/>
      <c r="L625" s="5"/>
    </row>
    <row r="626" spans="1:1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x14ac:dyDescent="0.25">
      <c r="A627" s="5" t="s">
        <v>23</v>
      </c>
      <c r="B627" s="5" t="s">
        <v>54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s="49" customFormat="1" x14ac:dyDescent="0.25"/>
    <row r="631" spans="1:12" x14ac:dyDescent="0.25">
      <c r="A631" s="120" t="s">
        <v>24</v>
      </c>
      <c r="B631" s="120"/>
      <c r="C631" s="120"/>
      <c r="D631" s="120"/>
      <c r="E631" s="120"/>
      <c r="F631" s="120"/>
      <c r="G631" s="120"/>
      <c r="H631" s="120"/>
    </row>
    <row r="632" spans="1:12" x14ac:dyDescent="0.25">
      <c r="A632" s="120"/>
      <c r="B632" s="120"/>
      <c r="C632" s="120"/>
      <c r="D632" s="120"/>
      <c r="E632" s="120"/>
      <c r="F632" s="120"/>
      <c r="G632" s="120"/>
      <c r="H632" s="120"/>
    </row>
    <row r="633" spans="1:12" x14ac:dyDescent="0.25">
      <c r="A633" s="1" t="s">
        <v>4</v>
      </c>
      <c r="B633" s="2"/>
      <c r="C633" s="2"/>
      <c r="D633" s="2"/>
      <c r="E633" s="2"/>
      <c r="F633" s="2"/>
      <c r="G633" s="3" t="s">
        <v>5</v>
      </c>
      <c r="H633" s="3" t="s">
        <v>6</v>
      </c>
      <c r="I633" s="4" t="s">
        <v>7</v>
      </c>
      <c r="J633" s="5"/>
      <c r="K633" s="5"/>
      <c r="L633" s="5"/>
    </row>
    <row r="634" spans="1:12" x14ac:dyDescent="0.25">
      <c r="A634" s="28" t="s">
        <v>98</v>
      </c>
      <c r="B634" s="29" t="s">
        <v>42</v>
      </c>
      <c r="C634" s="67"/>
      <c r="D634" s="66"/>
      <c r="E634" s="2"/>
      <c r="F634" s="2"/>
      <c r="G634" s="28" t="s">
        <v>91</v>
      </c>
      <c r="H634" s="66"/>
      <c r="I634" s="33"/>
      <c r="J634" s="6"/>
      <c r="K634" s="33"/>
      <c r="L634" s="6"/>
    </row>
    <row r="635" spans="1:12" x14ac:dyDescent="0.25">
      <c r="A635" s="7" t="s">
        <v>2</v>
      </c>
      <c r="B635" s="5"/>
      <c r="C635" s="5"/>
      <c r="D635" s="5"/>
      <c r="E635" s="5"/>
      <c r="F635" s="5"/>
      <c r="G635" s="8" t="s">
        <v>8</v>
      </c>
      <c r="H635" s="31"/>
      <c r="I635" s="5"/>
      <c r="J635" s="5"/>
      <c r="K635" s="5"/>
      <c r="L635" s="5"/>
    </row>
    <row r="636" spans="1:12" x14ac:dyDescent="0.25">
      <c r="A636" s="7" t="s">
        <v>25</v>
      </c>
      <c r="B636" s="5"/>
      <c r="C636" s="7" t="s">
        <v>0</v>
      </c>
      <c r="D636" s="5"/>
      <c r="E636" s="5"/>
      <c r="F636" s="5"/>
      <c r="G636" s="7" t="s">
        <v>25</v>
      </c>
      <c r="H636" s="5"/>
      <c r="I636" s="7" t="s">
        <v>0</v>
      </c>
      <c r="J636" s="5"/>
      <c r="K636" s="5"/>
      <c r="L636" s="5"/>
    </row>
    <row r="637" spans="1:12" x14ac:dyDescent="0.25">
      <c r="A637" s="42" t="s">
        <v>116</v>
      </c>
      <c r="B637" s="6"/>
      <c r="C637" s="31">
        <f>L597</f>
        <v>472251</v>
      </c>
      <c r="D637" s="5"/>
      <c r="E637" s="5"/>
      <c r="F637" s="5"/>
      <c r="G637" s="42"/>
      <c r="H637" s="6"/>
      <c r="I637" s="9"/>
      <c r="J637" s="5"/>
      <c r="K637" s="5"/>
      <c r="L637" s="5"/>
    </row>
    <row r="638" spans="1:12" ht="16.5" thickBot="1" x14ac:dyDescent="0.3">
      <c r="A638" s="7"/>
      <c r="B638" s="5"/>
      <c r="C638" s="5"/>
      <c r="D638" s="5"/>
      <c r="E638" s="5"/>
      <c r="F638" s="5"/>
      <c r="G638" s="10"/>
      <c r="H638" s="5"/>
      <c r="I638" s="5"/>
      <c r="J638" s="5"/>
      <c r="K638" s="5"/>
      <c r="L638" s="5"/>
    </row>
    <row r="639" spans="1:12" ht="15.75" thickBot="1" x14ac:dyDescent="0.3">
      <c r="A639" s="121" t="s">
        <v>9</v>
      </c>
      <c r="B639" s="122"/>
      <c r="C639" s="123"/>
      <c r="D639" s="5"/>
      <c r="E639" s="5"/>
      <c r="F639" s="5"/>
      <c r="G639" s="121" t="s">
        <v>26</v>
      </c>
      <c r="H639" s="122"/>
      <c r="I639" s="123"/>
      <c r="J639" s="5"/>
      <c r="K639" s="5"/>
      <c r="L639" s="5"/>
    </row>
    <row r="640" spans="1:12" x14ac:dyDescent="0.25">
      <c r="A640" s="30" t="s">
        <v>38</v>
      </c>
      <c r="B640" s="11"/>
      <c r="C640" s="11"/>
      <c r="D640" s="11"/>
      <c r="E640" s="6"/>
      <c r="F640" s="5"/>
      <c r="G640" s="30" t="str">
        <f>A643</f>
        <v>Tsumeb Namrisk Frik</v>
      </c>
      <c r="H640" s="11"/>
      <c r="I640" s="11"/>
      <c r="J640" s="11"/>
      <c r="K640" s="11"/>
      <c r="L640" s="6"/>
    </row>
    <row r="641" spans="1:12" ht="15.75" thickBot="1" x14ac:dyDescent="0.3">
      <c r="A641" s="7"/>
      <c r="B641" s="7"/>
      <c r="C641" s="7"/>
      <c r="D641" s="5"/>
      <c r="E641" s="5"/>
      <c r="F641" s="5"/>
      <c r="G641" s="7" t="s">
        <v>3</v>
      </c>
      <c r="H641" s="7"/>
      <c r="I641" s="7"/>
      <c r="J641" s="5"/>
      <c r="K641" s="5"/>
      <c r="L641" s="5"/>
    </row>
    <row r="642" spans="1:12" ht="15.75" thickBot="1" x14ac:dyDescent="0.3">
      <c r="A642" s="121" t="s">
        <v>30</v>
      </c>
      <c r="B642" s="122"/>
      <c r="C642" s="124"/>
      <c r="D642" s="12" t="s">
        <v>1</v>
      </c>
      <c r="E642" s="32"/>
      <c r="F642" s="5"/>
      <c r="G642" s="121" t="s">
        <v>27</v>
      </c>
      <c r="H642" s="122"/>
      <c r="I642" s="123"/>
      <c r="J642" s="5"/>
      <c r="K642" s="12" t="s">
        <v>1</v>
      </c>
      <c r="L642" s="32">
        <v>473404</v>
      </c>
    </row>
    <row r="643" spans="1:12" x14ac:dyDescent="0.25">
      <c r="A643" s="13" t="s">
        <v>117</v>
      </c>
      <c r="B643" s="14"/>
      <c r="C643" s="11"/>
      <c r="D643" s="11"/>
      <c r="E643" s="6"/>
      <c r="F643" s="5"/>
      <c r="G643" s="34" t="str">
        <f>A640</f>
        <v>Windhoek</v>
      </c>
      <c r="H643" s="11"/>
      <c r="I643" s="11"/>
      <c r="J643" s="11"/>
      <c r="K643" s="11"/>
      <c r="L643" s="6"/>
    </row>
    <row r="644" spans="1:12" x14ac:dyDescent="0.25">
      <c r="A644" s="13" t="s">
        <v>81</v>
      </c>
      <c r="B644" s="11"/>
      <c r="C644" s="11"/>
      <c r="D644" s="11"/>
      <c r="E644" s="6"/>
      <c r="F644" s="5"/>
      <c r="G644" s="13"/>
      <c r="H644" s="11"/>
      <c r="I644" s="11"/>
      <c r="J644" s="11"/>
      <c r="K644" s="11"/>
      <c r="L644" s="6"/>
    </row>
    <row r="645" spans="1:12" x14ac:dyDescent="0.25">
      <c r="A645" s="13"/>
      <c r="B645" s="11"/>
      <c r="C645" s="11"/>
      <c r="D645" s="11"/>
      <c r="E645" s="6"/>
      <c r="F645" s="5"/>
      <c r="G645" s="13"/>
      <c r="H645" s="11"/>
      <c r="I645" s="11"/>
      <c r="J645" s="11"/>
      <c r="K645" s="11"/>
      <c r="L645" s="6"/>
    </row>
    <row r="646" spans="1:12" x14ac:dyDescent="0.25">
      <c r="A646" s="13"/>
      <c r="B646" s="11"/>
      <c r="C646" s="11"/>
      <c r="D646" s="11"/>
      <c r="E646" s="6"/>
      <c r="F646" s="5"/>
      <c r="G646" s="13"/>
      <c r="H646" s="11"/>
      <c r="I646" s="11"/>
      <c r="J646" s="11"/>
      <c r="K646" s="11"/>
      <c r="L646" s="6"/>
    </row>
    <row r="647" spans="1:12" ht="15.75" thickBot="1" x14ac:dyDescent="0.3">
      <c r="A647" s="13"/>
      <c r="B647" s="11"/>
      <c r="C647" s="11" t="s">
        <v>29</v>
      </c>
      <c r="D647" s="43"/>
      <c r="E647" s="6"/>
      <c r="F647" s="5"/>
      <c r="G647" s="13"/>
      <c r="H647" s="11"/>
      <c r="I647" s="14" t="s">
        <v>28</v>
      </c>
      <c r="J647" s="43"/>
      <c r="K647" s="11"/>
      <c r="L647" s="6"/>
    </row>
    <row r="648" spans="1:12" ht="15.75" thickBot="1" x14ac:dyDescent="0.3">
      <c r="A648" s="15" t="s">
        <v>10</v>
      </c>
      <c r="B648" s="5"/>
      <c r="C648" s="5"/>
      <c r="D648" s="5"/>
      <c r="E648" s="5"/>
      <c r="F648" s="5"/>
      <c r="G648" s="15" t="s">
        <v>14</v>
      </c>
      <c r="H648" s="5"/>
      <c r="I648" s="5"/>
      <c r="J648" s="5"/>
      <c r="K648" s="5"/>
      <c r="L648" s="5"/>
    </row>
    <row r="649" spans="1:12" ht="15.75" thickBot="1" x14ac:dyDescent="0.3">
      <c r="A649" s="121" t="s">
        <v>11</v>
      </c>
      <c r="B649" s="122"/>
      <c r="C649" s="123"/>
      <c r="D649" s="16" t="s">
        <v>12</v>
      </c>
      <c r="E649" s="16" t="s">
        <v>13</v>
      </c>
      <c r="F649" s="5"/>
      <c r="G649" s="121" t="s">
        <v>15</v>
      </c>
      <c r="H649" s="122"/>
      <c r="I649" s="123"/>
      <c r="J649" s="121" t="s">
        <v>13</v>
      </c>
      <c r="K649" s="123"/>
      <c r="L649" s="5"/>
    </row>
    <row r="650" spans="1:12" x14ac:dyDescent="0.25">
      <c r="A650" s="41">
        <v>44658</v>
      </c>
      <c r="B650" s="36" t="s">
        <v>47</v>
      </c>
      <c r="C650" s="37"/>
      <c r="D650" s="50">
        <v>477.39</v>
      </c>
      <c r="E650" s="51">
        <v>10435</v>
      </c>
      <c r="F650" s="44">
        <f t="shared" ref="F650:F655" si="13">E650/D650</f>
        <v>21.85843859318377</v>
      </c>
      <c r="G650" s="125"/>
      <c r="H650" s="126"/>
      <c r="I650" s="127"/>
      <c r="J650" s="128"/>
      <c r="K650" s="129"/>
      <c r="L650" s="5"/>
    </row>
    <row r="651" spans="1:12" x14ac:dyDescent="0.25">
      <c r="A651" s="48"/>
      <c r="B651" s="35"/>
      <c r="C651" s="39"/>
      <c r="D651" s="52"/>
      <c r="E651" s="53"/>
      <c r="F651" s="44" t="e">
        <f t="shared" si="13"/>
        <v>#DIV/0!</v>
      </c>
      <c r="G651" s="110"/>
      <c r="H651" s="111"/>
      <c r="I651" s="112"/>
      <c r="J651" s="113"/>
      <c r="K651" s="114"/>
      <c r="L651" s="5"/>
    </row>
    <row r="652" spans="1:12" x14ac:dyDescent="0.25">
      <c r="A652" s="38"/>
      <c r="B652" s="35"/>
      <c r="C652" s="39"/>
      <c r="D652" s="52"/>
      <c r="E652" s="53"/>
      <c r="F652" s="44" t="e">
        <f t="shared" si="13"/>
        <v>#DIV/0!</v>
      </c>
      <c r="G652" s="110"/>
      <c r="H652" s="111"/>
      <c r="I652" s="112"/>
      <c r="J652" s="113"/>
      <c r="K652" s="114"/>
      <c r="L652" s="5"/>
    </row>
    <row r="653" spans="1:12" x14ac:dyDescent="0.25">
      <c r="A653" s="48"/>
      <c r="B653" s="35"/>
      <c r="C653" s="39"/>
      <c r="D653" s="52"/>
      <c r="E653" s="53"/>
      <c r="F653" s="44" t="e">
        <f t="shared" si="13"/>
        <v>#DIV/0!</v>
      </c>
      <c r="G653" s="110"/>
      <c r="H653" s="111"/>
      <c r="I653" s="112"/>
      <c r="J653" s="113"/>
      <c r="K653" s="114"/>
      <c r="L653" s="5"/>
    </row>
    <row r="654" spans="1:12" x14ac:dyDescent="0.25">
      <c r="A654" s="27"/>
      <c r="B654" s="11"/>
      <c r="C654" s="6"/>
      <c r="D654" s="54"/>
      <c r="E654" s="55"/>
      <c r="F654" s="44" t="e">
        <f t="shared" si="13"/>
        <v>#DIV/0!</v>
      </c>
      <c r="G654" s="110"/>
      <c r="H654" s="111"/>
      <c r="I654" s="112"/>
      <c r="J654" s="113"/>
      <c r="K654" s="114"/>
      <c r="L654" s="5"/>
    </row>
    <row r="655" spans="1:12" x14ac:dyDescent="0.25">
      <c r="A655" s="68"/>
      <c r="B655" s="11"/>
      <c r="C655" s="6"/>
      <c r="D655" s="54"/>
      <c r="E655" s="55"/>
      <c r="F655" s="44" t="e">
        <f t="shared" si="13"/>
        <v>#DIV/0!</v>
      </c>
      <c r="G655" s="110"/>
      <c r="H655" s="111"/>
      <c r="I655" s="112"/>
      <c r="J655" s="113"/>
      <c r="K655" s="114"/>
      <c r="L655" s="5"/>
    </row>
    <row r="656" spans="1:12" ht="15.75" thickBot="1" x14ac:dyDescent="0.3">
      <c r="A656" s="5"/>
      <c r="B656" s="5"/>
      <c r="C656" s="7" t="s">
        <v>35</v>
      </c>
      <c r="D656" s="17">
        <f>D650+D651+D652+D653+D654+D655</f>
        <v>477.39</v>
      </c>
      <c r="E656" s="17">
        <f>E650+E651+E652+E653+E654+E655</f>
        <v>10435</v>
      </c>
      <c r="F656" s="5"/>
      <c r="G656" s="110"/>
      <c r="H656" s="111"/>
      <c r="I656" s="112"/>
      <c r="J656" s="113"/>
      <c r="K656" s="114"/>
      <c r="L656" s="7" t="s">
        <v>36</v>
      </c>
    </row>
    <row r="657" spans="1:12" ht="15.75" thickBot="1" x14ac:dyDescent="0.3">
      <c r="A657" s="5"/>
      <c r="B657" s="5"/>
      <c r="C657" s="5"/>
      <c r="D657" s="5"/>
      <c r="E657" s="5"/>
      <c r="F657" s="5"/>
      <c r="G657" s="130"/>
      <c r="H657" s="131"/>
      <c r="I657" s="132"/>
      <c r="J657" s="133"/>
      <c r="K657" s="134"/>
      <c r="L657" s="18">
        <f>J650+J651+J652+J653+J654+J655+J656+J657</f>
        <v>0</v>
      </c>
    </row>
    <row r="658" spans="1:12" ht="15.75" thickBo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75" thickBot="1" x14ac:dyDescent="0.3">
      <c r="A659" s="19"/>
      <c r="B659" s="20"/>
      <c r="C659" s="20"/>
      <c r="D659" s="20"/>
      <c r="E659" s="21" t="s">
        <v>13</v>
      </c>
      <c r="F659" s="5"/>
      <c r="G659" s="19"/>
      <c r="H659" s="20"/>
      <c r="I659" s="20"/>
      <c r="J659" s="20"/>
      <c r="K659" s="21" t="s">
        <v>13</v>
      </c>
      <c r="L659" s="5"/>
    </row>
    <row r="660" spans="1:12" x14ac:dyDescent="0.25">
      <c r="A660" s="22" t="s">
        <v>31</v>
      </c>
      <c r="B660" s="115">
        <v>16000</v>
      </c>
      <c r="C660" s="116"/>
      <c r="D660" s="116"/>
      <c r="E660" s="117"/>
      <c r="F660" s="5"/>
      <c r="G660" s="22" t="s">
        <v>32</v>
      </c>
      <c r="H660" s="115">
        <v>1131</v>
      </c>
      <c r="I660" s="116"/>
      <c r="J660" s="116"/>
      <c r="K660" s="117"/>
      <c r="L660" s="5"/>
    </row>
    <row r="661" spans="1:1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x14ac:dyDescent="0.25">
      <c r="A662" s="7" t="s">
        <v>16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x14ac:dyDescent="0.25">
      <c r="A663" s="9" t="s">
        <v>17</v>
      </c>
      <c r="B663" s="23">
        <f>L642-C637</f>
        <v>1153</v>
      </c>
      <c r="C663" s="5"/>
      <c r="D663" s="106" t="s">
        <v>18</v>
      </c>
      <c r="E663" s="107"/>
      <c r="F663" s="24" t="s">
        <v>19</v>
      </c>
      <c r="G663" s="9" t="s">
        <v>20</v>
      </c>
      <c r="H663" s="118">
        <f>B660+H660</f>
        <v>17131</v>
      </c>
      <c r="I663" s="119"/>
      <c r="J663" s="5"/>
      <c r="K663" s="5"/>
      <c r="L663" s="5"/>
    </row>
    <row r="664" spans="1:12" x14ac:dyDescent="0.25">
      <c r="A664" s="9" t="s">
        <v>41</v>
      </c>
      <c r="B664" s="40">
        <f>B663/D656</f>
        <v>2.4152160707178618</v>
      </c>
      <c r="C664" s="5"/>
      <c r="D664" s="102">
        <f>E656</f>
        <v>10435</v>
      </c>
      <c r="E664" s="103"/>
      <c r="F664" s="25">
        <f>H664/B663</f>
        <v>9.7538594969644414</v>
      </c>
      <c r="G664" s="9" t="s">
        <v>21</v>
      </c>
      <c r="H664" s="104">
        <f>L657+D664+D666+D668+D670+A667</f>
        <v>11246.2</v>
      </c>
      <c r="I664" s="105"/>
      <c r="J664" s="5"/>
      <c r="K664" s="5"/>
      <c r="L664" s="5"/>
    </row>
    <row r="665" spans="1:12" x14ac:dyDescent="0.25">
      <c r="A665" s="9" t="s">
        <v>43</v>
      </c>
      <c r="B665" s="23">
        <f>D656/B663</f>
        <v>0.41404163052905463</v>
      </c>
      <c r="C665" s="5"/>
      <c r="D665" s="106" t="s">
        <v>33</v>
      </c>
      <c r="E665" s="107"/>
      <c r="F665" s="5"/>
      <c r="G665" s="13" t="s">
        <v>22</v>
      </c>
      <c r="H665" s="6"/>
      <c r="I665" s="26">
        <f>H663-H664</f>
        <v>5884.7999999999993</v>
      </c>
      <c r="J665" s="5"/>
      <c r="K665" s="5"/>
      <c r="L665" s="5"/>
    </row>
    <row r="666" spans="1:12" x14ac:dyDescent="0.25">
      <c r="A666" s="106" t="s">
        <v>40</v>
      </c>
      <c r="B666" s="107"/>
      <c r="C666" s="5"/>
      <c r="D666" s="108">
        <v>250</v>
      </c>
      <c r="E666" s="109"/>
      <c r="F666" s="5"/>
      <c r="G666" s="5"/>
      <c r="H666" s="5"/>
      <c r="I666" s="5"/>
      <c r="J666" s="5"/>
      <c r="K666" s="5"/>
      <c r="L666" s="5"/>
    </row>
    <row r="667" spans="1:12" x14ac:dyDescent="0.25">
      <c r="A667" s="108">
        <f>B663*0.4</f>
        <v>461.20000000000005</v>
      </c>
      <c r="B667" s="109"/>
      <c r="C667" s="5"/>
      <c r="D667" s="106" t="s">
        <v>34</v>
      </c>
      <c r="E667" s="107"/>
      <c r="F667" s="5"/>
      <c r="G667" s="5"/>
      <c r="H667" s="5"/>
      <c r="I667" s="5"/>
      <c r="J667" s="5"/>
      <c r="K667" s="5"/>
      <c r="L667" s="5"/>
    </row>
    <row r="668" spans="1:12" x14ac:dyDescent="0.25">
      <c r="A668" s="5"/>
      <c r="B668" s="5"/>
      <c r="C668" s="5"/>
      <c r="D668" s="108">
        <v>100</v>
      </c>
      <c r="E668" s="109"/>
      <c r="F668" s="5"/>
      <c r="G668" s="5"/>
      <c r="H668" s="5"/>
      <c r="I668" s="5"/>
      <c r="J668" s="5"/>
      <c r="K668" s="5"/>
      <c r="L668" s="5"/>
    </row>
    <row r="669" spans="1:12" x14ac:dyDescent="0.25">
      <c r="A669" s="5"/>
      <c r="B669" s="5"/>
      <c r="C669" s="5"/>
      <c r="D669" s="106" t="s">
        <v>37</v>
      </c>
      <c r="E669" s="107"/>
      <c r="F669" s="5"/>
      <c r="G669" s="5"/>
      <c r="H669" s="5"/>
      <c r="I669" s="5"/>
      <c r="J669" s="5"/>
      <c r="K669" s="5"/>
      <c r="L669" s="5"/>
    </row>
    <row r="670" spans="1:12" x14ac:dyDescent="0.25">
      <c r="A670" s="5"/>
      <c r="B670" s="5"/>
      <c r="C670" s="5"/>
      <c r="D670" s="108">
        <v>0</v>
      </c>
      <c r="E670" s="109"/>
      <c r="F670" s="5"/>
      <c r="G670" s="5"/>
      <c r="H670" s="5"/>
      <c r="I670" s="5"/>
      <c r="J670" s="5"/>
      <c r="K670" s="5"/>
      <c r="L670" s="5"/>
    </row>
    <row r="671" spans="1:1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x14ac:dyDescent="0.25">
      <c r="A672" s="5" t="s">
        <v>23</v>
      </c>
      <c r="B672" s="5" t="s">
        <v>54</v>
      </c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s="49" customFormat="1" x14ac:dyDescent="0.25"/>
    <row r="676" spans="1:12" x14ac:dyDescent="0.25">
      <c r="A676" s="120" t="s">
        <v>24</v>
      </c>
      <c r="B676" s="120"/>
      <c r="C676" s="120"/>
      <c r="D676" s="120"/>
      <c r="E676" s="120"/>
      <c r="F676" s="120"/>
      <c r="G676" s="120"/>
      <c r="H676" s="120"/>
    </row>
    <row r="677" spans="1:12" x14ac:dyDescent="0.25">
      <c r="A677" s="120"/>
      <c r="B677" s="120"/>
      <c r="C677" s="120"/>
      <c r="D677" s="120"/>
      <c r="E677" s="120"/>
      <c r="F677" s="120"/>
      <c r="G677" s="120"/>
      <c r="H677" s="120"/>
    </row>
    <row r="678" spans="1:12" x14ac:dyDescent="0.25">
      <c r="A678" s="1" t="s">
        <v>4</v>
      </c>
      <c r="B678" s="2"/>
      <c r="C678" s="2"/>
      <c r="D678" s="2"/>
      <c r="E678" s="2"/>
      <c r="F678" s="2"/>
      <c r="G678" s="3" t="s">
        <v>5</v>
      </c>
      <c r="H678" s="3" t="s">
        <v>6</v>
      </c>
      <c r="I678" s="4" t="s">
        <v>7</v>
      </c>
      <c r="J678" s="5"/>
      <c r="K678" s="5"/>
      <c r="L678" s="5"/>
    </row>
    <row r="679" spans="1:12" x14ac:dyDescent="0.25">
      <c r="A679" s="28" t="s">
        <v>98</v>
      </c>
      <c r="B679" s="29" t="s">
        <v>42</v>
      </c>
      <c r="C679" s="67"/>
      <c r="D679" s="66"/>
      <c r="E679" s="2"/>
      <c r="F679" s="2"/>
      <c r="G679" s="28" t="s">
        <v>91</v>
      </c>
      <c r="H679" s="66"/>
      <c r="I679" s="33"/>
      <c r="J679" s="6"/>
      <c r="K679" s="33"/>
      <c r="L679" s="6"/>
    </row>
    <row r="680" spans="1:12" x14ac:dyDescent="0.25">
      <c r="A680" s="7" t="s">
        <v>2</v>
      </c>
      <c r="B680" s="5"/>
      <c r="C680" s="5"/>
      <c r="D680" s="5"/>
      <c r="E680" s="5"/>
      <c r="F680" s="5"/>
      <c r="G680" s="8" t="s">
        <v>8</v>
      </c>
      <c r="H680" s="31"/>
      <c r="I680" s="5"/>
      <c r="J680" s="5"/>
      <c r="K680" s="5"/>
      <c r="L680" s="5"/>
    </row>
    <row r="681" spans="1:12" x14ac:dyDescent="0.25">
      <c r="A681" s="7" t="s">
        <v>25</v>
      </c>
      <c r="B681" s="5"/>
      <c r="C681" s="7" t="s">
        <v>0</v>
      </c>
      <c r="D681" s="5"/>
      <c r="E681" s="5"/>
      <c r="F681" s="5"/>
      <c r="G681" s="7" t="s">
        <v>25</v>
      </c>
      <c r="H681" s="5"/>
      <c r="I681" s="7" t="s">
        <v>0</v>
      </c>
      <c r="J681" s="5"/>
      <c r="K681" s="5"/>
      <c r="L681" s="5"/>
    </row>
    <row r="682" spans="1:12" x14ac:dyDescent="0.25">
      <c r="A682" s="42">
        <v>44658</v>
      </c>
      <c r="B682" s="6"/>
      <c r="C682" s="31">
        <f>L642</f>
        <v>473404</v>
      </c>
      <c r="D682" s="5"/>
      <c r="E682" s="5"/>
      <c r="F682" s="5"/>
      <c r="G682" s="42"/>
      <c r="H682" s="6"/>
      <c r="I682" s="9"/>
      <c r="J682" s="5"/>
      <c r="K682" s="5"/>
      <c r="L682" s="5"/>
    </row>
    <row r="683" spans="1:12" ht="16.5" thickBot="1" x14ac:dyDescent="0.3">
      <c r="A683" s="58"/>
      <c r="B683" s="5"/>
      <c r="C683" s="5"/>
      <c r="D683" s="5"/>
      <c r="E683" s="5"/>
      <c r="F683" s="5"/>
      <c r="G683" s="10"/>
      <c r="H683" s="5"/>
      <c r="I683" s="5"/>
      <c r="J683" s="5"/>
      <c r="K683" s="5"/>
      <c r="L683" s="5"/>
    </row>
    <row r="684" spans="1:12" ht="15.75" thickBot="1" x14ac:dyDescent="0.3">
      <c r="A684" s="121" t="s">
        <v>9</v>
      </c>
      <c r="B684" s="122"/>
      <c r="C684" s="123"/>
      <c r="D684" s="5"/>
      <c r="E684" s="5"/>
      <c r="F684" s="5"/>
      <c r="G684" s="121" t="s">
        <v>26</v>
      </c>
      <c r="H684" s="122"/>
      <c r="I684" s="123"/>
      <c r="J684" s="5"/>
      <c r="K684" s="5"/>
      <c r="L684" s="5"/>
    </row>
    <row r="685" spans="1:12" x14ac:dyDescent="0.25">
      <c r="A685" s="30" t="s">
        <v>38</v>
      </c>
      <c r="B685" s="11"/>
      <c r="C685" s="11"/>
      <c r="D685" s="11"/>
      <c r="E685" s="6"/>
      <c r="F685" s="5"/>
      <c r="G685" s="30" t="str">
        <f>A688</f>
        <v>Oshakati nbl</v>
      </c>
      <c r="H685" s="11"/>
      <c r="I685" s="11"/>
      <c r="J685" s="11"/>
      <c r="K685" s="11"/>
      <c r="L685" s="6"/>
    </row>
    <row r="686" spans="1:12" ht="15.75" thickBot="1" x14ac:dyDescent="0.3">
      <c r="A686" s="7"/>
      <c r="B686" s="7"/>
      <c r="C686" s="7"/>
      <c r="D686" s="5"/>
      <c r="E686" s="5"/>
      <c r="F686" s="5"/>
      <c r="G686" s="7" t="s">
        <v>3</v>
      </c>
      <c r="H686" s="7"/>
      <c r="I686" s="7"/>
      <c r="J686" s="5"/>
      <c r="K686" s="5"/>
      <c r="L686" s="5"/>
    </row>
    <row r="687" spans="1:12" ht="15.75" thickBot="1" x14ac:dyDescent="0.3">
      <c r="A687" s="121" t="s">
        <v>30</v>
      </c>
      <c r="B687" s="122"/>
      <c r="C687" s="124"/>
      <c r="D687" s="12" t="s">
        <v>1</v>
      </c>
      <c r="E687" s="32"/>
      <c r="F687" s="5"/>
      <c r="G687" s="121" t="s">
        <v>27</v>
      </c>
      <c r="H687" s="122"/>
      <c r="I687" s="123"/>
      <c r="J687" s="5"/>
      <c r="K687" s="12" t="s">
        <v>1</v>
      </c>
      <c r="L687" s="32">
        <v>475755</v>
      </c>
    </row>
    <row r="688" spans="1:12" x14ac:dyDescent="0.25">
      <c r="A688" s="13" t="s">
        <v>119</v>
      </c>
      <c r="B688" s="14"/>
      <c r="C688" s="11"/>
      <c r="D688" s="11"/>
      <c r="E688" s="6"/>
      <c r="F688" s="5"/>
      <c r="G688" s="34" t="str">
        <f>A685</f>
        <v>Windhoek</v>
      </c>
      <c r="H688" s="11"/>
      <c r="I688" s="11"/>
      <c r="J688" s="11"/>
      <c r="K688" s="11"/>
      <c r="L688" s="6"/>
    </row>
    <row r="689" spans="1:12" x14ac:dyDescent="0.25">
      <c r="A689" s="13" t="s">
        <v>120</v>
      </c>
      <c r="B689" s="11"/>
      <c r="C689" s="11"/>
      <c r="D689" s="11"/>
      <c r="E689" s="6"/>
      <c r="F689" s="5"/>
      <c r="G689" s="13"/>
      <c r="H689" s="11"/>
      <c r="I689" s="11"/>
      <c r="J689" s="11"/>
      <c r="K689" s="11"/>
      <c r="L689" s="6"/>
    </row>
    <row r="690" spans="1:12" x14ac:dyDescent="0.25">
      <c r="A690" s="13" t="s">
        <v>121</v>
      </c>
      <c r="B690" s="11"/>
      <c r="C690" s="11"/>
      <c r="D690" s="11"/>
      <c r="E690" s="6"/>
      <c r="F690" s="5"/>
      <c r="G690" s="13"/>
      <c r="H690" s="11"/>
      <c r="I690" s="11"/>
      <c r="J690" s="11"/>
      <c r="K690" s="11"/>
      <c r="L690" s="6"/>
    </row>
    <row r="691" spans="1:12" x14ac:dyDescent="0.25">
      <c r="A691" s="13"/>
      <c r="B691" s="11"/>
      <c r="C691" s="11"/>
      <c r="D691" s="11"/>
      <c r="E691" s="6"/>
      <c r="F691" s="5"/>
      <c r="G691" s="13"/>
      <c r="H691" s="11"/>
      <c r="I691" s="11"/>
      <c r="J691" s="11"/>
      <c r="K691" s="11"/>
      <c r="L691" s="6"/>
    </row>
    <row r="692" spans="1:12" ht="15.75" thickBot="1" x14ac:dyDescent="0.3">
      <c r="A692" s="13"/>
      <c r="B692" s="11"/>
      <c r="C692" s="11" t="s">
        <v>29</v>
      </c>
      <c r="D692" s="43"/>
      <c r="E692" s="6"/>
      <c r="F692" s="5"/>
      <c r="G692" s="13"/>
      <c r="H692" s="11"/>
      <c r="I692" s="14" t="s">
        <v>28</v>
      </c>
      <c r="J692" s="43"/>
      <c r="K692" s="11"/>
      <c r="L692" s="6"/>
    </row>
    <row r="693" spans="1:12" ht="15.75" thickBot="1" x14ac:dyDescent="0.3">
      <c r="A693" s="15" t="s">
        <v>10</v>
      </c>
      <c r="B693" s="5"/>
      <c r="C693" s="5"/>
      <c r="D693" s="5"/>
      <c r="E693" s="5"/>
      <c r="F693" s="5"/>
      <c r="G693" s="15" t="s">
        <v>14</v>
      </c>
      <c r="H693" s="5"/>
      <c r="I693" s="5"/>
      <c r="J693" s="5"/>
      <c r="K693" s="5"/>
      <c r="L693" s="5"/>
    </row>
    <row r="694" spans="1:12" ht="15.75" thickBot="1" x14ac:dyDescent="0.3">
      <c r="A694" s="121" t="s">
        <v>11</v>
      </c>
      <c r="B694" s="122"/>
      <c r="C694" s="123"/>
      <c r="D694" s="16" t="s">
        <v>12</v>
      </c>
      <c r="E694" s="16" t="s">
        <v>13</v>
      </c>
      <c r="F694" s="5"/>
      <c r="G694" s="121" t="s">
        <v>15</v>
      </c>
      <c r="H694" s="122"/>
      <c r="I694" s="123"/>
      <c r="J694" s="121" t="s">
        <v>13</v>
      </c>
      <c r="K694" s="123"/>
      <c r="L694" s="5"/>
    </row>
    <row r="695" spans="1:12" x14ac:dyDescent="0.25">
      <c r="A695" s="41" t="s">
        <v>118</v>
      </c>
      <c r="B695" s="36" t="s">
        <v>47</v>
      </c>
      <c r="C695" s="37"/>
      <c r="D695" s="50">
        <v>318.85000000000002</v>
      </c>
      <c r="E695" s="51">
        <v>7397.3</v>
      </c>
      <c r="F695" s="44">
        <f t="shared" ref="F695:F700" si="14">E695/D695</f>
        <v>23.199937274580524</v>
      </c>
      <c r="G695" s="125"/>
      <c r="H695" s="126"/>
      <c r="I695" s="127"/>
      <c r="J695" s="128"/>
      <c r="K695" s="129"/>
      <c r="L695" s="5"/>
    </row>
    <row r="696" spans="1:12" x14ac:dyDescent="0.25">
      <c r="A696" s="48" t="s">
        <v>122</v>
      </c>
      <c r="B696" s="35" t="s">
        <v>53</v>
      </c>
      <c r="C696" s="39"/>
      <c r="D696" s="52">
        <v>522.87</v>
      </c>
      <c r="E696" s="53">
        <v>11947.6</v>
      </c>
      <c r="F696" s="44">
        <f t="shared" si="14"/>
        <v>22.850039206686176</v>
      </c>
      <c r="G696" s="110"/>
      <c r="H696" s="111"/>
      <c r="I696" s="112"/>
      <c r="J696" s="113"/>
      <c r="K696" s="114"/>
      <c r="L696" s="5"/>
    </row>
    <row r="697" spans="1:12" x14ac:dyDescent="0.25">
      <c r="A697" s="38" t="s">
        <v>124</v>
      </c>
      <c r="B697" s="35" t="s">
        <v>47</v>
      </c>
      <c r="C697" s="39"/>
      <c r="D697" s="52">
        <v>251.77</v>
      </c>
      <c r="E697" s="53">
        <v>5841.05</v>
      </c>
      <c r="F697" s="44">
        <f t="shared" si="14"/>
        <v>23.199944393692657</v>
      </c>
      <c r="G697" s="110"/>
      <c r="H697" s="111"/>
      <c r="I697" s="112"/>
      <c r="J697" s="113"/>
      <c r="K697" s="114"/>
      <c r="L697" s="5"/>
    </row>
    <row r="698" spans="1:12" x14ac:dyDescent="0.25">
      <c r="A698" s="48"/>
      <c r="B698" s="35"/>
      <c r="C698" s="39"/>
      <c r="D698" s="52"/>
      <c r="E698" s="53"/>
      <c r="F698" s="44" t="e">
        <f t="shared" si="14"/>
        <v>#DIV/0!</v>
      </c>
      <c r="G698" s="110"/>
      <c r="H698" s="111"/>
      <c r="I698" s="112"/>
      <c r="J698" s="113"/>
      <c r="K698" s="114"/>
      <c r="L698" s="5"/>
    </row>
    <row r="699" spans="1:12" x14ac:dyDescent="0.25">
      <c r="A699" s="27"/>
      <c r="B699" s="11"/>
      <c r="C699" s="6"/>
      <c r="D699" s="54"/>
      <c r="E699" s="55"/>
      <c r="F699" s="44" t="e">
        <f t="shared" si="14"/>
        <v>#DIV/0!</v>
      </c>
      <c r="G699" s="110"/>
      <c r="H699" s="111"/>
      <c r="I699" s="112"/>
      <c r="J699" s="113"/>
      <c r="K699" s="114"/>
      <c r="L699" s="5"/>
    </row>
    <row r="700" spans="1:12" x14ac:dyDescent="0.25">
      <c r="A700" s="68"/>
      <c r="B700" s="11"/>
      <c r="C700" s="6"/>
      <c r="D700" s="54"/>
      <c r="E700" s="55"/>
      <c r="F700" s="44" t="e">
        <f t="shared" si="14"/>
        <v>#DIV/0!</v>
      </c>
      <c r="G700" s="110"/>
      <c r="H700" s="111"/>
      <c r="I700" s="112"/>
      <c r="J700" s="113"/>
      <c r="K700" s="114"/>
      <c r="L700" s="5"/>
    </row>
    <row r="701" spans="1:12" ht="15.75" thickBot="1" x14ac:dyDescent="0.3">
      <c r="A701" s="5"/>
      <c r="B701" s="5"/>
      <c r="C701" s="7" t="s">
        <v>35</v>
      </c>
      <c r="D701" s="17">
        <f>D695+D696+D697+D698+D699+D700</f>
        <v>1093.49</v>
      </c>
      <c r="E701" s="17">
        <f>E695+E696+E697+E698+E699+E700</f>
        <v>25185.95</v>
      </c>
      <c r="F701" s="5"/>
      <c r="G701" s="110"/>
      <c r="H701" s="111"/>
      <c r="I701" s="112"/>
      <c r="J701" s="113"/>
      <c r="K701" s="114"/>
      <c r="L701" s="7" t="s">
        <v>36</v>
      </c>
    </row>
    <row r="702" spans="1:12" ht="15.75" thickBot="1" x14ac:dyDescent="0.3">
      <c r="A702" s="5"/>
      <c r="B702" s="5"/>
      <c r="C702" s="5"/>
      <c r="D702" s="5"/>
      <c r="E702" s="5"/>
      <c r="F702" s="5"/>
      <c r="G702" s="130"/>
      <c r="H702" s="131"/>
      <c r="I702" s="132"/>
      <c r="J702" s="133"/>
      <c r="K702" s="134"/>
      <c r="L702" s="18">
        <f>J695+J696+J697+J698+J699+J700+J701+J702</f>
        <v>0</v>
      </c>
    </row>
    <row r="703" spans="1:12" ht="15.75" thickBo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75" thickBot="1" x14ac:dyDescent="0.3">
      <c r="A704" s="19"/>
      <c r="B704" s="20"/>
      <c r="C704" s="20"/>
      <c r="D704" s="20"/>
      <c r="E704" s="21" t="s">
        <v>13</v>
      </c>
      <c r="F704" s="5"/>
      <c r="G704" s="19"/>
      <c r="H704" s="20"/>
      <c r="I704" s="20"/>
      <c r="J704" s="20"/>
      <c r="K704" s="21" t="s">
        <v>13</v>
      </c>
      <c r="L704" s="5"/>
    </row>
    <row r="705" spans="1:12" x14ac:dyDescent="0.25">
      <c r="A705" s="22" t="s">
        <v>31</v>
      </c>
      <c r="B705" s="115">
        <v>24474</v>
      </c>
      <c r="C705" s="116"/>
      <c r="D705" s="116"/>
      <c r="E705" s="117"/>
      <c r="F705" s="5"/>
      <c r="G705" s="22" t="s">
        <v>32</v>
      </c>
      <c r="H705" s="115">
        <f>7000+8285</f>
        <v>15285</v>
      </c>
      <c r="I705" s="116"/>
      <c r="J705" s="116"/>
      <c r="K705" s="117"/>
      <c r="L705" s="5"/>
    </row>
    <row r="706" spans="1:12" x14ac:dyDescent="0.25">
      <c r="A706" s="5"/>
      <c r="B706" s="5"/>
      <c r="C706" s="5"/>
      <c r="D706" s="5"/>
      <c r="E706" s="5" t="s">
        <v>71</v>
      </c>
      <c r="F706" s="5"/>
      <c r="G706" s="5"/>
      <c r="H706" s="5"/>
      <c r="I706" s="5"/>
      <c r="J706" s="5"/>
      <c r="K706" s="5" t="s">
        <v>123</v>
      </c>
      <c r="L706" s="5"/>
    </row>
    <row r="707" spans="1:12" x14ac:dyDescent="0.25">
      <c r="A707" s="7" t="s">
        <v>16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x14ac:dyDescent="0.25">
      <c r="A708" s="9" t="s">
        <v>17</v>
      </c>
      <c r="B708" s="23">
        <f>L687-C682</f>
        <v>2351</v>
      </c>
      <c r="C708" s="5"/>
      <c r="D708" s="106" t="s">
        <v>18</v>
      </c>
      <c r="E708" s="107"/>
      <c r="F708" s="24" t="s">
        <v>19</v>
      </c>
      <c r="G708" s="9" t="s">
        <v>20</v>
      </c>
      <c r="H708" s="118">
        <f>B705+H705</f>
        <v>39759</v>
      </c>
      <c r="I708" s="119"/>
      <c r="J708" s="5"/>
      <c r="K708" s="5"/>
      <c r="L708" s="5"/>
    </row>
    <row r="709" spans="1:12" x14ac:dyDescent="0.25">
      <c r="A709" s="9" t="s">
        <v>41</v>
      </c>
      <c r="B709" s="40">
        <f>B708/D701</f>
        <v>2.1499967992391333</v>
      </c>
      <c r="C709" s="5"/>
      <c r="D709" s="102">
        <f>E701</f>
        <v>25185.95</v>
      </c>
      <c r="E709" s="103"/>
      <c r="F709" s="25">
        <f>H709/B708</f>
        <v>11.353147596767332</v>
      </c>
      <c r="G709" s="9" t="s">
        <v>21</v>
      </c>
      <c r="H709" s="104">
        <f>L702+D709+D711+D713+D715+A712</f>
        <v>26691.25</v>
      </c>
      <c r="I709" s="105"/>
      <c r="J709" s="5"/>
      <c r="K709" s="5"/>
      <c r="L709" s="5"/>
    </row>
    <row r="710" spans="1:12" x14ac:dyDescent="0.25">
      <c r="A710" s="9" t="s">
        <v>43</v>
      </c>
      <c r="B710" s="23">
        <f>D701/B708</f>
        <v>0.46511697150148873</v>
      </c>
      <c r="C710" s="5"/>
      <c r="D710" s="106" t="s">
        <v>33</v>
      </c>
      <c r="E710" s="107"/>
      <c r="F710" s="5"/>
      <c r="G710" s="13" t="s">
        <v>22</v>
      </c>
      <c r="H710" s="6"/>
      <c r="I710" s="26">
        <f>H708-H709</f>
        <v>13067.75</v>
      </c>
      <c r="J710" s="5"/>
      <c r="K710" s="5"/>
      <c r="L710" s="5"/>
    </row>
    <row r="711" spans="1:12" x14ac:dyDescent="0.25">
      <c r="A711" s="106" t="s">
        <v>40</v>
      </c>
      <c r="B711" s="107"/>
      <c r="C711" s="5"/>
      <c r="D711" s="108">
        <f>300+300</f>
        <v>600</v>
      </c>
      <c r="E711" s="109"/>
      <c r="F711" s="5"/>
      <c r="G711" s="5"/>
      <c r="H711" s="5"/>
      <c r="I711" s="5"/>
      <c r="J711" s="5"/>
      <c r="K711" s="5"/>
      <c r="L711" s="5"/>
    </row>
    <row r="712" spans="1:12" x14ac:dyDescent="0.25">
      <c r="A712" s="108">
        <f>B708*0.3</f>
        <v>705.3</v>
      </c>
      <c r="B712" s="109"/>
      <c r="C712" s="5"/>
      <c r="D712" s="106" t="s">
        <v>34</v>
      </c>
      <c r="E712" s="107"/>
      <c r="F712" s="5"/>
      <c r="G712" s="5"/>
      <c r="H712" s="5"/>
      <c r="I712" s="5"/>
      <c r="J712" s="5"/>
      <c r="K712" s="5"/>
      <c r="L712" s="5"/>
    </row>
    <row r="713" spans="1:12" x14ac:dyDescent="0.25">
      <c r="A713" s="5"/>
      <c r="B713" s="5"/>
      <c r="C713" s="5"/>
      <c r="D713" s="108">
        <v>200</v>
      </c>
      <c r="E713" s="109"/>
      <c r="F713" s="5"/>
      <c r="G713" s="5"/>
      <c r="H713" s="5"/>
      <c r="I713" s="5"/>
      <c r="J713" s="5"/>
      <c r="K713" s="5"/>
      <c r="L713" s="5"/>
    </row>
    <row r="714" spans="1:12" x14ac:dyDescent="0.25">
      <c r="A714" s="5"/>
      <c r="B714" s="5"/>
      <c r="C714" s="5"/>
      <c r="D714" s="106" t="s">
        <v>37</v>
      </c>
      <c r="E714" s="107"/>
      <c r="F714" s="5"/>
      <c r="G714" s="5"/>
      <c r="H714" s="5"/>
      <c r="I714" s="5"/>
      <c r="J714" s="5"/>
      <c r="K714" s="5"/>
      <c r="L714" s="5"/>
    </row>
    <row r="715" spans="1:12" x14ac:dyDescent="0.25">
      <c r="A715" s="5"/>
      <c r="B715" s="5"/>
      <c r="C715" s="5"/>
      <c r="D715" s="108">
        <v>0</v>
      </c>
      <c r="E715" s="109"/>
      <c r="F715" s="5"/>
      <c r="G715" s="5"/>
      <c r="H715" s="5"/>
      <c r="I715" s="5"/>
      <c r="J715" s="5"/>
      <c r="K715" s="5"/>
      <c r="L715" s="5"/>
    </row>
    <row r="716" spans="1:1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x14ac:dyDescent="0.25">
      <c r="A717" s="5" t="s">
        <v>23</v>
      </c>
      <c r="B717" s="5" t="s">
        <v>54</v>
      </c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s="49" customFormat="1" x14ac:dyDescent="0.25"/>
    <row r="721" spans="1:12" x14ac:dyDescent="0.25">
      <c r="A721" s="120" t="s">
        <v>24</v>
      </c>
      <c r="B721" s="120"/>
      <c r="C721" s="120"/>
      <c r="D721" s="120"/>
      <c r="E721" s="120"/>
      <c r="F721" s="120"/>
      <c r="G721" s="120"/>
      <c r="H721" s="120"/>
    </row>
    <row r="722" spans="1:12" x14ac:dyDescent="0.25">
      <c r="A722" s="120"/>
      <c r="B722" s="120"/>
      <c r="C722" s="120"/>
      <c r="D722" s="120"/>
      <c r="E722" s="120"/>
      <c r="F722" s="120"/>
      <c r="G722" s="120"/>
      <c r="H722" s="120"/>
    </row>
    <row r="723" spans="1:12" x14ac:dyDescent="0.25">
      <c r="A723" s="1" t="s">
        <v>4</v>
      </c>
      <c r="B723" s="2"/>
      <c r="C723" s="2"/>
      <c r="D723" s="2"/>
      <c r="E723" s="2"/>
      <c r="F723" s="2"/>
      <c r="G723" s="3" t="s">
        <v>5</v>
      </c>
      <c r="H723" s="3" t="s">
        <v>6</v>
      </c>
      <c r="I723" s="4" t="s">
        <v>7</v>
      </c>
      <c r="J723" s="5"/>
      <c r="K723" s="5"/>
      <c r="L723" s="5"/>
    </row>
    <row r="724" spans="1:12" x14ac:dyDescent="0.25">
      <c r="A724" s="28" t="s">
        <v>80</v>
      </c>
      <c r="B724" s="29" t="s">
        <v>125</v>
      </c>
      <c r="C724" s="67"/>
      <c r="D724" s="66"/>
      <c r="E724" s="2"/>
      <c r="F724" s="2"/>
      <c r="G724" s="28" t="s">
        <v>91</v>
      </c>
      <c r="H724" s="66"/>
      <c r="I724" s="33"/>
      <c r="J724" s="6"/>
      <c r="K724" s="33"/>
      <c r="L724" s="6"/>
    </row>
    <row r="725" spans="1:12" x14ac:dyDescent="0.25">
      <c r="A725" s="7" t="s">
        <v>2</v>
      </c>
      <c r="B725" s="5"/>
      <c r="C725" s="5"/>
      <c r="D725" s="5"/>
      <c r="E725" s="5"/>
      <c r="F725" s="5"/>
      <c r="G725" s="8" t="s">
        <v>8</v>
      </c>
      <c r="H725" s="31"/>
      <c r="I725" s="5"/>
      <c r="J725" s="5"/>
      <c r="K725" s="5"/>
      <c r="L725" s="5"/>
    </row>
    <row r="726" spans="1:12" x14ac:dyDescent="0.25">
      <c r="A726" s="7" t="s">
        <v>25</v>
      </c>
      <c r="B726" s="5"/>
      <c r="C726" s="7" t="s">
        <v>0</v>
      </c>
      <c r="D726" s="5"/>
      <c r="E726" s="5"/>
      <c r="F726" s="5"/>
      <c r="G726" s="7" t="s">
        <v>25</v>
      </c>
      <c r="H726" s="5"/>
      <c r="I726" s="7" t="s">
        <v>0</v>
      </c>
      <c r="J726" s="5"/>
      <c r="K726" s="5"/>
      <c r="L726" s="5"/>
    </row>
    <row r="727" spans="1:12" x14ac:dyDescent="0.25">
      <c r="A727" s="42" t="s">
        <v>124</v>
      </c>
      <c r="B727" s="6"/>
      <c r="C727" s="31">
        <f>L687</f>
        <v>475755</v>
      </c>
      <c r="D727" s="5"/>
      <c r="E727" s="5"/>
      <c r="F727" s="5"/>
      <c r="G727" s="42"/>
      <c r="H727" s="6"/>
      <c r="I727" s="9"/>
      <c r="J727" s="5"/>
      <c r="K727" s="5"/>
      <c r="L727" s="5"/>
    </row>
    <row r="728" spans="1:12" ht="16.5" thickBot="1" x14ac:dyDescent="0.3">
      <c r="A728" s="58"/>
      <c r="B728" s="5"/>
      <c r="C728" s="5"/>
      <c r="D728" s="5"/>
      <c r="E728" s="5"/>
      <c r="F728" s="5"/>
      <c r="G728" s="10"/>
      <c r="H728" s="5"/>
      <c r="I728" s="5"/>
      <c r="J728" s="5"/>
      <c r="K728" s="5"/>
      <c r="L728" s="5"/>
    </row>
    <row r="729" spans="1:12" ht="15.75" thickBot="1" x14ac:dyDescent="0.3">
      <c r="A729" s="121" t="s">
        <v>9</v>
      </c>
      <c r="B729" s="122"/>
      <c r="C729" s="123"/>
      <c r="D729" s="5"/>
      <c r="E729" s="5"/>
      <c r="F729" s="5"/>
      <c r="G729" s="121" t="s">
        <v>26</v>
      </c>
      <c r="H729" s="122"/>
      <c r="I729" s="123"/>
      <c r="J729" s="5"/>
      <c r="K729" s="5"/>
      <c r="L729" s="5"/>
    </row>
    <row r="730" spans="1:12" x14ac:dyDescent="0.25">
      <c r="A730" s="30" t="s">
        <v>38</v>
      </c>
      <c r="B730" s="11"/>
      <c r="C730" s="11"/>
      <c r="D730" s="11"/>
      <c r="E730" s="6"/>
      <c r="F730" s="5"/>
      <c r="G730" s="30" t="str">
        <f>A733</f>
        <v>Jumbo Okahandja to Walvis</v>
      </c>
      <c r="H730" s="11"/>
      <c r="I730" s="11"/>
      <c r="J730" s="11"/>
      <c r="K730" s="11"/>
      <c r="L730" s="6"/>
    </row>
    <row r="731" spans="1:12" ht="15.75" thickBot="1" x14ac:dyDescent="0.3">
      <c r="A731" s="7"/>
      <c r="B731" s="7"/>
      <c r="C731" s="7"/>
      <c r="D731" s="5"/>
      <c r="E731" s="5"/>
      <c r="F731" s="5"/>
      <c r="G731" s="7" t="s">
        <v>3</v>
      </c>
      <c r="H731" s="7"/>
      <c r="I731" s="7"/>
      <c r="J731" s="5"/>
      <c r="K731" s="5"/>
      <c r="L731" s="5"/>
    </row>
    <row r="732" spans="1:12" ht="15.75" thickBot="1" x14ac:dyDescent="0.3">
      <c r="A732" s="121" t="s">
        <v>30</v>
      </c>
      <c r="B732" s="122"/>
      <c r="C732" s="124"/>
      <c r="D732" s="12" t="s">
        <v>1</v>
      </c>
      <c r="E732" s="32"/>
      <c r="F732" s="5"/>
      <c r="G732" s="121" t="s">
        <v>27</v>
      </c>
      <c r="H732" s="122"/>
      <c r="I732" s="123"/>
      <c r="J732" s="5"/>
      <c r="K732" s="12" t="s">
        <v>1</v>
      </c>
      <c r="L732" s="32">
        <v>477214</v>
      </c>
    </row>
    <row r="733" spans="1:12" x14ac:dyDescent="0.25">
      <c r="A733" s="13" t="s">
        <v>120</v>
      </c>
      <c r="B733" s="14"/>
      <c r="C733" s="11"/>
      <c r="D733" s="11"/>
      <c r="E733" s="6"/>
      <c r="F733" s="5"/>
      <c r="G733" s="34" t="str">
        <f>A730</f>
        <v>Windhoek</v>
      </c>
      <c r="H733" s="11"/>
      <c r="I733" s="11"/>
      <c r="J733" s="11"/>
      <c r="K733" s="11"/>
      <c r="L733" s="6"/>
    </row>
    <row r="734" spans="1:12" x14ac:dyDescent="0.25">
      <c r="A734" s="13" t="s">
        <v>126</v>
      </c>
      <c r="B734" s="11"/>
      <c r="C734" s="11"/>
      <c r="D734" s="11"/>
      <c r="E734" s="6"/>
      <c r="F734" s="5"/>
      <c r="G734" s="13"/>
      <c r="H734" s="11"/>
      <c r="I734" s="11"/>
      <c r="J734" s="11"/>
      <c r="K734" s="11"/>
      <c r="L734" s="6"/>
    </row>
    <row r="735" spans="1:12" x14ac:dyDescent="0.25">
      <c r="A735" s="13" t="s">
        <v>127</v>
      </c>
      <c r="B735" s="11"/>
      <c r="C735" s="11"/>
      <c r="D735" s="11"/>
      <c r="E735" s="6"/>
      <c r="F735" s="5"/>
      <c r="G735" s="13"/>
      <c r="H735" s="11"/>
      <c r="I735" s="11"/>
      <c r="J735" s="11"/>
      <c r="K735" s="11"/>
      <c r="L735" s="6"/>
    </row>
    <row r="736" spans="1:12" x14ac:dyDescent="0.25">
      <c r="A736" s="13" t="s">
        <v>128</v>
      </c>
      <c r="B736" s="11"/>
      <c r="C736" s="11"/>
      <c r="D736" s="11"/>
      <c r="E736" s="6"/>
      <c r="F736" s="5"/>
      <c r="G736" s="13"/>
      <c r="H736" s="11"/>
      <c r="I736" s="11"/>
      <c r="J736" s="11"/>
      <c r="K736" s="11"/>
      <c r="L736" s="6"/>
    </row>
    <row r="737" spans="1:13" ht="15.75" thickBot="1" x14ac:dyDescent="0.3">
      <c r="A737" s="13"/>
      <c r="B737" s="11"/>
      <c r="C737" s="11" t="s">
        <v>29</v>
      </c>
      <c r="D737" s="43"/>
      <c r="E737" s="6"/>
      <c r="F737" s="5"/>
      <c r="G737" s="13"/>
      <c r="H737" s="11"/>
      <c r="I737" s="14" t="s">
        <v>28</v>
      </c>
      <c r="J737" s="43"/>
      <c r="K737" s="11"/>
      <c r="L737" s="6"/>
    </row>
    <row r="738" spans="1:13" ht="15.75" thickBot="1" x14ac:dyDescent="0.3">
      <c r="A738" s="15" t="s">
        <v>10</v>
      </c>
      <c r="B738" s="5"/>
      <c r="C738" s="5"/>
      <c r="D738" s="5"/>
      <c r="E738" s="5"/>
      <c r="F738" s="5"/>
      <c r="G738" s="15" t="s">
        <v>14</v>
      </c>
      <c r="H738" s="5"/>
      <c r="I738" s="5"/>
      <c r="J738" s="5"/>
      <c r="K738" s="5"/>
      <c r="L738" s="5"/>
    </row>
    <row r="739" spans="1:13" ht="15.75" thickBot="1" x14ac:dyDescent="0.3">
      <c r="A739" s="121" t="s">
        <v>11</v>
      </c>
      <c r="B739" s="122"/>
      <c r="C739" s="123"/>
      <c r="D739" s="16" t="s">
        <v>12</v>
      </c>
      <c r="E739" s="16" t="s">
        <v>13</v>
      </c>
      <c r="F739" s="5"/>
      <c r="G739" s="121" t="s">
        <v>15</v>
      </c>
      <c r="H739" s="122"/>
      <c r="I739" s="123"/>
      <c r="J739" s="121" t="s">
        <v>13</v>
      </c>
      <c r="K739" s="123"/>
      <c r="L739" s="5"/>
    </row>
    <row r="740" spans="1:13" x14ac:dyDescent="0.25">
      <c r="A740" s="41" t="s">
        <v>131</v>
      </c>
      <c r="B740" s="36" t="s">
        <v>47</v>
      </c>
      <c r="C740" s="37"/>
      <c r="D740" s="50">
        <v>526.28</v>
      </c>
      <c r="E740" s="51">
        <v>12209.7</v>
      </c>
      <c r="F740" s="44">
        <f t="shared" ref="F740:F745" si="15">E740/D740</f>
        <v>23.200007600516837</v>
      </c>
      <c r="G740" s="125"/>
      <c r="H740" s="126"/>
      <c r="I740" s="127"/>
      <c r="J740" s="128"/>
      <c r="K740" s="129"/>
      <c r="L740" s="5"/>
    </row>
    <row r="741" spans="1:13" x14ac:dyDescent="0.25">
      <c r="A741" s="48" t="s">
        <v>129</v>
      </c>
      <c r="B741" s="35" t="s">
        <v>47</v>
      </c>
      <c r="C741" s="39"/>
      <c r="D741" s="52">
        <v>304.97000000000003</v>
      </c>
      <c r="E741" s="53">
        <v>7075.3</v>
      </c>
      <c r="F741" s="44">
        <f t="shared" si="15"/>
        <v>23.199986883955798</v>
      </c>
      <c r="G741" s="110"/>
      <c r="H741" s="111"/>
      <c r="I741" s="112"/>
      <c r="J741" s="113"/>
      <c r="K741" s="114"/>
      <c r="L741" s="5"/>
    </row>
    <row r="742" spans="1:13" x14ac:dyDescent="0.25">
      <c r="A742" s="38"/>
      <c r="B742" s="35"/>
      <c r="C742" s="39"/>
      <c r="D742" s="52"/>
      <c r="E742" s="53"/>
      <c r="F742" s="44" t="e">
        <f t="shared" si="15"/>
        <v>#DIV/0!</v>
      </c>
      <c r="G742" s="110"/>
      <c r="H742" s="111"/>
      <c r="I742" s="112"/>
      <c r="J742" s="113"/>
      <c r="K742" s="114"/>
      <c r="L742" s="5"/>
    </row>
    <row r="743" spans="1:13" x14ac:dyDescent="0.25">
      <c r="A743" s="48"/>
      <c r="B743" s="35"/>
      <c r="C743" s="39"/>
      <c r="D743" s="52"/>
      <c r="E743" s="53"/>
      <c r="F743" s="44" t="e">
        <f t="shared" si="15"/>
        <v>#DIV/0!</v>
      </c>
      <c r="G743" s="110"/>
      <c r="H743" s="111"/>
      <c r="I743" s="112"/>
      <c r="J743" s="113"/>
      <c r="K743" s="114"/>
      <c r="L743" s="5"/>
    </row>
    <row r="744" spans="1:13" x14ac:dyDescent="0.25">
      <c r="A744" s="27"/>
      <c r="B744" s="11"/>
      <c r="C744" s="6"/>
      <c r="D744" s="54"/>
      <c r="E744" s="55"/>
      <c r="F744" s="44" t="e">
        <f t="shared" si="15"/>
        <v>#DIV/0!</v>
      </c>
      <c r="G744" s="110"/>
      <c r="H744" s="111"/>
      <c r="I744" s="112"/>
      <c r="J744" s="113"/>
      <c r="K744" s="114"/>
      <c r="L744" s="5"/>
    </row>
    <row r="745" spans="1:13" x14ac:dyDescent="0.25">
      <c r="A745" s="68"/>
      <c r="B745" s="11"/>
      <c r="C745" s="6"/>
      <c r="D745" s="54"/>
      <c r="E745" s="55"/>
      <c r="F745" s="44" t="e">
        <f t="shared" si="15"/>
        <v>#DIV/0!</v>
      </c>
      <c r="G745" s="110"/>
      <c r="H745" s="111"/>
      <c r="I745" s="112"/>
      <c r="J745" s="113"/>
      <c r="K745" s="114"/>
      <c r="L745" s="5"/>
    </row>
    <row r="746" spans="1:13" ht="15.75" thickBot="1" x14ac:dyDescent="0.3">
      <c r="A746" s="5"/>
      <c r="B746" s="5"/>
      <c r="C746" s="7" t="s">
        <v>35</v>
      </c>
      <c r="D746" s="17">
        <f>D740+D741+D742+D743+D744+D745</f>
        <v>831.25</v>
      </c>
      <c r="E746" s="17">
        <f>E740+E741+E742+E743+E744+E745</f>
        <v>19285</v>
      </c>
      <c r="F746" s="5"/>
      <c r="G746" s="110"/>
      <c r="H746" s="111"/>
      <c r="I746" s="112"/>
      <c r="J746" s="113"/>
      <c r="K746" s="114"/>
      <c r="L746" s="7" t="s">
        <v>36</v>
      </c>
    </row>
    <row r="747" spans="1:13" ht="15.75" thickBot="1" x14ac:dyDescent="0.3">
      <c r="A747" s="5"/>
      <c r="B747" s="5"/>
      <c r="C747" s="5"/>
      <c r="D747" s="5"/>
      <c r="E747" s="5"/>
      <c r="F747" s="5"/>
      <c r="G747" s="130"/>
      <c r="H747" s="131"/>
      <c r="I747" s="132"/>
      <c r="J747" s="133"/>
      <c r="K747" s="134"/>
      <c r="L747" s="18">
        <f>J740+J741+J742+J743+J744+J745+J746+J747</f>
        <v>0</v>
      </c>
    </row>
    <row r="748" spans="1:13" ht="15.75" thickBo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3" ht="15.75" thickBot="1" x14ac:dyDescent="0.3">
      <c r="A749" s="19"/>
      <c r="B749" s="20"/>
      <c r="C749" s="20"/>
      <c r="D749" s="20"/>
      <c r="E749" s="21" t="s">
        <v>13</v>
      </c>
      <c r="F749" s="5"/>
      <c r="G749" s="19"/>
      <c r="H749" s="20"/>
      <c r="I749" s="20"/>
      <c r="J749" s="20"/>
      <c r="K749" s="21" t="s">
        <v>13</v>
      </c>
      <c r="L749" s="5"/>
    </row>
    <row r="750" spans="1:13" x14ac:dyDescent="0.25">
      <c r="A750" s="22" t="s">
        <v>31</v>
      </c>
      <c r="B750" s="115">
        <v>7000</v>
      </c>
      <c r="C750" s="116"/>
      <c r="D750" s="116"/>
      <c r="E750" s="117"/>
      <c r="F750" s="5"/>
      <c r="G750" s="22" t="s">
        <v>32</v>
      </c>
      <c r="H750" s="115">
        <f>11000+9000</f>
        <v>20000</v>
      </c>
      <c r="I750" s="116"/>
      <c r="J750" s="116"/>
      <c r="K750" s="117"/>
      <c r="L750" s="5" t="s">
        <v>129</v>
      </c>
      <c r="M750" t="s">
        <v>130</v>
      </c>
    </row>
    <row r="751" spans="1:13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3" x14ac:dyDescent="0.25">
      <c r="A752" s="7" t="s">
        <v>16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x14ac:dyDescent="0.25">
      <c r="A753" s="9" t="s">
        <v>17</v>
      </c>
      <c r="B753" s="23">
        <f>L732-C727</f>
        <v>1459</v>
      </c>
      <c r="C753" s="5"/>
      <c r="D753" s="106" t="s">
        <v>18</v>
      </c>
      <c r="E753" s="107"/>
      <c r="F753" s="24" t="s">
        <v>19</v>
      </c>
      <c r="G753" s="9" t="s">
        <v>20</v>
      </c>
      <c r="H753" s="118">
        <f>B750+H750</f>
        <v>27000</v>
      </c>
      <c r="I753" s="119"/>
      <c r="J753" s="5"/>
      <c r="K753" s="5"/>
      <c r="L753" s="5"/>
    </row>
    <row r="754" spans="1:12" x14ac:dyDescent="0.25">
      <c r="A754" s="9" t="s">
        <v>41</v>
      </c>
      <c r="B754" s="40">
        <f>B753/D746</f>
        <v>1.7551879699248121</v>
      </c>
      <c r="C754" s="5"/>
      <c r="D754" s="102">
        <f>E746</f>
        <v>19285</v>
      </c>
      <c r="E754" s="103"/>
      <c r="F754" s="25">
        <f>H754/B753</f>
        <v>14.066278272789582</v>
      </c>
      <c r="G754" s="9" t="s">
        <v>21</v>
      </c>
      <c r="H754" s="104">
        <f>L747+D754+D756+D758+D760+A757</f>
        <v>20522.7</v>
      </c>
      <c r="I754" s="105"/>
      <c r="J754" s="5"/>
      <c r="K754" s="5"/>
      <c r="L754" s="5"/>
    </row>
    <row r="755" spans="1:12" x14ac:dyDescent="0.25">
      <c r="A755" s="9" t="s">
        <v>43</v>
      </c>
      <c r="B755" s="23">
        <f>D746/B753</f>
        <v>0.56973954763536672</v>
      </c>
      <c r="C755" s="5"/>
      <c r="D755" s="106" t="s">
        <v>33</v>
      </c>
      <c r="E755" s="107"/>
      <c r="F755" s="5"/>
      <c r="G755" s="13" t="s">
        <v>22</v>
      </c>
      <c r="H755" s="6"/>
      <c r="I755" s="26">
        <f>H753-H754</f>
        <v>6477.2999999999993</v>
      </c>
      <c r="J755" s="5"/>
      <c r="K755" s="5"/>
      <c r="L755" s="5"/>
    </row>
    <row r="756" spans="1:12" x14ac:dyDescent="0.25">
      <c r="A756" s="106" t="s">
        <v>40</v>
      </c>
      <c r="B756" s="107"/>
      <c r="C756" s="5"/>
      <c r="D756" s="108">
        <v>800</v>
      </c>
      <c r="E756" s="109"/>
      <c r="F756" s="5"/>
      <c r="G756" s="5"/>
      <c r="H756" s="5"/>
      <c r="I756" s="5"/>
      <c r="J756" s="5"/>
      <c r="K756" s="5"/>
      <c r="L756" s="5"/>
    </row>
    <row r="757" spans="1:12" x14ac:dyDescent="0.25">
      <c r="A757" s="108">
        <f>B753*0.3</f>
        <v>437.7</v>
      </c>
      <c r="B757" s="109"/>
      <c r="C757" s="5"/>
      <c r="D757" s="106" t="s">
        <v>34</v>
      </c>
      <c r="E757" s="107"/>
      <c r="F757" s="5"/>
      <c r="G757" s="5"/>
      <c r="H757" s="5"/>
      <c r="I757" s="5"/>
      <c r="J757" s="5"/>
      <c r="K757" s="5"/>
      <c r="L757" s="5"/>
    </row>
    <row r="758" spans="1:12" x14ac:dyDescent="0.25">
      <c r="A758" s="5"/>
      <c r="B758" s="5"/>
      <c r="C758" s="5"/>
      <c r="D758" s="108"/>
      <c r="E758" s="109"/>
      <c r="F758" s="5"/>
      <c r="G758" s="5"/>
      <c r="H758" s="5"/>
      <c r="I758" s="5"/>
      <c r="J758" s="5"/>
      <c r="K758" s="5"/>
      <c r="L758" s="5"/>
    </row>
    <row r="759" spans="1:12" x14ac:dyDescent="0.25">
      <c r="A759" s="5"/>
      <c r="B759" s="5"/>
      <c r="C759" s="5"/>
      <c r="D759" s="106" t="s">
        <v>37</v>
      </c>
      <c r="E759" s="107"/>
      <c r="F759" s="5"/>
      <c r="G759" s="5"/>
      <c r="H759" s="5"/>
      <c r="I759" s="5"/>
      <c r="J759" s="5"/>
      <c r="K759" s="5"/>
      <c r="L759" s="5"/>
    </row>
    <row r="760" spans="1:12" x14ac:dyDescent="0.25">
      <c r="A760" s="5"/>
      <c r="B760" s="5"/>
      <c r="C760" s="5"/>
      <c r="D760" s="108">
        <v>0</v>
      </c>
      <c r="E760" s="109"/>
      <c r="F760" s="5"/>
      <c r="G760" s="5"/>
      <c r="H760" s="5"/>
      <c r="I760" s="5"/>
      <c r="J760" s="5"/>
      <c r="K760" s="5"/>
      <c r="L760" s="5"/>
    </row>
    <row r="761" spans="1:1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x14ac:dyDescent="0.25">
      <c r="A762" s="5" t="s">
        <v>23</v>
      </c>
      <c r="B762" s="5" t="s">
        <v>54</v>
      </c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s="49" customFormat="1" x14ac:dyDescent="0.25"/>
    <row r="766" spans="1:12" x14ac:dyDescent="0.25">
      <c r="A766" s="120" t="s">
        <v>24</v>
      </c>
      <c r="B766" s="120"/>
      <c r="C766" s="120"/>
      <c r="D766" s="120"/>
      <c r="E766" s="120"/>
      <c r="F766" s="120"/>
      <c r="G766" s="120"/>
      <c r="H766" s="120"/>
    </row>
    <row r="767" spans="1:12" x14ac:dyDescent="0.25">
      <c r="A767" s="120"/>
      <c r="B767" s="120"/>
      <c r="C767" s="120"/>
      <c r="D767" s="120"/>
      <c r="E767" s="120"/>
      <c r="F767" s="120"/>
      <c r="G767" s="120"/>
      <c r="H767" s="120"/>
    </row>
    <row r="768" spans="1:12" x14ac:dyDescent="0.25">
      <c r="A768" s="1" t="s">
        <v>4</v>
      </c>
      <c r="B768" s="2"/>
      <c r="C768" s="2"/>
      <c r="D768" s="2"/>
      <c r="E768" s="2"/>
      <c r="F768" s="2"/>
      <c r="G768" s="3" t="s">
        <v>5</v>
      </c>
      <c r="H768" s="3" t="s">
        <v>6</v>
      </c>
      <c r="I768" s="4" t="s">
        <v>7</v>
      </c>
      <c r="J768" s="5"/>
      <c r="K768" s="5"/>
      <c r="L768" s="5"/>
    </row>
    <row r="769" spans="1:12" ht="15" customHeight="1" x14ac:dyDescent="0.25">
      <c r="A769" s="28" t="s">
        <v>80</v>
      </c>
      <c r="B769" s="29" t="s">
        <v>42</v>
      </c>
      <c r="C769" s="67"/>
      <c r="D769" s="66"/>
      <c r="E769" s="2"/>
      <c r="F769" s="2"/>
      <c r="G769" s="28" t="s">
        <v>91</v>
      </c>
      <c r="H769" s="66"/>
      <c r="I769" s="33"/>
      <c r="J769" s="6"/>
      <c r="K769" s="33"/>
      <c r="L769" s="6"/>
    </row>
    <row r="770" spans="1:12" ht="15" customHeight="1" x14ac:dyDescent="0.25">
      <c r="A770" s="7" t="s">
        <v>2</v>
      </c>
      <c r="B770" s="5"/>
      <c r="C770" s="5"/>
      <c r="D770" s="5"/>
      <c r="E770" s="5"/>
      <c r="F770" s="5"/>
      <c r="G770" s="8" t="s">
        <v>8</v>
      </c>
      <c r="H770" s="31"/>
      <c r="I770" s="5"/>
      <c r="J770" s="5"/>
      <c r="K770" s="5"/>
      <c r="L770" s="5"/>
    </row>
    <row r="771" spans="1:12" x14ac:dyDescent="0.25">
      <c r="A771" s="7" t="s">
        <v>25</v>
      </c>
      <c r="B771" s="5"/>
      <c r="C771" s="7" t="s">
        <v>0</v>
      </c>
      <c r="D771" s="5"/>
      <c r="E771" s="5"/>
      <c r="F771" s="5"/>
      <c r="G771" s="7" t="s">
        <v>25</v>
      </c>
      <c r="H771" s="5"/>
      <c r="I771" s="7" t="s">
        <v>0</v>
      </c>
      <c r="J771" s="5"/>
      <c r="K771" s="5"/>
      <c r="L771" s="5"/>
    </row>
    <row r="772" spans="1:12" x14ac:dyDescent="0.25">
      <c r="A772" s="42" t="s">
        <v>132</v>
      </c>
      <c r="B772" s="6"/>
      <c r="C772" s="31">
        <f>L732</f>
        <v>477214</v>
      </c>
      <c r="D772" s="5"/>
      <c r="E772" s="5"/>
      <c r="F772" s="5"/>
      <c r="G772" s="42"/>
      <c r="H772" s="6"/>
      <c r="I772" s="9"/>
      <c r="J772" s="5"/>
      <c r="K772" s="5"/>
      <c r="L772" s="5"/>
    </row>
    <row r="773" spans="1:12" ht="16.5" thickBot="1" x14ac:dyDescent="0.3">
      <c r="A773" s="58"/>
      <c r="B773" s="5"/>
      <c r="C773" s="5"/>
      <c r="D773" s="5"/>
      <c r="E773" s="5"/>
      <c r="F773" s="5"/>
      <c r="G773" s="10"/>
      <c r="H773" s="5"/>
      <c r="I773" s="5"/>
      <c r="J773" s="5"/>
      <c r="K773" s="5"/>
      <c r="L773" s="5"/>
    </row>
    <row r="774" spans="1:12" ht="15.75" thickBot="1" x14ac:dyDescent="0.3">
      <c r="A774" s="121" t="s">
        <v>9</v>
      </c>
      <c r="B774" s="122"/>
      <c r="C774" s="123"/>
      <c r="D774" s="5"/>
      <c r="E774" s="5"/>
      <c r="F774" s="5"/>
      <c r="G774" s="121" t="s">
        <v>26</v>
      </c>
      <c r="H774" s="122"/>
      <c r="I774" s="123"/>
      <c r="J774" s="5"/>
      <c r="K774" s="5"/>
      <c r="L774" s="5"/>
    </row>
    <row r="775" spans="1:12" x14ac:dyDescent="0.25">
      <c r="A775" s="30" t="s">
        <v>38</v>
      </c>
      <c r="B775" s="11"/>
      <c r="C775" s="11"/>
      <c r="D775" s="11"/>
      <c r="E775" s="6"/>
      <c r="F775" s="5"/>
      <c r="G775" s="30" t="str">
        <f>A778</f>
        <v>Otjiwarogo</v>
      </c>
      <c r="H775" s="11"/>
      <c r="I775" s="11"/>
      <c r="J775" s="11"/>
      <c r="K775" s="11"/>
      <c r="L775" s="6"/>
    </row>
    <row r="776" spans="1:12" ht="15.75" thickBot="1" x14ac:dyDescent="0.3">
      <c r="A776" s="7"/>
      <c r="B776" s="7"/>
      <c r="C776" s="7"/>
      <c r="D776" s="5"/>
      <c r="E776" s="5"/>
      <c r="F776" s="5"/>
      <c r="G776" s="7" t="s">
        <v>3</v>
      </c>
      <c r="H776" s="7"/>
      <c r="I776" s="7"/>
      <c r="J776" s="5"/>
      <c r="K776" s="5"/>
      <c r="L776" s="5"/>
    </row>
    <row r="777" spans="1:12" ht="15.75" thickBot="1" x14ac:dyDescent="0.3">
      <c r="A777" s="121" t="s">
        <v>30</v>
      </c>
      <c r="B777" s="122"/>
      <c r="C777" s="124"/>
      <c r="D777" s="12" t="s">
        <v>1</v>
      </c>
      <c r="E777" s="32"/>
      <c r="F777" s="5"/>
      <c r="G777" s="121" t="s">
        <v>27</v>
      </c>
      <c r="H777" s="122"/>
      <c r="I777" s="123"/>
      <c r="J777" s="5"/>
      <c r="K777" s="12" t="s">
        <v>1</v>
      </c>
      <c r="L777" s="32">
        <v>478250</v>
      </c>
    </row>
    <row r="778" spans="1:12" x14ac:dyDescent="0.25">
      <c r="A778" s="13" t="s">
        <v>145</v>
      </c>
      <c r="B778" s="14"/>
      <c r="C778" s="11"/>
      <c r="D778" s="11"/>
      <c r="E778" s="6"/>
      <c r="F778" s="5"/>
      <c r="G778" s="34" t="str">
        <f>A775</f>
        <v>Windhoek</v>
      </c>
      <c r="H778" s="11"/>
      <c r="I778" s="11"/>
      <c r="J778" s="11"/>
      <c r="K778" s="11"/>
      <c r="L778" s="6"/>
    </row>
    <row r="779" spans="1:12" x14ac:dyDescent="0.25">
      <c r="A779" s="13"/>
      <c r="B779" s="11"/>
      <c r="C779" s="11"/>
      <c r="D779" s="11"/>
      <c r="E779" s="6"/>
      <c r="F779" s="5"/>
      <c r="G779" s="13"/>
      <c r="H779" s="11"/>
      <c r="I779" s="11"/>
      <c r="J779" s="11"/>
      <c r="K779" s="11"/>
      <c r="L779" s="6"/>
    </row>
    <row r="780" spans="1:12" x14ac:dyDescent="0.25">
      <c r="A780" s="13"/>
      <c r="B780" s="11"/>
      <c r="C780" s="11"/>
      <c r="D780" s="11"/>
      <c r="E780" s="6"/>
      <c r="F780" s="5"/>
      <c r="G780" s="13"/>
      <c r="H780" s="11"/>
      <c r="I780" s="11"/>
      <c r="J780" s="11"/>
      <c r="K780" s="11"/>
      <c r="L780" s="6"/>
    </row>
    <row r="781" spans="1:12" x14ac:dyDescent="0.25">
      <c r="A781" s="13"/>
      <c r="B781" s="11"/>
      <c r="C781" s="11"/>
      <c r="D781" s="11"/>
      <c r="E781" s="6"/>
      <c r="F781" s="5"/>
      <c r="G781" s="13"/>
      <c r="H781" s="11"/>
      <c r="I781" s="11"/>
      <c r="J781" s="11"/>
      <c r="K781" s="11"/>
      <c r="L781" s="6"/>
    </row>
    <row r="782" spans="1:12" ht="15.75" thickBot="1" x14ac:dyDescent="0.3">
      <c r="A782" s="13"/>
      <c r="B782" s="11"/>
      <c r="C782" s="11" t="s">
        <v>29</v>
      </c>
      <c r="D782" s="43"/>
      <c r="E782" s="6"/>
      <c r="F782" s="5"/>
      <c r="G782" s="13"/>
      <c r="H782" s="11"/>
      <c r="I782" s="14" t="s">
        <v>28</v>
      </c>
      <c r="J782" s="43"/>
      <c r="K782" s="11"/>
      <c r="L782" s="6"/>
    </row>
    <row r="783" spans="1:12" ht="15.75" thickBot="1" x14ac:dyDescent="0.3">
      <c r="A783" s="15" t="s">
        <v>10</v>
      </c>
      <c r="B783" s="5"/>
      <c r="C783" s="5"/>
      <c r="D783" s="5"/>
      <c r="E783" s="5"/>
      <c r="F783" s="5"/>
      <c r="G783" s="15" t="s">
        <v>14</v>
      </c>
      <c r="H783" s="5"/>
      <c r="I783" s="5"/>
      <c r="J783" s="5"/>
      <c r="K783" s="5"/>
      <c r="L783" s="5"/>
    </row>
    <row r="784" spans="1:12" ht="15.75" thickBot="1" x14ac:dyDescent="0.3">
      <c r="A784" s="121" t="s">
        <v>11</v>
      </c>
      <c r="B784" s="122"/>
      <c r="C784" s="123"/>
      <c r="D784" s="16" t="s">
        <v>12</v>
      </c>
      <c r="E784" s="16" t="s">
        <v>13</v>
      </c>
      <c r="F784" s="5"/>
      <c r="G784" s="121" t="s">
        <v>15</v>
      </c>
      <c r="H784" s="122"/>
      <c r="I784" s="123"/>
      <c r="J784" s="121" t="s">
        <v>13</v>
      </c>
      <c r="K784" s="123"/>
      <c r="L784" s="5"/>
    </row>
    <row r="785" spans="1:14" x14ac:dyDescent="0.25">
      <c r="A785" s="41">
        <v>44689</v>
      </c>
      <c r="B785" s="36" t="s">
        <v>47</v>
      </c>
      <c r="C785" s="37"/>
      <c r="D785" s="50">
        <v>433.13</v>
      </c>
      <c r="E785" s="51">
        <v>10048.65</v>
      </c>
      <c r="F785" s="44">
        <f t="shared" ref="F785:F790" si="16">E785/D785</f>
        <v>23.200078498372314</v>
      </c>
      <c r="G785" s="125"/>
      <c r="H785" s="126"/>
      <c r="I785" s="127"/>
      <c r="J785" s="128"/>
      <c r="K785" s="129"/>
      <c r="L785" s="5"/>
    </row>
    <row r="786" spans="1:14" x14ac:dyDescent="0.25">
      <c r="A786" s="48"/>
      <c r="B786" s="35"/>
      <c r="C786" s="39"/>
      <c r="D786" s="52"/>
      <c r="E786" s="53"/>
      <c r="F786" s="44" t="e">
        <f t="shared" si="16"/>
        <v>#DIV/0!</v>
      </c>
      <c r="G786" s="110"/>
      <c r="H786" s="111"/>
      <c r="I786" s="112"/>
      <c r="J786" s="113"/>
      <c r="K786" s="114"/>
      <c r="L786" s="5"/>
    </row>
    <row r="787" spans="1:14" x14ac:dyDescent="0.25">
      <c r="A787" s="38"/>
      <c r="B787" s="35"/>
      <c r="C787" s="39"/>
      <c r="D787" s="52"/>
      <c r="E787" s="53"/>
      <c r="F787" s="44" t="e">
        <f t="shared" si="16"/>
        <v>#DIV/0!</v>
      </c>
      <c r="G787" s="110"/>
      <c r="H787" s="111"/>
      <c r="I787" s="112"/>
      <c r="J787" s="113"/>
      <c r="K787" s="114"/>
      <c r="L787" s="5"/>
    </row>
    <row r="788" spans="1:14" x14ac:dyDescent="0.25">
      <c r="A788" s="48"/>
      <c r="B788" s="35"/>
      <c r="C788" s="39"/>
      <c r="D788" s="52"/>
      <c r="E788" s="53"/>
      <c r="F788" s="44" t="e">
        <f t="shared" si="16"/>
        <v>#DIV/0!</v>
      </c>
      <c r="G788" s="110"/>
      <c r="H788" s="111"/>
      <c r="I788" s="112"/>
      <c r="J788" s="113"/>
      <c r="K788" s="114"/>
      <c r="L788" s="5"/>
      <c r="N788">
        <v>479886</v>
      </c>
    </row>
    <row r="789" spans="1:14" x14ac:dyDescent="0.25">
      <c r="A789" s="27"/>
      <c r="B789" s="11"/>
      <c r="C789" s="6"/>
      <c r="D789" s="54"/>
      <c r="E789" s="55"/>
      <c r="F789" s="44" t="e">
        <f t="shared" si="16"/>
        <v>#DIV/0!</v>
      </c>
      <c r="G789" s="110"/>
      <c r="H789" s="111"/>
      <c r="I789" s="112"/>
      <c r="J789" s="113"/>
      <c r="K789" s="114"/>
      <c r="L789" s="5"/>
      <c r="N789">
        <v>-478250</v>
      </c>
    </row>
    <row r="790" spans="1:14" x14ac:dyDescent="0.25">
      <c r="A790" s="68"/>
      <c r="B790" s="11"/>
      <c r="C790" s="6"/>
      <c r="D790" s="54"/>
      <c r="E790" s="55"/>
      <c r="F790" s="44" t="e">
        <f t="shared" si="16"/>
        <v>#DIV/0!</v>
      </c>
      <c r="G790" s="110"/>
      <c r="H790" s="111"/>
      <c r="I790" s="112"/>
      <c r="J790" s="113"/>
      <c r="K790" s="114"/>
      <c r="L790" s="5"/>
      <c r="N790">
        <f>SUM(N788:N789)</f>
        <v>1636</v>
      </c>
    </row>
    <row r="791" spans="1:14" ht="15.75" thickBot="1" x14ac:dyDescent="0.3">
      <c r="A791" s="5"/>
      <c r="B791" s="5"/>
      <c r="C791" s="7" t="s">
        <v>35</v>
      </c>
      <c r="D791" s="17">
        <f>D785+D786+D787+D788+D789+D790</f>
        <v>433.13</v>
      </c>
      <c r="E791" s="17">
        <f>E785+E786+E787+E788+E789+E790</f>
        <v>10048.65</v>
      </c>
      <c r="F791" s="5"/>
      <c r="G791" s="110"/>
      <c r="H791" s="111"/>
      <c r="I791" s="112"/>
      <c r="J791" s="113"/>
      <c r="K791" s="114"/>
      <c r="L791" s="7" t="s">
        <v>36</v>
      </c>
    </row>
    <row r="792" spans="1:14" ht="15.75" thickBot="1" x14ac:dyDescent="0.3">
      <c r="A792" s="5"/>
      <c r="B792" s="5"/>
      <c r="C792" s="5"/>
      <c r="D792" s="5"/>
      <c r="E792" s="5"/>
      <c r="F792" s="5"/>
      <c r="G792" s="130"/>
      <c r="H792" s="131"/>
      <c r="I792" s="132"/>
      <c r="J792" s="133"/>
      <c r="K792" s="134"/>
      <c r="L792" s="18">
        <f>J785+J786+J787+J788+J789+J790+J791+J792</f>
        <v>0</v>
      </c>
    </row>
    <row r="793" spans="1:14" ht="15.75" thickBo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4" ht="15.75" thickBot="1" x14ac:dyDescent="0.3">
      <c r="A794" s="19"/>
      <c r="B794" s="20"/>
      <c r="C794" s="20"/>
      <c r="D794" s="20"/>
      <c r="E794" s="21" t="s">
        <v>13</v>
      </c>
      <c r="F794" s="5"/>
      <c r="G794" s="19"/>
      <c r="H794" s="20"/>
      <c r="I794" s="20"/>
      <c r="J794" s="20"/>
      <c r="K794" s="21" t="s">
        <v>13</v>
      </c>
      <c r="L794" s="5"/>
    </row>
    <row r="795" spans="1:14" x14ac:dyDescent="0.25">
      <c r="A795" s="22" t="s">
        <v>31</v>
      </c>
      <c r="B795" s="115">
        <v>8786</v>
      </c>
      <c r="C795" s="116"/>
      <c r="D795" s="116"/>
      <c r="E795" s="117"/>
      <c r="F795" s="5"/>
      <c r="G795" s="22" t="s">
        <v>32</v>
      </c>
      <c r="H795" s="115">
        <f>1170+1170</f>
        <v>2340</v>
      </c>
      <c r="I795" s="116"/>
      <c r="J795" s="116"/>
      <c r="K795" s="117"/>
      <c r="L795" s="5"/>
    </row>
    <row r="796" spans="1:14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4" x14ac:dyDescent="0.25">
      <c r="A797" s="7" t="s">
        <v>16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4" x14ac:dyDescent="0.25">
      <c r="A798" s="9" t="s">
        <v>17</v>
      </c>
      <c r="B798" s="23">
        <f>L777-C772</f>
        <v>1036</v>
      </c>
      <c r="C798" s="5"/>
      <c r="D798" s="106" t="s">
        <v>18</v>
      </c>
      <c r="E798" s="107"/>
      <c r="F798" s="24" t="s">
        <v>19</v>
      </c>
      <c r="G798" s="9" t="s">
        <v>20</v>
      </c>
      <c r="H798" s="118">
        <f>B795+H795</f>
        <v>11126</v>
      </c>
      <c r="I798" s="119"/>
      <c r="J798" s="5"/>
      <c r="K798" s="5"/>
      <c r="L798" s="5"/>
    </row>
    <row r="799" spans="1:14" x14ac:dyDescent="0.25">
      <c r="A799" s="9" t="s">
        <v>41</v>
      </c>
      <c r="B799" s="40">
        <f>B798/D791</f>
        <v>2.3918915798951814</v>
      </c>
      <c r="C799" s="5"/>
      <c r="D799" s="102">
        <f>E791</f>
        <v>10048.65</v>
      </c>
      <c r="E799" s="103"/>
      <c r="F799" s="25">
        <f>H799/B798</f>
        <v>10.240357142857142</v>
      </c>
      <c r="G799" s="9" t="s">
        <v>21</v>
      </c>
      <c r="H799" s="104">
        <f>L792+D799+D801+D803+D805+A802</f>
        <v>10609.01</v>
      </c>
      <c r="I799" s="105"/>
      <c r="J799" s="5"/>
      <c r="K799" s="5"/>
      <c r="L799" s="5"/>
    </row>
    <row r="800" spans="1:14" x14ac:dyDescent="0.25">
      <c r="A800" s="9" t="s">
        <v>43</v>
      </c>
      <c r="B800" s="23">
        <f>D791/B798</f>
        <v>0.41807915057915057</v>
      </c>
      <c r="C800" s="5"/>
      <c r="D800" s="106" t="s">
        <v>33</v>
      </c>
      <c r="E800" s="107"/>
      <c r="F800" s="5"/>
      <c r="G800" s="13" t="s">
        <v>22</v>
      </c>
      <c r="H800" s="6"/>
      <c r="I800" s="26">
        <f>H798-H799</f>
        <v>516.98999999999978</v>
      </c>
      <c r="J800" s="5"/>
      <c r="K800" s="5"/>
      <c r="L800" s="5"/>
    </row>
    <row r="801" spans="1:12" x14ac:dyDescent="0.25">
      <c r="A801" s="106" t="s">
        <v>40</v>
      </c>
      <c r="B801" s="107"/>
      <c r="C801" s="5"/>
      <c r="D801" s="108">
        <v>250</v>
      </c>
      <c r="E801" s="109"/>
      <c r="F801" s="5"/>
      <c r="G801" s="5"/>
      <c r="H801" s="5"/>
      <c r="I801" s="5"/>
      <c r="J801" s="5"/>
      <c r="K801" s="5"/>
      <c r="L801" s="5"/>
    </row>
    <row r="802" spans="1:12" x14ac:dyDescent="0.25">
      <c r="A802" s="108">
        <f>B798*0.01</f>
        <v>10.36</v>
      </c>
      <c r="B802" s="109"/>
      <c r="C802" s="5"/>
      <c r="D802" s="106" t="s">
        <v>34</v>
      </c>
      <c r="E802" s="107"/>
      <c r="F802" s="5"/>
      <c r="G802" s="5"/>
      <c r="H802" s="5"/>
      <c r="I802" s="5"/>
      <c r="J802" s="5"/>
      <c r="K802" s="5"/>
      <c r="L802" s="5"/>
    </row>
    <row r="803" spans="1:12" x14ac:dyDescent="0.25">
      <c r="A803" s="5"/>
      <c r="B803" s="5"/>
      <c r="C803" s="5"/>
      <c r="D803" s="108">
        <v>100</v>
      </c>
      <c r="E803" s="109"/>
      <c r="F803" s="5"/>
      <c r="G803" s="5"/>
      <c r="H803" s="5"/>
      <c r="I803" s="5"/>
      <c r="J803" s="5"/>
      <c r="K803" s="5"/>
      <c r="L803" s="5"/>
    </row>
    <row r="804" spans="1:12" x14ac:dyDescent="0.25">
      <c r="A804" s="5"/>
      <c r="B804" s="5"/>
      <c r="C804" s="5"/>
      <c r="D804" s="106" t="s">
        <v>37</v>
      </c>
      <c r="E804" s="107"/>
      <c r="F804" s="5"/>
      <c r="G804" s="5">
        <f>500*0.4</f>
        <v>200</v>
      </c>
      <c r="H804" s="5"/>
      <c r="I804" s="5"/>
      <c r="J804" s="5"/>
      <c r="K804" s="5"/>
      <c r="L804" s="5"/>
    </row>
    <row r="805" spans="1:12" x14ac:dyDescent="0.25">
      <c r="A805" s="5"/>
      <c r="B805" s="5"/>
      <c r="C805" s="5"/>
      <c r="D805" s="108">
        <v>200</v>
      </c>
      <c r="E805" s="109"/>
      <c r="F805" s="5"/>
      <c r="G805" s="5"/>
      <c r="H805" s="5"/>
      <c r="I805" s="5"/>
      <c r="J805" s="5"/>
      <c r="K805" s="5"/>
      <c r="L805" s="5"/>
    </row>
    <row r="806" spans="1:1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x14ac:dyDescent="0.25">
      <c r="A807" s="5" t="s">
        <v>23</v>
      </c>
      <c r="B807" s="5" t="s">
        <v>54</v>
      </c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s="49" customFormat="1" x14ac:dyDescent="0.25"/>
    <row r="811" spans="1:12" x14ac:dyDescent="0.25">
      <c r="A811" s="120" t="s">
        <v>24</v>
      </c>
      <c r="B811" s="120"/>
      <c r="C811" s="120"/>
      <c r="D811" s="120"/>
      <c r="E811" s="120"/>
      <c r="F811" s="120"/>
      <c r="G811" s="120"/>
      <c r="H811" s="120"/>
    </row>
    <row r="812" spans="1:12" x14ac:dyDescent="0.25">
      <c r="A812" s="120"/>
      <c r="B812" s="120"/>
      <c r="C812" s="120"/>
      <c r="D812" s="120"/>
      <c r="E812" s="120"/>
      <c r="F812" s="120"/>
      <c r="G812" s="120"/>
      <c r="H812" s="120"/>
    </row>
    <row r="813" spans="1:12" x14ac:dyDescent="0.25">
      <c r="A813" s="1" t="s">
        <v>4</v>
      </c>
      <c r="B813" s="2"/>
      <c r="C813" s="2"/>
      <c r="D813" s="2"/>
      <c r="E813" s="2"/>
      <c r="F813" s="2"/>
      <c r="G813" s="3" t="s">
        <v>5</v>
      </c>
      <c r="H813" s="3" t="s">
        <v>6</v>
      </c>
      <c r="I813" s="4" t="s">
        <v>7</v>
      </c>
      <c r="J813" s="5"/>
      <c r="K813" s="5"/>
      <c r="L813" s="5"/>
    </row>
    <row r="814" spans="1:12" x14ac:dyDescent="0.25">
      <c r="A814" s="28" t="s">
        <v>80</v>
      </c>
      <c r="B814" s="29" t="s">
        <v>42</v>
      </c>
      <c r="C814" s="67"/>
      <c r="D814" s="66"/>
      <c r="E814" s="2"/>
      <c r="F814" s="2"/>
      <c r="G814" s="28" t="s">
        <v>91</v>
      </c>
      <c r="H814" s="66"/>
      <c r="I814" s="33"/>
      <c r="J814" s="6"/>
      <c r="K814" s="33"/>
      <c r="L814" s="6"/>
    </row>
    <row r="815" spans="1:12" x14ac:dyDescent="0.25">
      <c r="A815" s="7" t="s">
        <v>2</v>
      </c>
      <c r="B815" s="5"/>
      <c r="C815" s="5"/>
      <c r="D815" s="5"/>
      <c r="E815" s="5"/>
      <c r="F815" s="5"/>
      <c r="G815" s="8" t="s">
        <v>8</v>
      </c>
      <c r="H815" s="31"/>
      <c r="I815" s="5"/>
      <c r="J815" s="5"/>
      <c r="K815" s="5"/>
      <c r="L815" s="5"/>
    </row>
    <row r="816" spans="1:12" x14ac:dyDescent="0.25">
      <c r="A816" s="7" t="s">
        <v>25</v>
      </c>
      <c r="B816" s="5"/>
      <c r="C816" s="7" t="s">
        <v>0</v>
      </c>
      <c r="D816" s="5"/>
      <c r="E816" s="5"/>
      <c r="F816" s="5"/>
      <c r="G816" s="7" t="s">
        <v>25</v>
      </c>
      <c r="H816" s="5"/>
      <c r="I816" s="7" t="s">
        <v>0</v>
      </c>
      <c r="J816" s="5"/>
      <c r="K816" s="5"/>
      <c r="L816" s="5"/>
    </row>
    <row r="817" spans="1:12" x14ac:dyDescent="0.25">
      <c r="A817" s="42">
        <v>44689</v>
      </c>
      <c r="B817" s="6"/>
      <c r="C817" s="31">
        <f>L777</f>
        <v>478250</v>
      </c>
      <c r="D817" s="5"/>
      <c r="E817" s="5"/>
      <c r="F817" s="5"/>
      <c r="G817" s="42"/>
      <c r="H817" s="6"/>
      <c r="I817" s="9"/>
      <c r="J817" s="5"/>
      <c r="K817" s="5"/>
      <c r="L817" s="5"/>
    </row>
    <row r="818" spans="1:12" ht="16.5" thickBot="1" x14ac:dyDescent="0.3">
      <c r="A818" s="58"/>
      <c r="B818" s="5"/>
      <c r="C818" s="5"/>
      <c r="D818" s="5"/>
      <c r="E818" s="5"/>
      <c r="F818" s="5"/>
      <c r="G818" s="10"/>
      <c r="H818" s="5"/>
      <c r="I818" s="5"/>
      <c r="J818" s="5"/>
      <c r="K818" s="5"/>
      <c r="L818" s="5"/>
    </row>
    <row r="819" spans="1:12" ht="15.75" thickBot="1" x14ac:dyDescent="0.3">
      <c r="A819" s="121" t="s">
        <v>9</v>
      </c>
      <c r="B819" s="122"/>
      <c r="C819" s="123"/>
      <c r="D819" s="5"/>
      <c r="E819" s="5"/>
      <c r="F819" s="5"/>
      <c r="G819" s="121" t="s">
        <v>26</v>
      </c>
      <c r="H819" s="122"/>
      <c r="I819" s="123"/>
      <c r="J819" s="5"/>
      <c r="K819" s="5"/>
      <c r="L819" s="5"/>
    </row>
    <row r="820" spans="1:12" x14ac:dyDescent="0.25">
      <c r="A820" s="30" t="s">
        <v>38</v>
      </c>
      <c r="B820" s="11"/>
      <c r="C820" s="11"/>
      <c r="D820" s="11"/>
      <c r="E820" s="6"/>
      <c r="F820" s="5"/>
      <c r="G820" s="30" t="str">
        <f>A823</f>
        <v>Rundu</v>
      </c>
      <c r="H820" s="11"/>
      <c r="I820" s="11"/>
      <c r="J820" s="11"/>
      <c r="K820" s="11"/>
      <c r="L820" s="6"/>
    </row>
    <row r="821" spans="1:12" ht="15.75" thickBot="1" x14ac:dyDescent="0.3">
      <c r="A821" s="7"/>
      <c r="B821" s="7"/>
      <c r="C821" s="7"/>
      <c r="D821" s="5"/>
      <c r="E821" s="5"/>
      <c r="F821" s="5"/>
      <c r="G821" s="7" t="s">
        <v>3</v>
      </c>
      <c r="H821" s="7"/>
      <c r="I821" s="7"/>
      <c r="J821" s="5"/>
      <c r="K821" s="5"/>
      <c r="L821" s="5"/>
    </row>
    <row r="822" spans="1:12" ht="15.75" thickBot="1" x14ac:dyDescent="0.3">
      <c r="A822" s="121" t="s">
        <v>30</v>
      </c>
      <c r="B822" s="122"/>
      <c r="C822" s="124"/>
      <c r="D822" s="12" t="s">
        <v>1</v>
      </c>
      <c r="E822" s="32"/>
      <c r="F822" s="5"/>
      <c r="G822" s="121" t="s">
        <v>27</v>
      </c>
      <c r="H822" s="122"/>
      <c r="I822" s="123"/>
      <c r="J822" s="5"/>
      <c r="K822" s="12" t="s">
        <v>1</v>
      </c>
      <c r="L822" s="32">
        <v>479886</v>
      </c>
    </row>
    <row r="823" spans="1:12" x14ac:dyDescent="0.25">
      <c r="A823" s="13" t="s">
        <v>49</v>
      </c>
      <c r="B823" s="14"/>
      <c r="C823" s="11"/>
      <c r="D823" s="11"/>
      <c r="E823" s="6"/>
      <c r="F823" s="5"/>
      <c r="G823" s="34" t="str">
        <f>A820</f>
        <v>Windhoek</v>
      </c>
      <c r="H823" s="11"/>
      <c r="I823" s="11"/>
      <c r="J823" s="11"/>
      <c r="K823" s="11"/>
      <c r="L823" s="6"/>
    </row>
    <row r="824" spans="1:12" x14ac:dyDescent="0.25">
      <c r="A824" s="13" t="s">
        <v>156</v>
      </c>
      <c r="B824" s="11"/>
      <c r="C824" s="11"/>
      <c r="D824" s="11"/>
      <c r="E824" s="6"/>
      <c r="F824" s="5"/>
      <c r="G824" s="13"/>
      <c r="H824" s="11"/>
      <c r="I824" s="11"/>
      <c r="J824" s="11"/>
      <c r="K824" s="11"/>
      <c r="L824" s="6"/>
    </row>
    <row r="825" spans="1:12" x14ac:dyDescent="0.25">
      <c r="A825" s="13"/>
      <c r="B825" s="11"/>
      <c r="C825" s="11"/>
      <c r="D825" s="11"/>
      <c r="E825" s="6"/>
      <c r="F825" s="5"/>
      <c r="G825" s="13"/>
      <c r="H825" s="11"/>
      <c r="I825" s="11"/>
      <c r="J825" s="11"/>
      <c r="K825" s="11"/>
      <c r="L825" s="6"/>
    </row>
    <row r="826" spans="1:12" x14ac:dyDescent="0.25">
      <c r="A826" s="13"/>
      <c r="B826" s="11"/>
      <c r="C826" s="11"/>
      <c r="D826" s="11"/>
      <c r="E826" s="6"/>
      <c r="F826" s="5"/>
      <c r="G826" s="13"/>
      <c r="H826" s="11"/>
      <c r="I826" s="11"/>
      <c r="J826" s="11"/>
      <c r="K826" s="11"/>
      <c r="L826" s="6"/>
    </row>
    <row r="827" spans="1:12" ht="15.75" thickBot="1" x14ac:dyDescent="0.3">
      <c r="A827" s="13"/>
      <c r="B827" s="11"/>
      <c r="C827" s="11" t="s">
        <v>29</v>
      </c>
      <c r="D827" s="43"/>
      <c r="E827" s="6"/>
      <c r="F827" s="5"/>
      <c r="G827" s="13"/>
      <c r="H827" s="11"/>
      <c r="I827" s="14" t="s">
        <v>28</v>
      </c>
      <c r="J827" s="43"/>
      <c r="K827" s="11"/>
      <c r="L827" s="6"/>
    </row>
    <row r="828" spans="1:12" ht="15.75" thickBot="1" x14ac:dyDescent="0.3">
      <c r="A828" s="15" t="s">
        <v>10</v>
      </c>
      <c r="B828" s="5"/>
      <c r="C828" s="5"/>
      <c r="D828" s="5"/>
      <c r="E828" s="5"/>
      <c r="F828" s="5"/>
      <c r="G828" s="15" t="s">
        <v>14</v>
      </c>
      <c r="H828" s="5"/>
      <c r="I828" s="5"/>
      <c r="J828" s="5"/>
      <c r="K828" s="5"/>
      <c r="L828" s="5"/>
    </row>
    <row r="829" spans="1:12" ht="15.75" thickBot="1" x14ac:dyDescent="0.3">
      <c r="A829" s="121" t="s">
        <v>11</v>
      </c>
      <c r="B829" s="122"/>
      <c r="C829" s="123"/>
      <c r="D829" s="16" t="s">
        <v>12</v>
      </c>
      <c r="E829" s="16" t="s">
        <v>13</v>
      </c>
      <c r="F829" s="5"/>
      <c r="G829" s="121" t="s">
        <v>15</v>
      </c>
      <c r="H829" s="122"/>
      <c r="I829" s="123"/>
      <c r="J829" s="121" t="s">
        <v>13</v>
      </c>
      <c r="K829" s="123"/>
      <c r="L829" s="5"/>
    </row>
    <row r="830" spans="1:12" x14ac:dyDescent="0.25">
      <c r="A830" s="41">
        <v>44873</v>
      </c>
      <c r="B830" s="36" t="s">
        <v>47</v>
      </c>
      <c r="C830" s="37"/>
      <c r="D830" s="50">
        <v>635.78</v>
      </c>
      <c r="E830" s="51">
        <v>14750.1</v>
      </c>
      <c r="F830" s="44">
        <f t="shared" ref="F830:F835" si="17">E830/D830</f>
        <v>23.200006291484478</v>
      </c>
      <c r="G830" s="125"/>
      <c r="H830" s="126"/>
      <c r="I830" s="127"/>
      <c r="J830" s="128"/>
      <c r="K830" s="129"/>
      <c r="L830" s="5"/>
    </row>
    <row r="831" spans="1:12" x14ac:dyDescent="0.25">
      <c r="A831" s="48"/>
      <c r="B831" s="35"/>
      <c r="C831" s="39"/>
      <c r="D831" s="52"/>
      <c r="E831" s="53"/>
      <c r="F831" s="44" t="e">
        <f t="shared" si="17"/>
        <v>#DIV/0!</v>
      </c>
      <c r="G831" s="110"/>
      <c r="H831" s="111"/>
      <c r="I831" s="112"/>
      <c r="J831" s="113"/>
      <c r="K831" s="114"/>
      <c r="L831" s="5"/>
    </row>
    <row r="832" spans="1:12" x14ac:dyDescent="0.25">
      <c r="A832" s="38"/>
      <c r="B832" s="35"/>
      <c r="C832" s="39"/>
      <c r="D832" s="52"/>
      <c r="E832" s="53"/>
      <c r="F832" s="44" t="e">
        <f t="shared" si="17"/>
        <v>#DIV/0!</v>
      </c>
      <c r="G832" s="110"/>
      <c r="H832" s="111"/>
      <c r="I832" s="112"/>
      <c r="J832" s="113"/>
      <c r="K832" s="114"/>
      <c r="L832" s="5"/>
    </row>
    <row r="833" spans="1:12" x14ac:dyDescent="0.25">
      <c r="A833" s="48"/>
      <c r="B833" s="35"/>
      <c r="C833" s="39"/>
      <c r="D833" s="52"/>
      <c r="E833" s="53"/>
      <c r="F833" s="44" t="e">
        <f t="shared" si="17"/>
        <v>#DIV/0!</v>
      </c>
      <c r="G833" s="110"/>
      <c r="H833" s="111"/>
      <c r="I833" s="112"/>
      <c r="J833" s="113"/>
      <c r="K833" s="114"/>
      <c r="L833" s="5"/>
    </row>
    <row r="834" spans="1:12" x14ac:dyDescent="0.25">
      <c r="A834" s="27"/>
      <c r="B834" s="11"/>
      <c r="C834" s="6"/>
      <c r="D834" s="54"/>
      <c r="E834" s="55"/>
      <c r="F834" s="44" t="e">
        <f t="shared" si="17"/>
        <v>#DIV/0!</v>
      </c>
      <c r="G834" s="110"/>
      <c r="H834" s="111"/>
      <c r="I834" s="112"/>
      <c r="J834" s="113"/>
      <c r="K834" s="114"/>
      <c r="L834" s="5"/>
    </row>
    <row r="835" spans="1:12" x14ac:dyDescent="0.25">
      <c r="A835" s="68"/>
      <c r="B835" s="11"/>
      <c r="C835" s="6"/>
      <c r="D835" s="54"/>
      <c r="E835" s="55"/>
      <c r="F835" s="44" t="e">
        <f t="shared" si="17"/>
        <v>#DIV/0!</v>
      </c>
      <c r="G835" s="110"/>
      <c r="H835" s="111"/>
      <c r="I835" s="112"/>
      <c r="J835" s="113"/>
      <c r="K835" s="114"/>
      <c r="L835" s="5"/>
    </row>
    <row r="836" spans="1:12" ht="15.75" thickBot="1" x14ac:dyDescent="0.3">
      <c r="A836" s="5"/>
      <c r="B836" s="5"/>
      <c r="C836" s="7" t="s">
        <v>35</v>
      </c>
      <c r="D836" s="17">
        <f>D830+D831+D832+D833+D834+D835</f>
        <v>635.78</v>
      </c>
      <c r="E836" s="17">
        <f>E830+E831+E832+E833+E834+E835</f>
        <v>14750.1</v>
      </c>
      <c r="F836" s="5"/>
      <c r="G836" s="110"/>
      <c r="H836" s="111"/>
      <c r="I836" s="112"/>
      <c r="J836" s="113"/>
      <c r="K836" s="114"/>
      <c r="L836" s="7" t="s">
        <v>36</v>
      </c>
    </row>
    <row r="837" spans="1:12" ht="15.75" thickBot="1" x14ac:dyDescent="0.3">
      <c r="A837" s="5"/>
      <c r="B837" s="5"/>
      <c r="C837" s="5"/>
      <c r="D837" s="5"/>
      <c r="E837" s="5"/>
      <c r="F837" s="5"/>
      <c r="G837" s="130"/>
      <c r="H837" s="131"/>
      <c r="I837" s="132"/>
      <c r="J837" s="133"/>
      <c r="K837" s="134"/>
      <c r="L837" s="18">
        <f>J830+J831+J832+J833+J834+J835+J836+J837</f>
        <v>0</v>
      </c>
    </row>
    <row r="838" spans="1:12" ht="15.75" thickBo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75" thickBot="1" x14ac:dyDescent="0.3">
      <c r="A839" s="19"/>
      <c r="B839" s="20"/>
      <c r="C839" s="20"/>
      <c r="D839" s="20"/>
      <c r="E839" s="21" t="s">
        <v>13</v>
      </c>
      <c r="F839" s="5"/>
      <c r="G839" s="19"/>
      <c r="H839" s="20"/>
      <c r="I839" s="20"/>
      <c r="J839" s="20"/>
      <c r="K839" s="21" t="s">
        <v>13</v>
      </c>
      <c r="L839" s="5"/>
    </row>
    <row r="840" spans="1:12" x14ac:dyDescent="0.25">
      <c r="A840" s="22" t="s">
        <v>31</v>
      </c>
      <c r="B840" s="115">
        <v>22896</v>
      </c>
      <c r="C840" s="116"/>
      <c r="D840" s="116"/>
      <c r="E840" s="117"/>
      <c r="F840" s="5"/>
      <c r="G840" s="22" t="s">
        <v>32</v>
      </c>
      <c r="H840" s="115">
        <v>1170</v>
      </c>
      <c r="I840" s="116"/>
      <c r="J840" s="116"/>
      <c r="K840" s="117"/>
      <c r="L840" s="5"/>
    </row>
    <row r="841" spans="1:1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x14ac:dyDescent="0.25">
      <c r="A842" s="7" t="s">
        <v>16</v>
      </c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x14ac:dyDescent="0.25">
      <c r="A843" s="9" t="s">
        <v>17</v>
      </c>
      <c r="B843" s="23">
        <f>L822-C817</f>
        <v>1636</v>
      </c>
      <c r="C843" s="5"/>
      <c r="D843" s="106" t="s">
        <v>18</v>
      </c>
      <c r="E843" s="107"/>
      <c r="F843" s="24" t="s">
        <v>19</v>
      </c>
      <c r="G843" s="9" t="s">
        <v>20</v>
      </c>
      <c r="H843" s="118">
        <f>B840+H840</f>
        <v>24066</v>
      </c>
      <c r="I843" s="119"/>
      <c r="J843" s="5"/>
      <c r="K843" s="5"/>
      <c r="L843" s="5"/>
    </row>
    <row r="844" spans="1:12" x14ac:dyDescent="0.25">
      <c r="A844" s="9" t="s">
        <v>41</v>
      </c>
      <c r="B844" s="40">
        <f>B843/D836</f>
        <v>2.573217150586681</v>
      </c>
      <c r="C844" s="5"/>
      <c r="D844" s="102">
        <f>E836</f>
        <v>14750.1</v>
      </c>
      <c r="E844" s="103"/>
      <c r="F844" s="25">
        <f>H844/B843</f>
        <v>9.7215770171149138</v>
      </c>
      <c r="G844" s="9" t="s">
        <v>21</v>
      </c>
      <c r="H844" s="104">
        <f>L837+D844+D846+D848+D850+A847</f>
        <v>15904.5</v>
      </c>
      <c r="I844" s="105"/>
      <c r="J844" s="5"/>
      <c r="K844" s="5"/>
      <c r="L844" s="5"/>
    </row>
    <row r="845" spans="1:12" x14ac:dyDescent="0.25">
      <c r="A845" s="9" t="s">
        <v>43</v>
      </c>
      <c r="B845" s="23">
        <f>D836/B843</f>
        <v>0.38861858190709042</v>
      </c>
      <c r="C845" s="5"/>
      <c r="D845" s="106" t="s">
        <v>33</v>
      </c>
      <c r="E845" s="107"/>
      <c r="F845" s="5"/>
      <c r="G845" s="13" t="s">
        <v>22</v>
      </c>
      <c r="H845" s="6"/>
      <c r="I845" s="26">
        <f>H843-H844</f>
        <v>8161.5</v>
      </c>
      <c r="J845" s="5"/>
      <c r="K845" s="5"/>
      <c r="L845" s="5"/>
    </row>
    <row r="846" spans="1:12" x14ac:dyDescent="0.25">
      <c r="A846" s="106" t="s">
        <v>40</v>
      </c>
      <c r="B846" s="107"/>
      <c r="C846" s="5"/>
      <c r="D846" s="108">
        <v>400</v>
      </c>
      <c r="E846" s="109"/>
      <c r="F846" s="5"/>
      <c r="G846" s="5"/>
      <c r="H846" s="5"/>
      <c r="I846" s="5"/>
      <c r="J846" s="5"/>
      <c r="K846" s="5"/>
      <c r="L846" s="5"/>
    </row>
    <row r="847" spans="1:12" x14ac:dyDescent="0.25">
      <c r="A847" s="108">
        <f>B843*0.4</f>
        <v>654.40000000000009</v>
      </c>
      <c r="B847" s="109"/>
      <c r="C847" s="5"/>
      <c r="D847" s="106" t="s">
        <v>34</v>
      </c>
      <c r="E847" s="107"/>
      <c r="F847" s="5"/>
      <c r="G847" s="5"/>
      <c r="H847" s="5"/>
      <c r="I847" s="5"/>
      <c r="J847" s="5"/>
      <c r="K847" s="5"/>
      <c r="L847" s="5"/>
    </row>
    <row r="848" spans="1:12" x14ac:dyDescent="0.25">
      <c r="A848" s="5"/>
      <c r="B848" s="5"/>
      <c r="C848" s="5"/>
      <c r="D848" s="108">
        <v>0</v>
      </c>
      <c r="E848" s="109"/>
      <c r="F848" s="5"/>
      <c r="G848" s="5"/>
      <c r="H848" s="5"/>
      <c r="I848" s="5"/>
      <c r="J848" s="5"/>
      <c r="K848" s="5"/>
      <c r="L848" s="5"/>
    </row>
    <row r="849" spans="1:12" x14ac:dyDescent="0.25">
      <c r="A849" s="5"/>
      <c r="B849" s="5"/>
      <c r="C849" s="5"/>
      <c r="D849" s="106" t="s">
        <v>37</v>
      </c>
      <c r="E849" s="107"/>
      <c r="F849" s="5"/>
      <c r="G849" s="5"/>
      <c r="H849" s="5"/>
      <c r="I849" s="5"/>
      <c r="J849" s="5"/>
      <c r="K849" s="5"/>
      <c r="L849" s="5"/>
    </row>
    <row r="850" spans="1:12" x14ac:dyDescent="0.25">
      <c r="A850" s="5"/>
      <c r="B850" s="5"/>
      <c r="C850" s="5"/>
      <c r="D850" s="108">
        <v>100</v>
      </c>
      <c r="E850" s="109"/>
      <c r="F850" s="5"/>
      <c r="G850" s="5"/>
      <c r="H850" s="5"/>
      <c r="I850" s="5"/>
      <c r="J850" s="5"/>
      <c r="K850" s="5"/>
      <c r="L850" s="5"/>
    </row>
    <row r="851" spans="1:1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x14ac:dyDescent="0.25">
      <c r="A852" s="5" t="s">
        <v>23</v>
      </c>
      <c r="B852" s="5" t="s">
        <v>54</v>
      </c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s="49" customFormat="1" x14ac:dyDescent="0.25"/>
    <row r="856" spans="1:12" x14ac:dyDescent="0.25">
      <c r="A856" s="120" t="s">
        <v>24</v>
      </c>
      <c r="B856" s="120"/>
      <c r="C856" s="120"/>
      <c r="D856" s="120"/>
      <c r="E856" s="120"/>
      <c r="F856" s="120"/>
      <c r="G856" s="120"/>
      <c r="H856" s="120"/>
    </row>
    <row r="857" spans="1:12" x14ac:dyDescent="0.25">
      <c r="A857" s="120"/>
      <c r="B857" s="120"/>
      <c r="C857" s="120"/>
      <c r="D857" s="120"/>
      <c r="E857" s="120"/>
      <c r="F857" s="120"/>
      <c r="G857" s="120"/>
      <c r="H857" s="120"/>
    </row>
    <row r="858" spans="1:12" x14ac:dyDescent="0.25">
      <c r="A858" s="1" t="s">
        <v>4</v>
      </c>
      <c r="B858" s="2"/>
      <c r="C858" s="2"/>
      <c r="D858" s="2"/>
      <c r="E858" s="2"/>
      <c r="F858" s="2"/>
      <c r="G858" s="3" t="s">
        <v>5</v>
      </c>
      <c r="H858" s="3" t="s">
        <v>6</v>
      </c>
      <c r="I858" s="4" t="s">
        <v>7</v>
      </c>
      <c r="J858" s="5"/>
      <c r="K858" s="5"/>
      <c r="L858" s="5"/>
    </row>
    <row r="859" spans="1:12" x14ac:dyDescent="0.25">
      <c r="A859" s="28" t="s">
        <v>80</v>
      </c>
      <c r="B859" s="29" t="s">
        <v>62</v>
      </c>
      <c r="C859" s="67"/>
      <c r="D859" s="66"/>
      <c r="E859" s="2"/>
      <c r="F859" s="2"/>
      <c r="G859" s="28" t="s">
        <v>155</v>
      </c>
      <c r="H859" s="66"/>
      <c r="I859" s="33"/>
      <c r="J859" s="6"/>
      <c r="K859" s="33"/>
      <c r="L859" s="6"/>
    </row>
    <row r="860" spans="1:12" x14ac:dyDescent="0.25">
      <c r="A860" s="7" t="s">
        <v>2</v>
      </c>
      <c r="B860" s="5"/>
      <c r="C860" s="5"/>
      <c r="D860" s="5"/>
      <c r="E860" s="5"/>
      <c r="F860" s="5"/>
      <c r="G860" s="8" t="s">
        <v>8</v>
      </c>
      <c r="H860" s="31"/>
      <c r="I860" s="5"/>
      <c r="J860" s="5"/>
      <c r="K860" s="5"/>
      <c r="L860" s="5"/>
    </row>
    <row r="861" spans="1:12" x14ac:dyDescent="0.25">
      <c r="A861" s="7" t="s">
        <v>25</v>
      </c>
      <c r="B861" s="5"/>
      <c r="C861" s="7" t="s">
        <v>0</v>
      </c>
      <c r="D861" s="5"/>
      <c r="E861" s="5"/>
      <c r="F861" s="5"/>
      <c r="G861" s="7" t="s">
        <v>25</v>
      </c>
      <c r="H861" s="5"/>
      <c r="I861" s="7" t="s">
        <v>0</v>
      </c>
      <c r="J861" s="5"/>
      <c r="K861" s="5"/>
      <c r="L861" s="5"/>
    </row>
    <row r="862" spans="1:12" x14ac:dyDescent="0.25">
      <c r="A862" s="42">
        <v>44903</v>
      </c>
      <c r="B862" s="6"/>
      <c r="C862" s="31">
        <f>L822</f>
        <v>479886</v>
      </c>
      <c r="D862" s="5"/>
      <c r="E862" s="5"/>
      <c r="F862" s="5"/>
      <c r="G862" s="42"/>
      <c r="H862" s="6"/>
      <c r="I862" s="9"/>
      <c r="J862" s="5"/>
      <c r="K862" s="5"/>
      <c r="L862" s="5"/>
    </row>
    <row r="863" spans="1:12" ht="16.5" thickBot="1" x14ac:dyDescent="0.3">
      <c r="A863" s="58"/>
      <c r="B863" s="5"/>
      <c r="C863" s="5"/>
      <c r="D863" s="5"/>
      <c r="E863" s="5"/>
      <c r="F863" s="5"/>
      <c r="G863" s="10"/>
      <c r="H863" s="5"/>
      <c r="I863" s="5"/>
      <c r="J863" s="5"/>
      <c r="K863" s="5"/>
      <c r="L863" s="5"/>
    </row>
    <row r="864" spans="1:12" ht="15.75" thickBot="1" x14ac:dyDescent="0.3">
      <c r="A864" s="121" t="s">
        <v>9</v>
      </c>
      <c r="B864" s="122"/>
      <c r="C864" s="123"/>
      <c r="D864" s="5"/>
      <c r="E864" s="5"/>
      <c r="F864" s="5"/>
      <c r="G864" s="121" t="s">
        <v>26</v>
      </c>
      <c r="H864" s="122"/>
      <c r="I864" s="123"/>
      <c r="J864" s="5"/>
      <c r="K864" s="5"/>
      <c r="L864" s="5"/>
    </row>
    <row r="865" spans="1:12" x14ac:dyDescent="0.25">
      <c r="A865" s="30" t="s">
        <v>38</v>
      </c>
      <c r="B865" s="11"/>
      <c r="C865" s="11"/>
      <c r="D865" s="11"/>
      <c r="E865" s="6"/>
      <c r="F865" s="5"/>
      <c r="G865" s="30" t="str">
        <f>A868</f>
        <v>Divundu/Katima</v>
      </c>
      <c r="H865" s="11"/>
      <c r="I865" s="11"/>
      <c r="J865" s="11"/>
      <c r="K865" s="11"/>
      <c r="L865" s="6"/>
    </row>
    <row r="866" spans="1:12" ht="15.75" thickBot="1" x14ac:dyDescent="0.3">
      <c r="A866" s="7"/>
      <c r="B866" s="7"/>
      <c r="C866" s="7"/>
      <c r="D866" s="5"/>
      <c r="E866" s="5"/>
      <c r="F866" s="5"/>
      <c r="G866" s="7" t="s">
        <v>3</v>
      </c>
      <c r="H866" s="7"/>
      <c r="I866" s="7"/>
      <c r="J866" s="5"/>
      <c r="K866" s="5"/>
      <c r="L866" s="5"/>
    </row>
    <row r="867" spans="1:12" ht="15.75" thickBot="1" x14ac:dyDescent="0.3">
      <c r="A867" s="121" t="s">
        <v>30</v>
      </c>
      <c r="B867" s="122"/>
      <c r="C867" s="124"/>
      <c r="D867" s="12" t="s">
        <v>1</v>
      </c>
      <c r="E867" s="32"/>
      <c r="F867" s="5"/>
      <c r="G867" s="121" t="s">
        <v>27</v>
      </c>
      <c r="H867" s="122"/>
      <c r="I867" s="123"/>
      <c r="J867" s="5"/>
      <c r="K867" s="12" t="s">
        <v>1</v>
      </c>
      <c r="L867" s="32">
        <v>482600</v>
      </c>
    </row>
    <row r="868" spans="1:12" x14ac:dyDescent="0.25">
      <c r="A868" s="13" t="s">
        <v>152</v>
      </c>
      <c r="B868" s="14"/>
      <c r="C868" s="11"/>
      <c r="D868" s="11"/>
      <c r="E868" s="6"/>
      <c r="F868" s="5"/>
      <c r="G868" s="34" t="str">
        <f>A865</f>
        <v>Windhoek</v>
      </c>
      <c r="H868" s="11"/>
      <c r="I868" s="11"/>
      <c r="J868" s="11"/>
      <c r="K868" s="11"/>
      <c r="L868" s="6"/>
    </row>
    <row r="869" spans="1:12" x14ac:dyDescent="0.25">
      <c r="A869" s="13" t="s">
        <v>154</v>
      </c>
      <c r="B869" s="11"/>
      <c r="C869" s="11"/>
      <c r="D869" s="11"/>
      <c r="E869" s="6"/>
      <c r="F869" s="5"/>
      <c r="G869" s="13"/>
      <c r="H869" s="11"/>
      <c r="I869" s="11"/>
      <c r="J869" s="11"/>
      <c r="K869" s="11"/>
      <c r="L869" s="6"/>
    </row>
    <row r="870" spans="1:12" x14ac:dyDescent="0.25">
      <c r="A870" s="13"/>
      <c r="B870" s="11"/>
      <c r="C870" s="11"/>
      <c r="D870" s="11"/>
      <c r="E870" s="6"/>
      <c r="F870" s="5"/>
      <c r="G870" s="13"/>
      <c r="H870" s="11"/>
      <c r="I870" s="11"/>
      <c r="J870" s="11"/>
      <c r="K870" s="11"/>
      <c r="L870" s="6"/>
    </row>
    <row r="871" spans="1:12" x14ac:dyDescent="0.25">
      <c r="A871" s="13"/>
      <c r="B871" s="11"/>
      <c r="C871" s="11"/>
      <c r="D871" s="11"/>
      <c r="E871" s="6"/>
      <c r="F871" s="5"/>
      <c r="G871" s="13"/>
      <c r="H871" s="11"/>
      <c r="I871" s="11"/>
      <c r="J871" s="11"/>
      <c r="K871" s="11"/>
      <c r="L871" s="6"/>
    </row>
    <row r="872" spans="1:12" ht="15.75" thickBot="1" x14ac:dyDescent="0.3">
      <c r="A872" s="13"/>
      <c r="B872" s="11"/>
      <c r="C872" s="11" t="s">
        <v>29</v>
      </c>
      <c r="D872" s="43"/>
      <c r="E872" s="6"/>
      <c r="F872" s="5"/>
      <c r="G872" s="13"/>
      <c r="H872" s="11"/>
      <c r="I872" s="14" t="s">
        <v>28</v>
      </c>
      <c r="J872" s="43"/>
      <c r="K872" s="11"/>
      <c r="L872" s="6"/>
    </row>
    <row r="873" spans="1:12" ht="15.75" thickBot="1" x14ac:dyDescent="0.3">
      <c r="A873" s="15" t="s">
        <v>10</v>
      </c>
      <c r="B873" s="5"/>
      <c r="C873" s="5"/>
      <c r="D873" s="5"/>
      <c r="E873" s="5"/>
      <c r="F873" s="5"/>
      <c r="G873" s="15" t="s">
        <v>14</v>
      </c>
      <c r="H873" s="5"/>
      <c r="I873" s="5"/>
      <c r="J873" s="5"/>
      <c r="K873" s="5"/>
      <c r="L873" s="5"/>
    </row>
    <row r="874" spans="1:12" ht="15.75" thickBot="1" x14ac:dyDescent="0.3">
      <c r="A874" s="121" t="s">
        <v>11</v>
      </c>
      <c r="B874" s="122"/>
      <c r="C874" s="123"/>
      <c r="D874" s="16" t="s">
        <v>12</v>
      </c>
      <c r="E874" s="16" t="s">
        <v>13</v>
      </c>
      <c r="F874" s="5"/>
      <c r="G874" s="121" t="s">
        <v>15</v>
      </c>
      <c r="H874" s="122"/>
      <c r="I874" s="123"/>
      <c r="J874" s="121" t="s">
        <v>13</v>
      </c>
      <c r="K874" s="123"/>
      <c r="L874" s="5"/>
    </row>
    <row r="875" spans="1:12" x14ac:dyDescent="0.25">
      <c r="A875" s="41" t="s">
        <v>140</v>
      </c>
      <c r="B875" s="36" t="s">
        <v>48</v>
      </c>
      <c r="C875" s="37"/>
      <c r="D875" s="50">
        <v>400.02</v>
      </c>
      <c r="E875" s="51">
        <v>9308.23</v>
      </c>
      <c r="F875" s="44">
        <f t="shared" ref="F875:F880" si="18">E875/D875</f>
        <v>23.269411529423529</v>
      </c>
      <c r="G875" s="125"/>
      <c r="H875" s="126"/>
      <c r="I875" s="127"/>
      <c r="J875" s="128"/>
      <c r="K875" s="129"/>
      <c r="L875" s="5"/>
    </row>
    <row r="876" spans="1:12" x14ac:dyDescent="0.25">
      <c r="A876" s="48" t="s">
        <v>143</v>
      </c>
      <c r="B876" s="35" t="s">
        <v>47</v>
      </c>
      <c r="C876" s="39"/>
      <c r="D876" s="52">
        <v>795.51</v>
      </c>
      <c r="E876" s="53">
        <v>18455.900000000001</v>
      </c>
      <c r="F876" s="44">
        <f t="shared" si="18"/>
        <v>23.200085479755128</v>
      </c>
      <c r="G876" s="110"/>
      <c r="H876" s="111"/>
      <c r="I876" s="112"/>
      <c r="J876" s="113"/>
      <c r="K876" s="114"/>
      <c r="L876" s="5"/>
    </row>
    <row r="877" spans="1:12" x14ac:dyDescent="0.25">
      <c r="A877" s="38"/>
      <c r="B877" s="35"/>
      <c r="C877" s="39"/>
      <c r="D877" s="52"/>
      <c r="E877" s="53"/>
      <c r="F877" s="44" t="e">
        <f t="shared" si="18"/>
        <v>#DIV/0!</v>
      </c>
      <c r="G877" s="110"/>
      <c r="H877" s="111"/>
      <c r="I877" s="112"/>
      <c r="J877" s="113"/>
      <c r="K877" s="114"/>
      <c r="L877" s="5"/>
    </row>
    <row r="878" spans="1:12" x14ac:dyDescent="0.25">
      <c r="A878" s="48"/>
      <c r="B878" s="35"/>
      <c r="C878" s="39"/>
      <c r="D878" s="52"/>
      <c r="E878" s="53"/>
      <c r="F878" s="44" t="e">
        <f t="shared" si="18"/>
        <v>#DIV/0!</v>
      </c>
      <c r="G878" s="110"/>
      <c r="H878" s="111"/>
      <c r="I878" s="112"/>
      <c r="J878" s="113"/>
      <c r="K878" s="114"/>
      <c r="L878" s="5"/>
    </row>
    <row r="879" spans="1:12" x14ac:dyDescent="0.25">
      <c r="A879" s="27"/>
      <c r="B879" s="11"/>
      <c r="C879" s="6"/>
      <c r="D879" s="54"/>
      <c r="E879" s="55"/>
      <c r="F879" s="44" t="e">
        <f t="shared" si="18"/>
        <v>#DIV/0!</v>
      </c>
      <c r="G879" s="110"/>
      <c r="H879" s="111"/>
      <c r="I879" s="112"/>
      <c r="J879" s="113"/>
      <c r="K879" s="114"/>
      <c r="L879" s="5"/>
    </row>
    <row r="880" spans="1:12" x14ac:dyDescent="0.25">
      <c r="A880" s="68"/>
      <c r="B880" s="11"/>
      <c r="C880" s="6"/>
      <c r="D880" s="54"/>
      <c r="E880" s="55"/>
      <c r="F880" s="44" t="e">
        <f t="shared" si="18"/>
        <v>#DIV/0!</v>
      </c>
      <c r="G880" s="110"/>
      <c r="H880" s="111"/>
      <c r="I880" s="112"/>
      <c r="J880" s="113"/>
      <c r="K880" s="114"/>
      <c r="L880" s="5"/>
    </row>
    <row r="881" spans="1:12" ht="15.75" thickBot="1" x14ac:dyDescent="0.3">
      <c r="A881" s="5"/>
      <c r="B881" s="5"/>
      <c r="C881" s="7" t="s">
        <v>35</v>
      </c>
      <c r="D881" s="17">
        <f>D875+D876+D877+D878+D879+D880</f>
        <v>1195.53</v>
      </c>
      <c r="E881" s="17">
        <f>E875+E876+E877+E878+E879+E880</f>
        <v>27764.13</v>
      </c>
      <c r="F881" s="5"/>
      <c r="G881" s="110"/>
      <c r="H881" s="111"/>
      <c r="I881" s="112"/>
      <c r="J881" s="113"/>
      <c r="K881" s="114"/>
      <c r="L881" s="7" t="s">
        <v>36</v>
      </c>
    </row>
    <row r="882" spans="1:12" ht="15.75" thickBot="1" x14ac:dyDescent="0.3">
      <c r="A882" s="5"/>
      <c r="B882" s="5"/>
      <c r="C882" s="5"/>
      <c r="D882" s="5"/>
      <c r="E882" s="5"/>
      <c r="F882" s="5"/>
      <c r="G882" s="130"/>
      <c r="H882" s="131"/>
      <c r="I882" s="132"/>
      <c r="J882" s="133"/>
      <c r="K882" s="134"/>
      <c r="L882" s="18">
        <f>J875+J876+J877+J878+J879+J880+J881+J882</f>
        <v>0</v>
      </c>
    </row>
    <row r="883" spans="1:12" ht="15.75" thickBo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75" thickBot="1" x14ac:dyDescent="0.3">
      <c r="A884" s="19"/>
      <c r="B884" s="20"/>
      <c r="C884" s="20"/>
      <c r="D884" s="20"/>
      <c r="E884" s="21" t="s">
        <v>13</v>
      </c>
      <c r="F884" s="5"/>
      <c r="G884" s="19"/>
      <c r="H884" s="20"/>
      <c r="I884" s="20"/>
      <c r="J884" s="20"/>
      <c r="K884" s="21" t="s">
        <v>13</v>
      </c>
      <c r="L884" s="5"/>
    </row>
    <row r="885" spans="1:12" x14ac:dyDescent="0.25">
      <c r="A885" s="22" t="s">
        <v>31</v>
      </c>
      <c r="B885" s="115">
        <v>39750</v>
      </c>
      <c r="C885" s="116"/>
      <c r="D885" s="116"/>
      <c r="E885" s="117"/>
      <c r="F885" s="5"/>
      <c r="G885" s="22" t="s">
        <v>32</v>
      </c>
      <c r="H885" s="115">
        <v>1500</v>
      </c>
      <c r="I885" s="116"/>
      <c r="J885" s="116"/>
      <c r="K885" s="117"/>
      <c r="L885" s="5"/>
    </row>
    <row r="886" spans="1:1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x14ac:dyDescent="0.25">
      <c r="A887" s="7" t="s">
        <v>16</v>
      </c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x14ac:dyDescent="0.25">
      <c r="A888" s="9" t="s">
        <v>17</v>
      </c>
      <c r="B888" s="23">
        <f>L867-C862</f>
        <v>2714</v>
      </c>
      <c r="C888" s="5"/>
      <c r="D888" s="106" t="s">
        <v>18</v>
      </c>
      <c r="E888" s="107"/>
      <c r="F888" s="24" t="s">
        <v>19</v>
      </c>
      <c r="G888" s="9" t="s">
        <v>20</v>
      </c>
      <c r="H888" s="118">
        <f>B885+H885</f>
        <v>41250</v>
      </c>
      <c r="I888" s="119"/>
      <c r="J888" s="5"/>
      <c r="K888" s="5"/>
      <c r="L888" s="5"/>
    </row>
    <row r="889" spans="1:12" x14ac:dyDescent="0.25">
      <c r="A889" s="9" t="s">
        <v>41</v>
      </c>
      <c r="B889" s="40">
        <f>B888/D881</f>
        <v>2.2701228743737087</v>
      </c>
      <c r="C889" s="5"/>
      <c r="D889" s="102">
        <f>E881</f>
        <v>27764.13</v>
      </c>
      <c r="E889" s="103"/>
      <c r="F889" s="25">
        <f>H889/B888</f>
        <v>12.524955784819456</v>
      </c>
      <c r="G889" s="9" t="s">
        <v>21</v>
      </c>
      <c r="H889" s="104">
        <f>L882+D889+D891+D893+D895+A892</f>
        <v>33992.730000000003</v>
      </c>
      <c r="I889" s="105"/>
      <c r="J889" s="5"/>
      <c r="K889" s="5"/>
      <c r="L889" s="5"/>
    </row>
    <row r="890" spans="1:12" x14ac:dyDescent="0.25">
      <c r="A890" s="9" t="s">
        <v>43</v>
      </c>
      <c r="B890" s="23">
        <f>D881/B888</f>
        <v>0.44050478997789239</v>
      </c>
      <c r="C890" s="5"/>
      <c r="D890" s="106" t="s">
        <v>33</v>
      </c>
      <c r="E890" s="107"/>
      <c r="F890" s="5"/>
      <c r="G890" s="13" t="s">
        <v>22</v>
      </c>
      <c r="H890" s="6"/>
      <c r="I890" s="26">
        <f>H888-H889</f>
        <v>7257.2699999999968</v>
      </c>
      <c r="J890" s="5"/>
      <c r="K890" s="5"/>
      <c r="L890" s="5"/>
    </row>
    <row r="891" spans="1:12" x14ac:dyDescent="0.25">
      <c r="A891" s="106" t="s">
        <v>40</v>
      </c>
      <c r="B891" s="107"/>
      <c r="C891" s="5"/>
      <c r="D891" s="108">
        <v>600</v>
      </c>
      <c r="E891" s="109"/>
      <c r="F891" s="5"/>
      <c r="G891" s="5"/>
      <c r="H891" s="5"/>
      <c r="I891" s="5"/>
      <c r="J891" s="5"/>
      <c r="K891" s="5"/>
      <c r="L891" s="5"/>
    </row>
    <row r="892" spans="1:12" x14ac:dyDescent="0.25">
      <c r="A892" s="108">
        <f>B888*0.4</f>
        <v>1085.6000000000001</v>
      </c>
      <c r="B892" s="109"/>
      <c r="C892" s="5"/>
      <c r="D892" s="106" t="s">
        <v>34</v>
      </c>
      <c r="E892" s="107"/>
      <c r="F892" s="5"/>
      <c r="G892" s="5"/>
      <c r="H892" s="5"/>
      <c r="I892" s="5"/>
      <c r="J892" s="5"/>
      <c r="K892" s="5"/>
      <c r="L892" s="5"/>
    </row>
    <row r="893" spans="1:12" x14ac:dyDescent="0.25">
      <c r="A893" s="5"/>
      <c r="B893" s="5"/>
      <c r="C893" s="5"/>
      <c r="D893" s="108"/>
      <c r="E893" s="109"/>
      <c r="F893" s="5"/>
      <c r="G893" s="5"/>
      <c r="H893" s="5"/>
      <c r="I893" s="5"/>
      <c r="J893" s="5"/>
      <c r="K893" s="5"/>
      <c r="L893" s="5"/>
    </row>
    <row r="894" spans="1:12" x14ac:dyDescent="0.25">
      <c r="A894" s="5"/>
      <c r="B894" s="5"/>
      <c r="C894" s="5"/>
      <c r="D894" s="106" t="s">
        <v>37</v>
      </c>
      <c r="E894" s="107"/>
      <c r="F894" s="5"/>
      <c r="G894" s="5"/>
      <c r="H894" s="5"/>
      <c r="I894" s="5"/>
      <c r="J894" s="5"/>
      <c r="K894" s="5"/>
      <c r="L894" s="5"/>
    </row>
    <row r="895" spans="1:12" x14ac:dyDescent="0.25">
      <c r="A895" s="5"/>
      <c r="B895" s="5"/>
      <c r="C895" s="5"/>
      <c r="D895" s="108">
        <v>4543</v>
      </c>
      <c r="E895" s="109"/>
      <c r="F895" s="5" t="s">
        <v>153</v>
      </c>
      <c r="G895" s="5"/>
      <c r="H895" s="5"/>
      <c r="I895" s="5"/>
      <c r="J895" s="5"/>
      <c r="K895" s="5"/>
      <c r="L895" s="5"/>
    </row>
    <row r="896" spans="1:1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x14ac:dyDescent="0.25">
      <c r="A897" s="5" t="s">
        <v>23</v>
      </c>
      <c r="B897" s="5" t="s">
        <v>54</v>
      </c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s="49" customFormat="1" x14ac:dyDescent="0.25"/>
    <row r="901" spans="1:12" x14ac:dyDescent="0.25">
      <c r="A901" s="120" t="s">
        <v>24</v>
      </c>
      <c r="B901" s="120"/>
      <c r="C901" s="120"/>
      <c r="D901" s="120"/>
      <c r="E901" s="120"/>
      <c r="F901" s="120"/>
      <c r="G901" s="120"/>
      <c r="H901" s="120"/>
    </row>
    <row r="902" spans="1:12" x14ac:dyDescent="0.25">
      <c r="A902" s="120"/>
      <c r="B902" s="120"/>
      <c r="C902" s="120"/>
      <c r="D902" s="120"/>
      <c r="E902" s="120"/>
      <c r="F902" s="120"/>
      <c r="G902" s="120"/>
      <c r="H902" s="120"/>
    </row>
    <row r="903" spans="1:12" x14ac:dyDescent="0.25">
      <c r="A903" s="1" t="s">
        <v>4</v>
      </c>
      <c r="B903" s="2"/>
      <c r="C903" s="2"/>
      <c r="D903" s="2"/>
      <c r="E903" s="2"/>
      <c r="F903" s="2"/>
      <c r="G903" s="3" t="s">
        <v>5</v>
      </c>
      <c r="H903" s="3" t="s">
        <v>6</v>
      </c>
      <c r="I903" s="4" t="s">
        <v>7</v>
      </c>
      <c r="J903" s="5"/>
      <c r="K903" s="5"/>
      <c r="L903" s="5"/>
    </row>
    <row r="904" spans="1:12" x14ac:dyDescent="0.25">
      <c r="A904" s="28" t="s">
        <v>80</v>
      </c>
      <c r="B904" s="29" t="s">
        <v>62</v>
      </c>
      <c r="C904" s="67"/>
      <c r="D904" s="66"/>
      <c r="E904" s="2"/>
      <c r="F904" s="2"/>
      <c r="G904" s="28" t="s">
        <v>155</v>
      </c>
      <c r="H904" s="66"/>
      <c r="I904" s="33"/>
      <c r="J904" s="6"/>
      <c r="K904" s="33"/>
      <c r="L904" s="6"/>
    </row>
    <row r="905" spans="1:12" x14ac:dyDescent="0.25">
      <c r="A905" s="7" t="s">
        <v>2</v>
      </c>
      <c r="B905" s="5"/>
      <c r="C905" s="5"/>
      <c r="D905" s="5"/>
      <c r="E905" s="5"/>
      <c r="F905" s="5"/>
      <c r="G905" s="8" t="s">
        <v>8</v>
      </c>
      <c r="H905" s="31"/>
      <c r="I905" s="5"/>
      <c r="J905" s="5"/>
      <c r="K905" s="5"/>
      <c r="L905" s="5"/>
    </row>
    <row r="906" spans="1:12" x14ac:dyDescent="0.25">
      <c r="A906" s="7" t="s">
        <v>25</v>
      </c>
      <c r="B906" s="5"/>
      <c r="C906" s="7" t="s">
        <v>0</v>
      </c>
      <c r="D906" s="5"/>
      <c r="E906" s="5"/>
      <c r="F906" s="5"/>
      <c r="G906" s="7" t="s">
        <v>25</v>
      </c>
      <c r="H906" s="5"/>
      <c r="I906" s="7" t="s">
        <v>0</v>
      </c>
      <c r="J906" s="5"/>
      <c r="K906" s="5"/>
      <c r="L906" s="5"/>
    </row>
    <row r="907" spans="1:12" x14ac:dyDescent="0.25">
      <c r="A907" s="42" t="s">
        <v>144</v>
      </c>
      <c r="B907" s="6"/>
      <c r="C907" s="31">
        <f>L867</f>
        <v>482600</v>
      </c>
      <c r="D907" s="5"/>
      <c r="E907" s="5"/>
      <c r="F907" s="5"/>
      <c r="G907" s="42"/>
      <c r="H907" s="6"/>
      <c r="I907" s="9"/>
      <c r="J907" s="5"/>
      <c r="K907" s="5"/>
      <c r="L907" s="5"/>
    </row>
    <row r="908" spans="1:12" ht="16.5" thickBot="1" x14ac:dyDescent="0.3">
      <c r="A908" s="58"/>
      <c r="B908" s="5"/>
      <c r="C908" s="5"/>
      <c r="D908" s="5"/>
      <c r="E908" s="5"/>
      <c r="F908" s="5"/>
      <c r="G908" s="10"/>
      <c r="H908" s="5"/>
      <c r="I908" s="5"/>
      <c r="J908" s="5"/>
      <c r="K908" s="5"/>
      <c r="L908" s="5"/>
    </row>
    <row r="909" spans="1:12" ht="15.75" thickBot="1" x14ac:dyDescent="0.3">
      <c r="A909" s="121" t="s">
        <v>9</v>
      </c>
      <c r="B909" s="122"/>
      <c r="C909" s="123"/>
      <c r="D909" s="5"/>
      <c r="E909" s="5"/>
      <c r="F909" s="5"/>
      <c r="G909" s="121" t="s">
        <v>26</v>
      </c>
      <c r="H909" s="122"/>
      <c r="I909" s="123"/>
      <c r="J909" s="5"/>
      <c r="K909" s="5"/>
      <c r="L909" s="5"/>
    </row>
    <row r="910" spans="1:12" x14ac:dyDescent="0.25">
      <c r="A910" s="30" t="s">
        <v>38</v>
      </c>
      <c r="B910" s="11"/>
      <c r="C910" s="11"/>
      <c r="D910" s="11"/>
      <c r="E910" s="6"/>
      <c r="F910" s="5"/>
      <c r="G910" s="30" t="str">
        <f>A913</f>
        <v>Oshakati</v>
      </c>
      <c r="H910" s="11"/>
      <c r="I910" s="11"/>
      <c r="J910" s="11"/>
      <c r="K910" s="11"/>
      <c r="L910" s="6"/>
    </row>
    <row r="911" spans="1:12" ht="15.75" thickBot="1" x14ac:dyDescent="0.3">
      <c r="A911" s="7"/>
      <c r="B911" s="7"/>
      <c r="C911" s="7"/>
      <c r="D911" s="5"/>
      <c r="E911" s="5"/>
      <c r="F911" s="5"/>
      <c r="G911" s="7" t="s">
        <v>3</v>
      </c>
      <c r="H911" s="7"/>
      <c r="I911" s="7"/>
      <c r="J911" s="5"/>
      <c r="K911" s="5"/>
      <c r="L911" s="5"/>
    </row>
    <row r="912" spans="1:12" ht="15.75" thickBot="1" x14ac:dyDescent="0.3">
      <c r="A912" s="121" t="s">
        <v>30</v>
      </c>
      <c r="B912" s="122"/>
      <c r="C912" s="124"/>
      <c r="D912" s="12" t="s">
        <v>1</v>
      </c>
      <c r="E912" s="32"/>
      <c r="F912" s="5"/>
      <c r="G912" s="121" t="s">
        <v>27</v>
      </c>
      <c r="H912" s="122"/>
      <c r="I912" s="123"/>
      <c r="J912" s="5"/>
      <c r="K912" s="12" t="s">
        <v>1</v>
      </c>
      <c r="L912" s="32">
        <v>484271</v>
      </c>
    </row>
    <row r="913" spans="1:12" x14ac:dyDescent="0.25">
      <c r="A913" s="13" t="s">
        <v>39</v>
      </c>
      <c r="B913" s="14"/>
      <c r="C913" s="11"/>
      <c r="D913" s="11"/>
      <c r="E913" s="6"/>
      <c r="F913" s="5"/>
      <c r="G913" s="34" t="str">
        <f>A910</f>
        <v>Windhoek</v>
      </c>
      <c r="H913" s="11"/>
      <c r="I913" s="11"/>
      <c r="J913" s="11"/>
      <c r="K913" s="11"/>
      <c r="L913" s="6"/>
    </row>
    <row r="914" spans="1:12" x14ac:dyDescent="0.25">
      <c r="A914" s="13"/>
      <c r="B914" s="11"/>
      <c r="C914" s="11"/>
      <c r="D914" s="11"/>
      <c r="E914" s="6"/>
      <c r="F914" s="5"/>
      <c r="G914" s="13"/>
      <c r="H914" s="11"/>
      <c r="I914" s="11"/>
      <c r="J914" s="11"/>
      <c r="K914" s="11"/>
      <c r="L914" s="6"/>
    </row>
    <row r="915" spans="1:12" x14ac:dyDescent="0.25">
      <c r="A915" s="13"/>
      <c r="B915" s="11"/>
      <c r="C915" s="11"/>
      <c r="D915" s="11"/>
      <c r="E915" s="6"/>
      <c r="F915" s="5"/>
      <c r="G915" s="13"/>
      <c r="H915" s="11"/>
      <c r="I915" s="11"/>
      <c r="J915" s="11"/>
      <c r="K915" s="11"/>
      <c r="L915" s="6"/>
    </row>
    <row r="916" spans="1:12" x14ac:dyDescent="0.25">
      <c r="A916" s="13"/>
      <c r="B916" s="11"/>
      <c r="C916" s="11"/>
      <c r="D916" s="11"/>
      <c r="E916" s="6"/>
      <c r="F916" s="5"/>
      <c r="G916" s="13"/>
      <c r="H916" s="11"/>
      <c r="I916" s="11"/>
      <c r="J916" s="11"/>
      <c r="K916" s="11"/>
      <c r="L916" s="6"/>
    </row>
    <row r="917" spans="1:12" ht="15.75" thickBot="1" x14ac:dyDescent="0.3">
      <c r="A917" s="13"/>
      <c r="B917" s="11"/>
      <c r="C917" s="11" t="s">
        <v>29</v>
      </c>
      <c r="D917" s="43"/>
      <c r="E917" s="6"/>
      <c r="F917" s="5"/>
      <c r="G917" s="13"/>
      <c r="H917" s="11"/>
      <c r="I917" s="14" t="s">
        <v>28</v>
      </c>
      <c r="J917" s="43"/>
      <c r="K917" s="11"/>
      <c r="L917" s="6"/>
    </row>
    <row r="918" spans="1:12" ht="15.75" thickBot="1" x14ac:dyDescent="0.3">
      <c r="A918" s="15" t="s">
        <v>10</v>
      </c>
      <c r="B918" s="5"/>
      <c r="C918" s="5"/>
      <c r="D918" s="5"/>
      <c r="E918" s="5"/>
      <c r="F918" s="5"/>
      <c r="G918" s="15" t="s">
        <v>14</v>
      </c>
      <c r="H918" s="5"/>
      <c r="I918" s="5"/>
      <c r="J918" s="5"/>
      <c r="K918" s="5"/>
      <c r="L918" s="5"/>
    </row>
    <row r="919" spans="1:12" ht="15.75" thickBot="1" x14ac:dyDescent="0.3">
      <c r="A919" s="121" t="s">
        <v>11</v>
      </c>
      <c r="B919" s="122"/>
      <c r="C919" s="123"/>
      <c r="D919" s="16" t="s">
        <v>12</v>
      </c>
      <c r="E919" s="16" t="s">
        <v>13</v>
      </c>
      <c r="F919" s="5"/>
      <c r="G919" s="121" t="s">
        <v>15</v>
      </c>
      <c r="H919" s="122"/>
      <c r="I919" s="123"/>
      <c r="J919" s="121" t="s">
        <v>13</v>
      </c>
      <c r="K919" s="123"/>
      <c r="L919" s="5"/>
    </row>
    <row r="920" spans="1:12" x14ac:dyDescent="0.25">
      <c r="A920" s="41">
        <v>44629</v>
      </c>
      <c r="B920" s="36" t="s">
        <v>47</v>
      </c>
      <c r="C920" s="37"/>
      <c r="D920" s="50">
        <v>695.31</v>
      </c>
      <c r="E920" s="51">
        <v>16313.2</v>
      </c>
      <c r="F920" s="44">
        <f t="shared" ref="F920:F925" si="19">E920/D920</f>
        <v>23.461765255785192</v>
      </c>
      <c r="G920" s="125"/>
      <c r="H920" s="126"/>
      <c r="I920" s="127"/>
      <c r="J920" s="128"/>
      <c r="K920" s="129"/>
      <c r="L920" s="5"/>
    </row>
    <row r="921" spans="1:12" x14ac:dyDescent="0.25">
      <c r="A921" s="48"/>
      <c r="B921" s="35"/>
      <c r="C921" s="39"/>
      <c r="D921" s="52"/>
      <c r="E921" s="53"/>
      <c r="F921" s="44" t="e">
        <f t="shared" si="19"/>
        <v>#DIV/0!</v>
      </c>
      <c r="G921" s="110"/>
      <c r="H921" s="111"/>
      <c r="I921" s="112"/>
      <c r="J921" s="113"/>
      <c r="K921" s="114"/>
      <c r="L921" s="5"/>
    </row>
    <row r="922" spans="1:12" x14ac:dyDescent="0.25">
      <c r="A922" s="38"/>
      <c r="B922" s="35"/>
      <c r="C922" s="39"/>
      <c r="D922" s="52"/>
      <c r="E922" s="53"/>
      <c r="F922" s="44" t="e">
        <f t="shared" si="19"/>
        <v>#DIV/0!</v>
      </c>
      <c r="G922" s="110"/>
      <c r="H922" s="111"/>
      <c r="I922" s="112"/>
      <c r="J922" s="113"/>
      <c r="K922" s="114"/>
      <c r="L922" s="5"/>
    </row>
    <row r="923" spans="1:12" x14ac:dyDescent="0.25">
      <c r="A923" s="48"/>
      <c r="B923" s="35"/>
      <c r="C923" s="39"/>
      <c r="D923" s="52"/>
      <c r="E923" s="53"/>
      <c r="F923" s="44" t="e">
        <f t="shared" si="19"/>
        <v>#DIV/0!</v>
      </c>
      <c r="G923" s="110"/>
      <c r="H923" s="111"/>
      <c r="I923" s="112"/>
      <c r="J923" s="113"/>
      <c r="K923" s="114"/>
      <c r="L923" s="5"/>
    </row>
    <row r="924" spans="1:12" x14ac:dyDescent="0.25">
      <c r="A924" s="27"/>
      <c r="B924" s="11"/>
      <c r="C924" s="6"/>
      <c r="D924" s="54"/>
      <c r="E924" s="55"/>
      <c r="F924" s="44" t="e">
        <f t="shared" si="19"/>
        <v>#DIV/0!</v>
      </c>
      <c r="G924" s="110"/>
      <c r="H924" s="111"/>
      <c r="I924" s="112"/>
      <c r="J924" s="113"/>
      <c r="K924" s="114"/>
      <c r="L924" s="5"/>
    </row>
    <row r="925" spans="1:12" x14ac:dyDescent="0.25">
      <c r="A925" s="68"/>
      <c r="B925" s="11"/>
      <c r="C925" s="6"/>
      <c r="D925" s="54"/>
      <c r="E925" s="55"/>
      <c r="F925" s="44" t="e">
        <f t="shared" si="19"/>
        <v>#DIV/0!</v>
      </c>
      <c r="G925" s="110"/>
      <c r="H925" s="111"/>
      <c r="I925" s="112"/>
      <c r="J925" s="113"/>
      <c r="K925" s="114"/>
      <c r="L925" s="5"/>
    </row>
    <row r="926" spans="1:12" ht="15.75" thickBot="1" x14ac:dyDescent="0.3">
      <c r="A926" s="5"/>
      <c r="B926" s="5"/>
      <c r="C926" s="7" t="s">
        <v>35</v>
      </c>
      <c r="D926" s="17">
        <f>D920+D921+D922+D923+D924+D925</f>
        <v>695.31</v>
      </c>
      <c r="E926" s="17">
        <f>E920+E921+E922+E923+E924+E925</f>
        <v>16313.2</v>
      </c>
      <c r="F926" s="5"/>
      <c r="G926" s="110"/>
      <c r="H926" s="111"/>
      <c r="I926" s="112"/>
      <c r="J926" s="113"/>
      <c r="K926" s="114"/>
      <c r="L926" s="7" t="s">
        <v>36</v>
      </c>
    </row>
    <row r="927" spans="1:12" ht="15.75" thickBot="1" x14ac:dyDescent="0.3">
      <c r="A927" s="5"/>
      <c r="B927" s="5"/>
      <c r="C927" s="5"/>
      <c r="D927" s="5"/>
      <c r="E927" s="5"/>
      <c r="F927" s="5"/>
      <c r="G927" s="130"/>
      <c r="H927" s="131"/>
      <c r="I927" s="132"/>
      <c r="J927" s="133"/>
      <c r="K927" s="134"/>
      <c r="L927" s="18">
        <f>J920+J921+J922+J923+J924+J925+J926+J927</f>
        <v>0</v>
      </c>
    </row>
    <row r="928" spans="1:12" ht="15.75" thickBo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75" thickBot="1" x14ac:dyDescent="0.3">
      <c r="A929" s="19"/>
      <c r="B929" s="20"/>
      <c r="C929" s="20"/>
      <c r="D929" s="20"/>
      <c r="E929" s="21" t="s">
        <v>13</v>
      </c>
      <c r="F929" s="5"/>
      <c r="G929" s="19"/>
      <c r="H929" s="20"/>
      <c r="I929" s="20"/>
      <c r="J929" s="20"/>
      <c r="K929" s="21" t="s">
        <v>13</v>
      </c>
      <c r="L929" s="5"/>
    </row>
    <row r="930" spans="1:12" x14ac:dyDescent="0.25">
      <c r="A930" s="22" t="s">
        <v>31</v>
      </c>
      <c r="B930" s="115">
        <v>23850</v>
      </c>
      <c r="C930" s="116"/>
      <c r="D930" s="116"/>
      <c r="E930" s="117"/>
      <c r="F930" s="5"/>
      <c r="G930" s="22" t="s">
        <v>32</v>
      </c>
      <c r="H930" s="115"/>
      <c r="I930" s="116"/>
      <c r="J930" s="116"/>
      <c r="K930" s="117"/>
      <c r="L930" s="5"/>
    </row>
    <row r="931" spans="1:1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x14ac:dyDescent="0.25">
      <c r="A932" s="7" t="s">
        <v>16</v>
      </c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x14ac:dyDescent="0.25">
      <c r="A933" s="9" t="s">
        <v>17</v>
      </c>
      <c r="B933" s="23">
        <f>L912-C907</f>
        <v>1671</v>
      </c>
      <c r="C933" s="5"/>
      <c r="D933" s="106" t="s">
        <v>18</v>
      </c>
      <c r="E933" s="107"/>
      <c r="F933" s="24" t="s">
        <v>19</v>
      </c>
      <c r="G933" s="9" t="s">
        <v>20</v>
      </c>
      <c r="H933" s="118">
        <f>B930+H930</f>
        <v>23850</v>
      </c>
      <c r="I933" s="119"/>
      <c r="J933" s="5"/>
      <c r="K933" s="5"/>
      <c r="L933" s="5"/>
    </row>
    <row r="934" spans="1:12" x14ac:dyDescent="0.25">
      <c r="A934" s="9" t="s">
        <v>41</v>
      </c>
      <c r="B934" s="40">
        <f>B933/D926</f>
        <v>2.4032445959356261</v>
      </c>
      <c r="C934" s="5"/>
      <c r="D934" s="102">
        <f>E926</f>
        <v>16313.2</v>
      </c>
      <c r="E934" s="103"/>
      <c r="F934" s="25">
        <f>H934/B933</f>
        <v>11.445182525433873</v>
      </c>
      <c r="G934" s="9" t="s">
        <v>21</v>
      </c>
      <c r="H934" s="104">
        <f>L927+D934+D936+D938+D940+A937</f>
        <v>19124.900000000001</v>
      </c>
      <c r="I934" s="105"/>
      <c r="J934" s="5"/>
      <c r="K934" s="5"/>
      <c r="L934" s="5"/>
    </row>
    <row r="935" spans="1:12" x14ac:dyDescent="0.25">
      <c r="A935" s="9" t="s">
        <v>43</v>
      </c>
      <c r="B935" s="23">
        <f>D926/B933</f>
        <v>0.41610412926391377</v>
      </c>
      <c r="C935" s="5"/>
      <c r="D935" s="106" t="s">
        <v>33</v>
      </c>
      <c r="E935" s="107"/>
      <c r="F935" s="5"/>
      <c r="G935" s="13" t="s">
        <v>22</v>
      </c>
      <c r="H935" s="6"/>
      <c r="I935" s="26">
        <f>H933-H934</f>
        <v>4725.0999999999985</v>
      </c>
      <c r="J935" s="5"/>
      <c r="K935" s="5"/>
      <c r="L935" s="5"/>
    </row>
    <row r="936" spans="1:12" x14ac:dyDescent="0.25">
      <c r="A936" s="106" t="s">
        <v>40</v>
      </c>
      <c r="B936" s="107"/>
      <c r="C936" s="5"/>
      <c r="D936" s="108">
        <v>300</v>
      </c>
      <c r="E936" s="109"/>
      <c r="F936" s="5"/>
      <c r="G936" s="5"/>
      <c r="H936" s="5"/>
      <c r="I936" s="5"/>
      <c r="J936" s="5"/>
      <c r="K936" s="5"/>
      <c r="L936" s="5"/>
    </row>
    <row r="937" spans="1:12" x14ac:dyDescent="0.25">
      <c r="A937" s="108">
        <f>B933*0.4</f>
        <v>668.40000000000009</v>
      </c>
      <c r="B937" s="109"/>
      <c r="C937" s="5"/>
      <c r="D937" s="106" t="s">
        <v>34</v>
      </c>
      <c r="E937" s="107"/>
      <c r="F937" s="5"/>
      <c r="G937" s="5"/>
      <c r="H937" s="5"/>
      <c r="I937" s="5"/>
      <c r="J937" s="5"/>
      <c r="K937" s="5"/>
      <c r="L937" s="5"/>
    </row>
    <row r="938" spans="1:12" x14ac:dyDescent="0.25">
      <c r="A938" s="5"/>
      <c r="B938" s="5"/>
      <c r="C938" s="5"/>
      <c r="D938" s="108"/>
      <c r="E938" s="109"/>
      <c r="F938" s="5"/>
      <c r="G938" s="5"/>
      <c r="H938" s="5"/>
      <c r="I938" s="5"/>
      <c r="J938" s="5"/>
      <c r="K938" s="5"/>
      <c r="L938" s="5"/>
    </row>
    <row r="939" spans="1:12" x14ac:dyDescent="0.25">
      <c r="A939" s="5"/>
      <c r="B939" s="5"/>
      <c r="C939" s="5"/>
      <c r="D939" s="106" t="s">
        <v>37</v>
      </c>
      <c r="E939" s="107"/>
      <c r="F939" s="5"/>
      <c r="G939" s="5"/>
      <c r="H939" s="5"/>
      <c r="I939" s="5"/>
      <c r="J939" s="5"/>
      <c r="K939" s="5"/>
      <c r="L939" s="5"/>
    </row>
    <row r="940" spans="1:12" x14ac:dyDescent="0.25">
      <c r="A940" s="5"/>
      <c r="B940" s="5"/>
      <c r="C940" s="5"/>
      <c r="D940" s="108">
        <v>1843.3</v>
      </c>
      <c r="E940" s="109"/>
      <c r="F940" s="5" t="s">
        <v>153</v>
      </c>
      <c r="G940" s="5"/>
      <c r="H940" s="5"/>
      <c r="I940" s="5"/>
      <c r="J940" s="5"/>
      <c r="K940" s="5"/>
      <c r="L940" s="5"/>
    </row>
    <row r="941" spans="1:1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x14ac:dyDescent="0.25">
      <c r="A942" s="5" t="s">
        <v>23</v>
      </c>
      <c r="B942" s="5" t="s">
        <v>54</v>
      </c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s="49" customFormat="1" x14ac:dyDescent="0.25"/>
    <row r="948" spans="1:12" x14ac:dyDescent="0.25">
      <c r="A948" s="120" t="s">
        <v>24</v>
      </c>
      <c r="B948" s="120"/>
      <c r="C948" s="120"/>
      <c r="D948" s="120"/>
      <c r="E948" s="120"/>
      <c r="F948" s="120"/>
      <c r="G948" s="120"/>
      <c r="H948" s="120"/>
    </row>
    <row r="949" spans="1:12" x14ac:dyDescent="0.25">
      <c r="A949" s="120"/>
      <c r="B949" s="120"/>
      <c r="C949" s="120"/>
      <c r="D949" s="120"/>
      <c r="E949" s="120"/>
      <c r="F949" s="120"/>
      <c r="G949" s="120"/>
      <c r="H949" s="120"/>
    </row>
    <row r="950" spans="1:12" x14ac:dyDescent="0.25">
      <c r="A950" s="1" t="s">
        <v>4</v>
      </c>
      <c r="B950" s="2"/>
      <c r="C950" s="2"/>
      <c r="D950" s="2"/>
      <c r="E950" s="2"/>
      <c r="F950" s="2"/>
      <c r="G950" s="3" t="s">
        <v>5</v>
      </c>
      <c r="H950" s="3" t="s">
        <v>6</v>
      </c>
      <c r="I950" s="4" t="s">
        <v>7</v>
      </c>
      <c r="J950" s="5"/>
      <c r="K950" s="5"/>
      <c r="L950" s="5"/>
    </row>
    <row r="951" spans="1:12" x14ac:dyDescent="0.25">
      <c r="A951" s="28" t="s">
        <v>80</v>
      </c>
      <c r="B951" s="29" t="s">
        <v>62</v>
      </c>
      <c r="C951" s="67"/>
      <c r="D951" s="66"/>
      <c r="E951" s="2"/>
      <c r="F951" s="2"/>
      <c r="G951" s="28" t="s">
        <v>155</v>
      </c>
      <c r="H951" s="66"/>
      <c r="I951" s="33"/>
      <c r="J951" s="6"/>
      <c r="K951" s="33"/>
      <c r="L951" s="6"/>
    </row>
    <row r="952" spans="1:12" x14ac:dyDescent="0.25">
      <c r="A952" s="7" t="s">
        <v>2</v>
      </c>
      <c r="B952" s="5"/>
      <c r="C952" s="5"/>
      <c r="D952" s="5"/>
      <c r="E952" s="5"/>
      <c r="F952" s="5"/>
      <c r="G952" s="8" t="s">
        <v>8</v>
      </c>
      <c r="H952" s="31"/>
      <c r="I952" s="5"/>
      <c r="J952" s="5"/>
      <c r="K952" s="5"/>
      <c r="L952" s="5"/>
    </row>
    <row r="953" spans="1:12" x14ac:dyDescent="0.25">
      <c r="A953" s="7" t="s">
        <v>25</v>
      </c>
      <c r="B953" s="5"/>
      <c r="C953" s="7" t="s">
        <v>0</v>
      </c>
      <c r="D953" s="5"/>
      <c r="E953" s="5"/>
      <c r="F953" s="5"/>
      <c r="G953" s="7" t="s">
        <v>25</v>
      </c>
      <c r="H953" s="5"/>
      <c r="I953" s="7" t="s">
        <v>0</v>
      </c>
      <c r="J953" s="5"/>
      <c r="K953" s="5"/>
      <c r="L953" s="5"/>
    </row>
    <row r="954" spans="1:12" x14ac:dyDescent="0.25">
      <c r="A954" s="42" t="s">
        <v>159</v>
      </c>
      <c r="B954" s="6"/>
      <c r="C954" s="31">
        <f>L912</f>
        <v>484271</v>
      </c>
      <c r="D954" s="5"/>
      <c r="E954" s="5"/>
      <c r="F954" s="5"/>
      <c r="G954" s="42"/>
      <c r="H954" s="6"/>
      <c r="I954" s="9"/>
      <c r="J954" s="5"/>
      <c r="K954" s="5"/>
      <c r="L954" s="5"/>
    </row>
    <row r="955" spans="1:12" ht="16.5" thickBot="1" x14ac:dyDescent="0.3">
      <c r="A955" s="58"/>
      <c r="B955" s="5"/>
      <c r="C955" s="5"/>
      <c r="D955" s="5"/>
      <c r="E955" s="5"/>
      <c r="F955" s="5"/>
      <c r="G955" s="10"/>
      <c r="H955" s="5"/>
      <c r="I955" s="5"/>
      <c r="J955" s="5"/>
      <c r="K955" s="5"/>
      <c r="L955" s="5"/>
    </row>
    <row r="956" spans="1:12" ht="15.75" thickBot="1" x14ac:dyDescent="0.3">
      <c r="A956" s="121" t="s">
        <v>9</v>
      </c>
      <c r="B956" s="122"/>
      <c r="C956" s="123"/>
      <c r="D956" s="5"/>
      <c r="E956" s="5"/>
      <c r="F956" s="5"/>
      <c r="G956" s="121" t="s">
        <v>26</v>
      </c>
      <c r="H956" s="122"/>
      <c r="I956" s="123"/>
      <c r="J956" s="5"/>
      <c r="K956" s="5"/>
      <c r="L956" s="5"/>
    </row>
    <row r="957" spans="1:12" x14ac:dyDescent="0.25">
      <c r="A957" s="30" t="s">
        <v>38</v>
      </c>
      <c r="B957" s="11"/>
      <c r="C957" s="11"/>
      <c r="D957" s="11"/>
      <c r="E957" s="6"/>
      <c r="F957" s="5"/>
      <c r="G957" s="30" t="str">
        <f>A960</f>
        <v>Rundu/Nkurenkuru</v>
      </c>
      <c r="H957" s="11"/>
      <c r="I957" s="11"/>
      <c r="J957" s="11"/>
      <c r="K957" s="11"/>
      <c r="L957" s="6"/>
    </row>
    <row r="958" spans="1:12" ht="15.75" thickBot="1" x14ac:dyDescent="0.3">
      <c r="A958" s="7"/>
      <c r="B958" s="7"/>
      <c r="C958" s="7"/>
      <c r="D958" s="5"/>
      <c r="E958" s="5"/>
      <c r="F958" s="5"/>
      <c r="G958" s="7" t="s">
        <v>3</v>
      </c>
      <c r="H958" s="7"/>
      <c r="I958" s="7"/>
      <c r="J958" s="5"/>
      <c r="K958" s="5"/>
      <c r="L958" s="5"/>
    </row>
    <row r="959" spans="1:12" ht="15.75" thickBot="1" x14ac:dyDescent="0.3">
      <c r="A959" s="121" t="s">
        <v>30</v>
      </c>
      <c r="B959" s="122"/>
      <c r="C959" s="124"/>
      <c r="D959" s="12" t="s">
        <v>1</v>
      </c>
      <c r="E959" s="32"/>
      <c r="F959" s="5"/>
      <c r="G959" s="121" t="s">
        <v>27</v>
      </c>
      <c r="H959" s="122"/>
      <c r="I959" s="123"/>
      <c r="J959" s="5"/>
      <c r="K959" s="12" t="s">
        <v>1</v>
      </c>
      <c r="L959" s="32">
        <v>485974</v>
      </c>
    </row>
    <row r="960" spans="1:12" x14ac:dyDescent="0.25">
      <c r="A960" s="13" t="s">
        <v>158</v>
      </c>
      <c r="B960" s="14"/>
      <c r="C960" s="11"/>
      <c r="D960" s="11"/>
      <c r="E960" s="6"/>
      <c r="F960" s="5"/>
      <c r="G960" s="34" t="str">
        <f>A957</f>
        <v>Windhoek</v>
      </c>
      <c r="H960" s="11"/>
      <c r="I960" s="11"/>
      <c r="J960" s="11"/>
      <c r="K960" s="11"/>
      <c r="L960" s="6"/>
    </row>
    <row r="961" spans="1:12" x14ac:dyDescent="0.25">
      <c r="A961" s="13"/>
      <c r="B961" s="11"/>
      <c r="C961" s="11"/>
      <c r="D961" s="11"/>
      <c r="E961" s="6"/>
      <c r="F961" s="5"/>
      <c r="G961" s="13"/>
      <c r="H961" s="11"/>
      <c r="I961" s="11"/>
      <c r="J961" s="11"/>
      <c r="K961" s="11"/>
      <c r="L961" s="6"/>
    </row>
    <row r="962" spans="1:12" x14ac:dyDescent="0.25">
      <c r="A962" s="13"/>
      <c r="B962" s="11"/>
      <c r="C962" s="11"/>
      <c r="D962" s="11"/>
      <c r="E962" s="6"/>
      <c r="F962" s="5"/>
      <c r="G962" s="13"/>
      <c r="H962" s="11"/>
      <c r="I962" s="11"/>
      <c r="J962" s="11"/>
      <c r="K962" s="11"/>
      <c r="L962" s="6"/>
    </row>
    <row r="963" spans="1:12" x14ac:dyDescent="0.25">
      <c r="A963" s="13"/>
      <c r="B963" s="11"/>
      <c r="C963" s="11"/>
      <c r="D963" s="11"/>
      <c r="E963" s="6"/>
      <c r="F963" s="5"/>
      <c r="G963" s="13"/>
      <c r="H963" s="11"/>
      <c r="I963" s="11"/>
      <c r="J963" s="11"/>
      <c r="K963" s="11"/>
      <c r="L963" s="6"/>
    </row>
    <row r="964" spans="1:12" ht="15.75" thickBot="1" x14ac:dyDescent="0.3">
      <c r="A964" s="13"/>
      <c r="B964" s="11"/>
      <c r="C964" s="11" t="s">
        <v>29</v>
      </c>
      <c r="D964" s="43"/>
      <c r="E964" s="6"/>
      <c r="F964" s="5"/>
      <c r="G964" s="13"/>
      <c r="H964" s="11"/>
      <c r="I964" s="14" t="s">
        <v>28</v>
      </c>
      <c r="J964" s="43"/>
      <c r="K964" s="11"/>
      <c r="L964" s="6"/>
    </row>
    <row r="965" spans="1:12" ht="15.75" thickBot="1" x14ac:dyDescent="0.3">
      <c r="A965" s="15" t="s">
        <v>10</v>
      </c>
      <c r="B965" s="5"/>
      <c r="C965" s="5"/>
      <c r="D965" s="5"/>
      <c r="E965" s="5"/>
      <c r="F965" s="5"/>
      <c r="G965" s="15" t="s">
        <v>14</v>
      </c>
      <c r="H965" s="5"/>
      <c r="I965" s="5"/>
      <c r="J965" s="5"/>
      <c r="K965" s="5"/>
      <c r="L965" s="5"/>
    </row>
    <row r="966" spans="1:12" ht="15.75" thickBot="1" x14ac:dyDescent="0.3">
      <c r="A966" s="121" t="s">
        <v>11</v>
      </c>
      <c r="B966" s="122"/>
      <c r="C966" s="123"/>
      <c r="D966" s="16" t="s">
        <v>12</v>
      </c>
      <c r="E966" s="16" t="s">
        <v>13</v>
      </c>
      <c r="F966" s="5"/>
      <c r="G966" s="121" t="s">
        <v>15</v>
      </c>
      <c r="H966" s="122"/>
      <c r="I966" s="123"/>
      <c r="J966" s="121" t="s">
        <v>13</v>
      </c>
      <c r="K966" s="123"/>
      <c r="L966" s="5"/>
    </row>
    <row r="967" spans="1:12" x14ac:dyDescent="0.25">
      <c r="A967" s="41" t="s">
        <v>157</v>
      </c>
      <c r="B967" s="36" t="s">
        <v>47</v>
      </c>
      <c r="C967" s="37"/>
      <c r="D967" s="50">
        <v>646.17999999999995</v>
      </c>
      <c r="E967" s="51">
        <v>14991</v>
      </c>
      <c r="F967" s="44">
        <f t="shared" ref="F967:F972" si="20">E967/D967</f>
        <v>23.199418118790433</v>
      </c>
      <c r="G967" s="125"/>
      <c r="H967" s="126"/>
      <c r="I967" s="127"/>
      <c r="J967" s="128"/>
      <c r="K967" s="129"/>
      <c r="L967" s="5"/>
    </row>
    <row r="968" spans="1:12" x14ac:dyDescent="0.25">
      <c r="A968" s="48"/>
      <c r="B968" s="35"/>
      <c r="C968" s="39"/>
      <c r="D968" s="52"/>
      <c r="E968" s="53"/>
      <c r="F968" s="44" t="e">
        <f t="shared" si="20"/>
        <v>#DIV/0!</v>
      </c>
      <c r="G968" s="110"/>
      <c r="H968" s="111"/>
      <c r="I968" s="112"/>
      <c r="J968" s="113"/>
      <c r="K968" s="114"/>
      <c r="L968" s="5"/>
    </row>
    <row r="969" spans="1:12" x14ac:dyDescent="0.25">
      <c r="A969" s="38"/>
      <c r="B969" s="35"/>
      <c r="C969" s="39"/>
      <c r="D969" s="52"/>
      <c r="E969" s="53"/>
      <c r="F969" s="44" t="e">
        <f t="shared" si="20"/>
        <v>#DIV/0!</v>
      </c>
      <c r="G969" s="110"/>
      <c r="H969" s="111"/>
      <c r="I969" s="112"/>
      <c r="J969" s="113"/>
      <c r="K969" s="114"/>
      <c r="L969" s="5"/>
    </row>
    <row r="970" spans="1:12" x14ac:dyDescent="0.25">
      <c r="A970" s="48"/>
      <c r="B970" s="35"/>
      <c r="C970" s="39"/>
      <c r="D970" s="52"/>
      <c r="E970" s="53"/>
      <c r="F970" s="44" t="e">
        <f t="shared" si="20"/>
        <v>#DIV/0!</v>
      </c>
      <c r="G970" s="110"/>
      <c r="H970" s="111"/>
      <c r="I970" s="112"/>
      <c r="J970" s="113"/>
      <c r="K970" s="114"/>
      <c r="L970" s="5"/>
    </row>
    <row r="971" spans="1:12" x14ac:dyDescent="0.25">
      <c r="A971" s="27"/>
      <c r="B971" s="11"/>
      <c r="C971" s="6"/>
      <c r="D971" s="54"/>
      <c r="E971" s="55"/>
      <c r="F971" s="44" t="e">
        <f t="shared" si="20"/>
        <v>#DIV/0!</v>
      </c>
      <c r="G971" s="110"/>
      <c r="H971" s="111"/>
      <c r="I971" s="112"/>
      <c r="J971" s="113"/>
      <c r="K971" s="114"/>
      <c r="L971" s="5"/>
    </row>
    <row r="972" spans="1:12" x14ac:dyDescent="0.25">
      <c r="A972" s="68"/>
      <c r="B972" s="11"/>
      <c r="C972" s="6"/>
      <c r="D972" s="54"/>
      <c r="E972" s="55"/>
      <c r="F972" s="44" t="e">
        <f t="shared" si="20"/>
        <v>#DIV/0!</v>
      </c>
      <c r="G972" s="110"/>
      <c r="H972" s="111"/>
      <c r="I972" s="112"/>
      <c r="J972" s="113"/>
      <c r="K972" s="114"/>
      <c r="L972" s="5"/>
    </row>
    <row r="973" spans="1:12" ht="15.75" thickBot="1" x14ac:dyDescent="0.3">
      <c r="A973" s="5"/>
      <c r="B973" s="5"/>
      <c r="C973" s="7" t="s">
        <v>35</v>
      </c>
      <c r="D973" s="17">
        <f>D967+D968+D969+D970+D971+D972</f>
        <v>646.17999999999995</v>
      </c>
      <c r="E973" s="17">
        <f>E967+E968+E969+E970+E971+E972</f>
        <v>14991</v>
      </c>
      <c r="F973" s="5"/>
      <c r="G973" s="110"/>
      <c r="H973" s="111"/>
      <c r="I973" s="112"/>
      <c r="J973" s="113"/>
      <c r="K973" s="114"/>
      <c r="L973" s="7" t="s">
        <v>36</v>
      </c>
    </row>
    <row r="974" spans="1:12" ht="15.75" thickBot="1" x14ac:dyDescent="0.3">
      <c r="A974" s="5"/>
      <c r="B974" s="5"/>
      <c r="C974" s="5"/>
      <c r="D974" s="5"/>
      <c r="E974" s="5"/>
      <c r="F974" s="5"/>
      <c r="G974" s="130"/>
      <c r="H974" s="131"/>
      <c r="I974" s="132"/>
      <c r="J974" s="133"/>
      <c r="K974" s="134"/>
      <c r="L974" s="18">
        <f>J967+J968+J969+J970+J971+J972+J973+J974</f>
        <v>0</v>
      </c>
    </row>
    <row r="975" spans="1:12" ht="15.75" thickBo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75" thickBot="1" x14ac:dyDescent="0.3">
      <c r="A976" s="19"/>
      <c r="B976" s="20"/>
      <c r="C976" s="20"/>
      <c r="D976" s="20"/>
      <c r="E976" s="21" t="s">
        <v>13</v>
      </c>
      <c r="F976" s="5"/>
      <c r="G976" s="19"/>
      <c r="H976" s="20"/>
      <c r="I976" s="20"/>
      <c r="J976" s="20"/>
      <c r="K976" s="21" t="s">
        <v>13</v>
      </c>
      <c r="L976" s="5"/>
    </row>
    <row r="977" spans="1:12" x14ac:dyDescent="0.25">
      <c r="A977" s="22" t="s">
        <v>31</v>
      </c>
      <c r="B977" s="115">
        <v>22896</v>
      </c>
      <c r="C977" s="116"/>
      <c r="D977" s="116"/>
      <c r="E977" s="117"/>
      <c r="F977" s="5"/>
      <c r="G977" s="22" t="s">
        <v>32</v>
      </c>
      <c r="H977" s="115"/>
      <c r="I977" s="116"/>
      <c r="J977" s="116"/>
      <c r="K977" s="117"/>
      <c r="L977" s="5"/>
    </row>
    <row r="978" spans="1:1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x14ac:dyDescent="0.25">
      <c r="A979" s="7" t="s">
        <v>16</v>
      </c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x14ac:dyDescent="0.25">
      <c r="A980" s="9" t="s">
        <v>17</v>
      </c>
      <c r="B980" s="23">
        <f>L959-C954</f>
        <v>1703</v>
      </c>
      <c r="C980" s="5"/>
      <c r="D980" s="106" t="s">
        <v>18</v>
      </c>
      <c r="E980" s="107"/>
      <c r="F980" s="24" t="s">
        <v>19</v>
      </c>
      <c r="G980" s="9" t="s">
        <v>20</v>
      </c>
      <c r="H980" s="118">
        <f>B977+H977</f>
        <v>22896</v>
      </c>
      <c r="I980" s="119"/>
      <c r="J980" s="5"/>
      <c r="K980" s="5"/>
      <c r="L980" s="5"/>
    </row>
    <row r="981" spans="1:12" x14ac:dyDescent="0.25">
      <c r="A981" s="9" t="s">
        <v>41</v>
      </c>
      <c r="B981" s="40">
        <f>B980/D973</f>
        <v>2.635488563558142</v>
      </c>
      <c r="C981" s="5"/>
      <c r="D981" s="102">
        <f>E973</f>
        <v>14991</v>
      </c>
      <c r="E981" s="103"/>
      <c r="F981" s="25">
        <f>H981/B980</f>
        <v>12.200322959483266</v>
      </c>
      <c r="G981" s="9" t="s">
        <v>21</v>
      </c>
      <c r="H981" s="104">
        <f>L974+D981+D983+D985+D987+A984</f>
        <v>20777.150000000001</v>
      </c>
      <c r="I981" s="105"/>
      <c r="J981" s="5"/>
      <c r="K981" s="5"/>
      <c r="L981" s="5"/>
    </row>
    <row r="982" spans="1:12" x14ac:dyDescent="0.25">
      <c r="A982" s="9" t="s">
        <v>43</v>
      </c>
      <c r="B982" s="23">
        <f>D973/B980</f>
        <v>0.3794362889019377</v>
      </c>
      <c r="C982" s="5"/>
      <c r="D982" s="106" t="s">
        <v>33</v>
      </c>
      <c r="E982" s="107"/>
      <c r="F982" s="5"/>
      <c r="G982" s="13" t="s">
        <v>22</v>
      </c>
      <c r="H982" s="6"/>
      <c r="I982" s="26">
        <f>H980-H981</f>
        <v>2118.8499999999985</v>
      </c>
      <c r="J982" s="5"/>
      <c r="K982" s="5"/>
      <c r="L982" s="5"/>
    </row>
    <row r="983" spans="1:12" x14ac:dyDescent="0.25">
      <c r="A983" s="106" t="s">
        <v>40</v>
      </c>
      <c r="B983" s="107"/>
      <c r="C983" s="5"/>
      <c r="D983" s="108">
        <v>400</v>
      </c>
      <c r="E983" s="109"/>
      <c r="F983" s="5"/>
      <c r="G983" s="5"/>
      <c r="H983" s="5"/>
      <c r="I983" s="5"/>
      <c r="J983" s="5"/>
      <c r="K983" s="5"/>
      <c r="L983" s="5"/>
    </row>
    <row r="984" spans="1:12" x14ac:dyDescent="0.25">
      <c r="A984" s="108">
        <f>B980*0.4</f>
        <v>681.2</v>
      </c>
      <c r="B984" s="109"/>
      <c r="C984" s="5"/>
      <c r="D984" s="106" t="s">
        <v>34</v>
      </c>
      <c r="E984" s="107"/>
      <c r="F984" s="5"/>
      <c r="G984" s="5"/>
      <c r="H984" s="5"/>
      <c r="I984" s="5"/>
      <c r="J984" s="5"/>
      <c r="K984" s="5"/>
      <c r="L984" s="5"/>
    </row>
    <row r="985" spans="1:12" x14ac:dyDescent="0.25">
      <c r="A985" s="5"/>
      <c r="B985" s="5"/>
      <c r="C985" s="5"/>
      <c r="D985" s="108"/>
      <c r="E985" s="109"/>
      <c r="F985" s="5"/>
      <c r="G985" s="5"/>
      <c r="H985" s="5"/>
      <c r="I985" s="5"/>
      <c r="J985" s="5"/>
      <c r="K985" s="5"/>
      <c r="L985" s="5"/>
    </row>
    <row r="986" spans="1:12" x14ac:dyDescent="0.25">
      <c r="A986" s="5"/>
      <c r="B986" s="5"/>
      <c r="C986" s="5"/>
      <c r="D986" s="106" t="s">
        <v>37</v>
      </c>
      <c r="E986" s="107"/>
      <c r="F986" s="5"/>
      <c r="G986" s="5"/>
      <c r="H986" s="5"/>
      <c r="I986" s="5"/>
      <c r="J986" s="5"/>
      <c r="K986" s="5"/>
      <c r="L986" s="5"/>
    </row>
    <row r="987" spans="1:12" x14ac:dyDescent="0.25">
      <c r="A987" s="5"/>
      <c r="B987" s="5"/>
      <c r="C987" s="5"/>
      <c r="D987" s="108">
        <v>4704.95</v>
      </c>
      <c r="E987" s="109"/>
      <c r="F987" s="5" t="s">
        <v>153</v>
      </c>
      <c r="G987" s="5"/>
      <c r="H987" s="5"/>
      <c r="I987" s="5"/>
      <c r="J987" s="5"/>
      <c r="K987" s="5"/>
      <c r="L987" s="5"/>
    </row>
    <row r="988" spans="1:1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x14ac:dyDescent="0.25">
      <c r="A989" s="5" t="s">
        <v>23</v>
      </c>
      <c r="B989" s="5" t="s">
        <v>54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s="49" customFormat="1" x14ac:dyDescent="0.25"/>
    <row r="993" spans="1:12" x14ac:dyDescent="0.25">
      <c r="A993" s="120" t="s">
        <v>24</v>
      </c>
      <c r="B993" s="120"/>
      <c r="C993" s="120"/>
      <c r="D993" s="120"/>
      <c r="E993" s="120"/>
      <c r="F993" s="120"/>
      <c r="G993" s="120"/>
      <c r="H993" s="120"/>
    </row>
    <row r="994" spans="1:12" x14ac:dyDescent="0.25">
      <c r="A994" s="120"/>
      <c r="B994" s="120"/>
      <c r="C994" s="120"/>
      <c r="D994" s="120"/>
      <c r="E994" s="120"/>
      <c r="F994" s="120"/>
      <c r="G994" s="120"/>
      <c r="H994" s="120"/>
    </row>
    <row r="995" spans="1:12" x14ac:dyDescent="0.25">
      <c r="A995" s="1" t="s">
        <v>4</v>
      </c>
      <c r="B995" s="2"/>
      <c r="C995" s="2"/>
      <c r="D995" s="2"/>
      <c r="E995" s="2"/>
      <c r="F995" s="2"/>
      <c r="G995" s="3" t="s">
        <v>5</v>
      </c>
      <c r="H995" s="3" t="s">
        <v>6</v>
      </c>
      <c r="I995" s="4" t="s">
        <v>7</v>
      </c>
      <c r="J995" s="5"/>
      <c r="K995" s="5"/>
      <c r="L995" s="5"/>
    </row>
    <row r="996" spans="1:12" x14ac:dyDescent="0.25">
      <c r="A996" s="28" t="s">
        <v>80</v>
      </c>
      <c r="B996" s="29" t="s">
        <v>62</v>
      </c>
      <c r="C996" s="67"/>
      <c r="D996" s="66"/>
      <c r="E996" s="2"/>
      <c r="F996" s="2"/>
      <c r="G996" s="28" t="s">
        <v>155</v>
      </c>
      <c r="H996" s="66"/>
      <c r="I996" s="33"/>
      <c r="J996" s="6"/>
      <c r="K996" s="33"/>
      <c r="L996" s="6"/>
    </row>
    <row r="997" spans="1:12" x14ac:dyDescent="0.25">
      <c r="A997" s="7" t="s">
        <v>2</v>
      </c>
      <c r="B997" s="5"/>
      <c r="C997" s="5"/>
      <c r="D997" s="5"/>
      <c r="E997" s="5"/>
      <c r="F997" s="5"/>
      <c r="G997" s="8" t="s">
        <v>8</v>
      </c>
      <c r="H997" s="31"/>
      <c r="I997" s="5"/>
      <c r="J997" s="5"/>
      <c r="K997" s="5"/>
      <c r="L997" s="5"/>
    </row>
    <row r="998" spans="1:12" x14ac:dyDescent="0.25">
      <c r="A998" s="7" t="s">
        <v>25</v>
      </c>
      <c r="B998" s="5"/>
      <c r="C998" s="7" t="s">
        <v>0</v>
      </c>
      <c r="D998" s="5"/>
      <c r="E998" s="5"/>
      <c r="F998" s="5"/>
      <c r="G998" s="7" t="s">
        <v>25</v>
      </c>
      <c r="H998" s="5"/>
      <c r="I998" s="7" t="s">
        <v>0</v>
      </c>
      <c r="J998" s="5"/>
      <c r="K998" s="5"/>
      <c r="L998" s="5"/>
    </row>
    <row r="999" spans="1:12" x14ac:dyDescent="0.25">
      <c r="A999" s="42" t="s">
        <v>160</v>
      </c>
      <c r="B999" s="6"/>
      <c r="C999" s="31">
        <f>L959</f>
        <v>485974</v>
      </c>
      <c r="D999" s="5"/>
      <c r="E999" s="5"/>
      <c r="F999" s="5"/>
      <c r="G999" s="42"/>
      <c r="H999" s="6"/>
      <c r="I999" s="9"/>
      <c r="J999" s="5"/>
      <c r="K999" s="5"/>
      <c r="L999" s="5"/>
    </row>
    <row r="1000" spans="1:12" ht="16.5" thickBot="1" x14ac:dyDescent="0.3">
      <c r="A1000" s="58"/>
      <c r="B1000" s="5"/>
      <c r="C1000" s="5"/>
      <c r="D1000" s="5"/>
      <c r="E1000" s="5"/>
      <c r="F1000" s="5"/>
      <c r="G1000" s="10"/>
      <c r="H1000" s="5"/>
      <c r="I1000" s="5"/>
      <c r="J1000" s="5"/>
      <c r="K1000" s="5"/>
      <c r="L1000" s="5"/>
    </row>
    <row r="1001" spans="1:12" ht="15.75" thickBot="1" x14ac:dyDescent="0.3">
      <c r="A1001" s="121" t="s">
        <v>9</v>
      </c>
      <c r="B1001" s="122"/>
      <c r="C1001" s="123"/>
      <c r="D1001" s="5"/>
      <c r="E1001" s="5"/>
      <c r="F1001" s="5"/>
      <c r="G1001" s="121" t="s">
        <v>26</v>
      </c>
      <c r="H1001" s="122"/>
      <c r="I1001" s="123"/>
      <c r="J1001" s="5"/>
      <c r="K1001" s="5"/>
      <c r="L1001" s="5"/>
    </row>
    <row r="1002" spans="1:12" x14ac:dyDescent="0.25">
      <c r="A1002" s="30" t="s">
        <v>38</v>
      </c>
      <c r="B1002" s="11"/>
      <c r="C1002" s="11"/>
      <c r="D1002" s="11"/>
      <c r="E1002" s="6"/>
      <c r="F1002" s="5"/>
      <c r="G1002" s="30" t="str">
        <f>A1005</f>
        <v>Rundu/Nkurenkuru</v>
      </c>
      <c r="H1002" s="11"/>
      <c r="I1002" s="11"/>
      <c r="J1002" s="11"/>
      <c r="K1002" s="11"/>
      <c r="L1002" s="6"/>
    </row>
    <row r="1003" spans="1:12" ht="15.75" thickBot="1" x14ac:dyDescent="0.3">
      <c r="A1003" s="7"/>
      <c r="B1003" s="7"/>
      <c r="C1003" s="7"/>
      <c r="D1003" s="5"/>
      <c r="E1003" s="5"/>
      <c r="F1003" s="5"/>
      <c r="G1003" s="7" t="s">
        <v>3</v>
      </c>
      <c r="H1003" s="7"/>
      <c r="I1003" s="7"/>
      <c r="J1003" s="5"/>
      <c r="K1003" s="5"/>
      <c r="L1003" s="5"/>
    </row>
    <row r="1004" spans="1:12" ht="15.75" thickBot="1" x14ac:dyDescent="0.3">
      <c r="A1004" s="121" t="s">
        <v>30</v>
      </c>
      <c r="B1004" s="122"/>
      <c r="C1004" s="124"/>
      <c r="D1004" s="12" t="s">
        <v>1</v>
      </c>
      <c r="E1004" s="32"/>
      <c r="F1004" s="5"/>
      <c r="G1004" s="121" t="s">
        <v>27</v>
      </c>
      <c r="H1004" s="122"/>
      <c r="I1004" s="123"/>
      <c r="J1004" s="5"/>
      <c r="K1004" s="12" t="s">
        <v>1</v>
      </c>
      <c r="L1004" s="32">
        <v>485985</v>
      </c>
    </row>
    <row r="1005" spans="1:12" x14ac:dyDescent="0.25">
      <c r="A1005" s="13" t="s">
        <v>158</v>
      </c>
      <c r="B1005" s="14"/>
      <c r="C1005" s="11"/>
      <c r="D1005" s="11"/>
      <c r="E1005" s="6"/>
      <c r="F1005" s="5"/>
      <c r="G1005" s="34" t="str">
        <f>A1002</f>
        <v>Windhoek</v>
      </c>
      <c r="H1005" s="11"/>
      <c r="I1005" s="11"/>
      <c r="J1005" s="11"/>
      <c r="K1005" s="11"/>
      <c r="L1005" s="6"/>
    </row>
    <row r="1006" spans="1:12" x14ac:dyDescent="0.25">
      <c r="A1006" s="13"/>
      <c r="B1006" s="11"/>
      <c r="C1006" s="11"/>
      <c r="D1006" s="11"/>
      <c r="E1006" s="6"/>
      <c r="F1006" s="5"/>
      <c r="G1006" s="13"/>
      <c r="H1006" s="11"/>
      <c r="I1006" s="11"/>
      <c r="J1006" s="11"/>
      <c r="K1006" s="11"/>
      <c r="L1006" s="6"/>
    </row>
    <row r="1007" spans="1:12" x14ac:dyDescent="0.25">
      <c r="A1007" s="13"/>
      <c r="B1007" s="11"/>
      <c r="C1007" s="11"/>
      <c r="D1007" s="11"/>
      <c r="E1007" s="6"/>
      <c r="F1007" s="5"/>
      <c r="G1007" s="13"/>
      <c r="H1007" s="11"/>
      <c r="I1007" s="11"/>
      <c r="J1007" s="11"/>
      <c r="K1007" s="11"/>
      <c r="L1007" s="6"/>
    </row>
    <row r="1008" spans="1:12" x14ac:dyDescent="0.25">
      <c r="A1008" s="13"/>
      <c r="B1008" s="11"/>
      <c r="C1008" s="11"/>
      <c r="D1008" s="11"/>
      <c r="E1008" s="6"/>
      <c r="F1008" s="5"/>
      <c r="G1008" s="13"/>
      <c r="H1008" s="11"/>
      <c r="I1008" s="11"/>
      <c r="J1008" s="11"/>
      <c r="K1008" s="11"/>
      <c r="L1008" s="6"/>
    </row>
    <row r="1009" spans="1:12" ht="15.75" thickBot="1" x14ac:dyDescent="0.3">
      <c r="A1009" s="13"/>
      <c r="B1009" s="11"/>
      <c r="C1009" s="11" t="s">
        <v>29</v>
      </c>
      <c r="D1009" s="43"/>
      <c r="E1009" s="6"/>
      <c r="F1009" s="5"/>
      <c r="G1009" s="13"/>
      <c r="H1009" s="11"/>
      <c r="I1009" s="14" t="s">
        <v>28</v>
      </c>
      <c r="J1009" s="43"/>
      <c r="K1009" s="11"/>
      <c r="L1009" s="6"/>
    </row>
    <row r="1010" spans="1:12" ht="15.75" thickBot="1" x14ac:dyDescent="0.3">
      <c r="A1010" s="15" t="s">
        <v>10</v>
      </c>
      <c r="B1010" s="5"/>
      <c r="C1010" s="5"/>
      <c r="D1010" s="5"/>
      <c r="E1010" s="5"/>
      <c r="F1010" s="5"/>
      <c r="G1010" s="15" t="s">
        <v>14</v>
      </c>
      <c r="H1010" s="5"/>
      <c r="I1010" s="5"/>
      <c r="J1010" s="5"/>
      <c r="K1010" s="5"/>
      <c r="L1010" s="5"/>
    </row>
    <row r="1011" spans="1:12" ht="15.75" thickBot="1" x14ac:dyDescent="0.3">
      <c r="A1011" s="121" t="s">
        <v>11</v>
      </c>
      <c r="B1011" s="122"/>
      <c r="C1011" s="123"/>
      <c r="D1011" s="16" t="s">
        <v>12</v>
      </c>
      <c r="E1011" s="16" t="s">
        <v>13</v>
      </c>
      <c r="F1011" s="5"/>
      <c r="G1011" s="121" t="s">
        <v>15</v>
      </c>
      <c r="H1011" s="122"/>
      <c r="I1011" s="123"/>
      <c r="J1011" s="121" t="s">
        <v>13</v>
      </c>
      <c r="K1011" s="123"/>
      <c r="L1011" s="5"/>
    </row>
    <row r="1012" spans="1:12" x14ac:dyDescent="0.25">
      <c r="A1012" s="41">
        <v>44629</v>
      </c>
      <c r="B1012" s="36" t="s">
        <v>47</v>
      </c>
      <c r="C1012" s="37"/>
      <c r="D1012" s="50">
        <v>695.31</v>
      </c>
      <c r="E1012" s="51">
        <v>16131.2</v>
      </c>
      <c r="F1012" s="44">
        <f t="shared" ref="F1012:F1017" si="21">E1012/D1012</f>
        <v>23.200011505659351</v>
      </c>
      <c r="G1012" s="125"/>
      <c r="H1012" s="126"/>
      <c r="I1012" s="127"/>
      <c r="J1012" s="128"/>
      <c r="K1012" s="129"/>
      <c r="L1012" s="5"/>
    </row>
    <row r="1013" spans="1:12" x14ac:dyDescent="0.25">
      <c r="A1013" s="48"/>
      <c r="B1013" s="35"/>
      <c r="C1013" s="39"/>
      <c r="D1013" s="52"/>
      <c r="E1013" s="53"/>
      <c r="F1013" s="44" t="e">
        <f t="shared" si="21"/>
        <v>#DIV/0!</v>
      </c>
      <c r="G1013" s="110"/>
      <c r="H1013" s="111"/>
      <c r="I1013" s="112"/>
      <c r="J1013" s="113"/>
      <c r="K1013" s="114"/>
      <c r="L1013" s="5"/>
    </row>
    <row r="1014" spans="1:12" x14ac:dyDescent="0.25">
      <c r="A1014" s="38"/>
      <c r="B1014" s="35"/>
      <c r="C1014" s="39"/>
      <c r="D1014" s="52"/>
      <c r="E1014" s="53"/>
      <c r="F1014" s="44" t="e">
        <f t="shared" si="21"/>
        <v>#DIV/0!</v>
      </c>
      <c r="G1014" s="110"/>
      <c r="H1014" s="111"/>
      <c r="I1014" s="112"/>
      <c r="J1014" s="113"/>
      <c r="K1014" s="114"/>
      <c r="L1014" s="5"/>
    </row>
    <row r="1015" spans="1:12" x14ac:dyDescent="0.25">
      <c r="A1015" s="48"/>
      <c r="B1015" s="35"/>
      <c r="C1015" s="39"/>
      <c r="D1015" s="52"/>
      <c r="E1015" s="53"/>
      <c r="F1015" s="44" t="e">
        <f t="shared" si="21"/>
        <v>#DIV/0!</v>
      </c>
      <c r="G1015" s="110"/>
      <c r="H1015" s="111"/>
      <c r="I1015" s="112"/>
      <c r="J1015" s="113"/>
      <c r="K1015" s="114"/>
      <c r="L1015" s="5"/>
    </row>
    <row r="1016" spans="1:12" x14ac:dyDescent="0.25">
      <c r="A1016" s="27"/>
      <c r="B1016" s="11"/>
      <c r="C1016" s="6"/>
      <c r="D1016" s="54"/>
      <c r="E1016" s="55"/>
      <c r="F1016" s="44" t="e">
        <f t="shared" si="21"/>
        <v>#DIV/0!</v>
      </c>
      <c r="G1016" s="110"/>
      <c r="H1016" s="111"/>
      <c r="I1016" s="112"/>
      <c r="J1016" s="113"/>
      <c r="K1016" s="114"/>
      <c r="L1016" s="5"/>
    </row>
    <row r="1017" spans="1:12" x14ac:dyDescent="0.25">
      <c r="A1017" s="68"/>
      <c r="B1017" s="11"/>
      <c r="C1017" s="6"/>
      <c r="D1017" s="54"/>
      <c r="E1017" s="55"/>
      <c r="F1017" s="44" t="e">
        <f t="shared" si="21"/>
        <v>#DIV/0!</v>
      </c>
      <c r="G1017" s="110"/>
      <c r="H1017" s="111"/>
      <c r="I1017" s="112"/>
      <c r="J1017" s="113"/>
      <c r="K1017" s="114"/>
      <c r="L1017" s="5"/>
    </row>
    <row r="1018" spans="1:12" ht="15.75" thickBot="1" x14ac:dyDescent="0.3">
      <c r="A1018" s="5"/>
      <c r="B1018" s="5"/>
      <c r="C1018" s="7" t="s">
        <v>35</v>
      </c>
      <c r="D1018" s="17">
        <f>D1012+D1013+D1014+D1015+D1016+D1017</f>
        <v>695.31</v>
      </c>
      <c r="E1018" s="17">
        <f>E1012+E1013+E1014+E1015+E1016+E1017</f>
        <v>16131.2</v>
      </c>
      <c r="F1018" s="5"/>
      <c r="G1018" s="110"/>
      <c r="H1018" s="111"/>
      <c r="I1018" s="112"/>
      <c r="J1018" s="113"/>
      <c r="K1018" s="114"/>
      <c r="L1018" s="7" t="s">
        <v>36</v>
      </c>
    </row>
    <row r="1019" spans="1:12" ht="15.75" thickBot="1" x14ac:dyDescent="0.3">
      <c r="A1019" s="5"/>
      <c r="B1019" s="5"/>
      <c r="C1019" s="5"/>
      <c r="D1019" s="5"/>
      <c r="E1019" s="5"/>
      <c r="F1019" s="5"/>
      <c r="G1019" s="130"/>
      <c r="H1019" s="131"/>
      <c r="I1019" s="132"/>
      <c r="J1019" s="133"/>
      <c r="K1019" s="134"/>
      <c r="L1019" s="18">
        <f>J1012+J1013+J1014+J1015+J1016+J1017+J1018+J1019</f>
        <v>0</v>
      </c>
    </row>
    <row r="1020" spans="1:12" ht="15.75" thickBot="1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</row>
    <row r="1021" spans="1:12" ht="15.75" thickBot="1" x14ac:dyDescent="0.3">
      <c r="A1021" s="19"/>
      <c r="B1021" s="20"/>
      <c r="C1021" s="20"/>
      <c r="D1021" s="20"/>
      <c r="E1021" s="21" t="s">
        <v>13</v>
      </c>
      <c r="F1021" s="5"/>
      <c r="G1021" s="19"/>
      <c r="H1021" s="20"/>
      <c r="I1021" s="20"/>
      <c r="J1021" s="20"/>
      <c r="K1021" s="21" t="s">
        <v>13</v>
      </c>
      <c r="L1021" s="5"/>
    </row>
    <row r="1022" spans="1:12" x14ac:dyDescent="0.25">
      <c r="A1022" s="22" t="s">
        <v>31</v>
      </c>
      <c r="B1022" s="115">
        <v>22896</v>
      </c>
      <c r="C1022" s="116"/>
      <c r="D1022" s="116"/>
      <c r="E1022" s="117"/>
      <c r="F1022" s="5"/>
      <c r="G1022" s="22" t="s">
        <v>32</v>
      </c>
      <c r="H1022" s="115"/>
      <c r="I1022" s="116"/>
      <c r="J1022" s="116"/>
      <c r="K1022" s="117"/>
      <c r="L1022" s="5"/>
    </row>
    <row r="1023" spans="1:12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</row>
    <row r="1024" spans="1:12" x14ac:dyDescent="0.25">
      <c r="A1024" s="7" t="s">
        <v>16</v>
      </c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</row>
    <row r="1025" spans="1:12" x14ac:dyDescent="0.25">
      <c r="A1025" s="9" t="s">
        <v>17</v>
      </c>
      <c r="B1025" s="23">
        <f>L1004-C999</f>
        <v>11</v>
      </c>
      <c r="C1025" s="5"/>
      <c r="D1025" s="106" t="s">
        <v>18</v>
      </c>
      <c r="E1025" s="107"/>
      <c r="F1025" s="24" t="s">
        <v>19</v>
      </c>
      <c r="G1025" s="9" t="s">
        <v>20</v>
      </c>
      <c r="H1025" s="118">
        <f>B1022+H1022</f>
        <v>22896</v>
      </c>
      <c r="I1025" s="119"/>
      <c r="J1025" s="5"/>
      <c r="K1025" s="5"/>
      <c r="L1025" s="5"/>
    </row>
    <row r="1026" spans="1:12" x14ac:dyDescent="0.25">
      <c r="A1026" s="9" t="s">
        <v>41</v>
      </c>
      <c r="B1026" s="40">
        <f>B1025/D1018</f>
        <v>1.5820281601012499E-2</v>
      </c>
      <c r="C1026" s="5"/>
      <c r="D1026" s="102">
        <f>E1018</f>
        <v>16131.2</v>
      </c>
      <c r="E1026" s="103"/>
      <c r="F1026" s="25">
        <f>H1026/B1025</f>
        <v>1930.9590909090912</v>
      </c>
      <c r="G1026" s="9" t="s">
        <v>21</v>
      </c>
      <c r="H1026" s="104">
        <f>L1019+D1026+D1028+D1030+D1032+A1029</f>
        <v>21240.550000000003</v>
      </c>
      <c r="I1026" s="105"/>
      <c r="J1026" s="5"/>
      <c r="K1026" s="5"/>
      <c r="L1026" s="5"/>
    </row>
    <row r="1027" spans="1:12" x14ac:dyDescent="0.25">
      <c r="A1027" s="9" t="s">
        <v>43</v>
      </c>
      <c r="B1027" s="23">
        <f>D1018/B1025</f>
        <v>63.209999999999994</v>
      </c>
      <c r="C1027" s="5"/>
      <c r="D1027" s="106" t="s">
        <v>33</v>
      </c>
      <c r="E1027" s="107"/>
      <c r="F1027" s="5"/>
      <c r="G1027" s="13" t="s">
        <v>22</v>
      </c>
      <c r="H1027" s="6"/>
      <c r="I1027" s="26">
        <f>H1025-H1026</f>
        <v>1655.4499999999971</v>
      </c>
      <c r="J1027" s="5"/>
      <c r="K1027" s="5"/>
      <c r="L1027" s="5"/>
    </row>
    <row r="1028" spans="1:12" x14ac:dyDescent="0.25">
      <c r="A1028" s="106" t="s">
        <v>40</v>
      </c>
      <c r="B1028" s="107"/>
      <c r="C1028" s="5"/>
      <c r="D1028" s="108">
        <v>400</v>
      </c>
      <c r="E1028" s="109"/>
      <c r="F1028" s="5"/>
      <c r="G1028" s="5"/>
      <c r="H1028" s="5"/>
      <c r="I1028" s="5"/>
      <c r="J1028" s="5"/>
      <c r="K1028" s="5"/>
      <c r="L1028" s="5"/>
    </row>
    <row r="1029" spans="1:12" x14ac:dyDescent="0.25">
      <c r="A1029" s="108">
        <f>B1025*0.4</f>
        <v>4.4000000000000004</v>
      </c>
      <c r="B1029" s="109"/>
      <c r="C1029" s="5"/>
      <c r="D1029" s="106" t="s">
        <v>34</v>
      </c>
      <c r="E1029" s="107"/>
      <c r="F1029" s="5"/>
      <c r="G1029" s="5"/>
      <c r="H1029" s="5"/>
      <c r="I1029" s="5"/>
      <c r="J1029" s="5"/>
      <c r="K1029" s="5"/>
      <c r="L1029" s="5"/>
    </row>
    <row r="1030" spans="1:12" x14ac:dyDescent="0.25">
      <c r="A1030" s="5"/>
      <c r="B1030" s="5"/>
      <c r="C1030" s="5"/>
      <c r="D1030" s="108"/>
      <c r="E1030" s="109"/>
      <c r="F1030" s="5"/>
      <c r="G1030" s="5"/>
      <c r="H1030" s="5"/>
      <c r="I1030" s="5"/>
      <c r="J1030" s="5"/>
      <c r="K1030" s="5"/>
      <c r="L1030" s="5"/>
    </row>
    <row r="1031" spans="1:12" x14ac:dyDescent="0.25">
      <c r="A1031" s="5"/>
      <c r="B1031" s="5"/>
      <c r="C1031" s="5"/>
      <c r="D1031" s="106" t="s">
        <v>37</v>
      </c>
      <c r="E1031" s="107"/>
      <c r="F1031" s="5"/>
      <c r="G1031" s="5"/>
      <c r="H1031" s="5"/>
      <c r="I1031" s="5"/>
      <c r="J1031" s="5"/>
      <c r="K1031" s="5"/>
      <c r="L1031" s="5"/>
    </row>
    <row r="1032" spans="1:12" x14ac:dyDescent="0.25">
      <c r="A1032" s="5"/>
      <c r="B1032" s="5"/>
      <c r="C1032" s="5"/>
      <c r="D1032" s="108">
        <v>4704.95</v>
      </c>
      <c r="E1032" s="109"/>
      <c r="F1032" s="5" t="s">
        <v>153</v>
      </c>
      <c r="G1032" s="5"/>
      <c r="H1032" s="5"/>
      <c r="I1032" s="5"/>
      <c r="J1032" s="5"/>
      <c r="K1032" s="5"/>
      <c r="L1032" s="5"/>
    </row>
    <row r="1033" spans="1:12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</row>
    <row r="1034" spans="1:12" x14ac:dyDescent="0.25">
      <c r="A1034" s="5" t="s">
        <v>23</v>
      </c>
      <c r="B1034" s="5" t="s">
        <v>54</v>
      </c>
      <c r="C1034" s="5"/>
      <c r="D1034" s="5"/>
      <c r="E1034" s="5"/>
      <c r="F1034" s="5"/>
      <c r="G1034" s="5"/>
      <c r="H1034" s="5"/>
      <c r="I1034" s="5"/>
      <c r="J1034" s="5"/>
      <c r="K1034" s="5"/>
      <c r="L1034" s="5"/>
    </row>
    <row r="1035" spans="1:12" s="49" customFormat="1" x14ac:dyDescent="0.25"/>
    <row r="1038" spans="1:12" x14ac:dyDescent="0.25">
      <c r="A1038" s="120" t="s">
        <v>24</v>
      </c>
      <c r="B1038" s="120"/>
      <c r="C1038" s="120"/>
      <c r="D1038" s="120"/>
      <c r="E1038" s="120"/>
      <c r="F1038" s="120"/>
      <c r="G1038" s="120"/>
      <c r="H1038" s="120"/>
    </row>
    <row r="1039" spans="1:12" x14ac:dyDescent="0.25">
      <c r="A1039" s="120"/>
      <c r="B1039" s="120"/>
      <c r="C1039" s="120"/>
      <c r="D1039" s="120"/>
      <c r="E1039" s="120"/>
      <c r="F1039" s="120"/>
      <c r="G1039" s="120"/>
      <c r="H1039" s="120"/>
    </row>
    <row r="1040" spans="1:12" x14ac:dyDescent="0.25">
      <c r="A1040" s="1" t="s">
        <v>4</v>
      </c>
      <c r="B1040" s="2"/>
      <c r="C1040" s="2"/>
      <c r="D1040" s="2"/>
      <c r="E1040" s="2"/>
      <c r="F1040" s="2"/>
      <c r="G1040" s="3" t="s">
        <v>5</v>
      </c>
      <c r="H1040" s="3" t="s">
        <v>6</v>
      </c>
      <c r="I1040" s="4" t="s">
        <v>7</v>
      </c>
      <c r="J1040" s="5"/>
      <c r="K1040" s="5"/>
      <c r="L1040" s="5"/>
    </row>
    <row r="1041" spans="1:12" x14ac:dyDescent="0.25">
      <c r="A1041" s="28" t="s">
        <v>80</v>
      </c>
      <c r="B1041" s="29" t="s">
        <v>62</v>
      </c>
      <c r="C1041" s="67"/>
      <c r="D1041" s="66"/>
      <c r="E1041" s="2"/>
      <c r="F1041" s="2"/>
      <c r="G1041" s="28" t="s">
        <v>155</v>
      </c>
      <c r="H1041" s="66"/>
      <c r="I1041" s="33"/>
      <c r="J1041" s="6"/>
      <c r="K1041" s="33"/>
      <c r="L1041" s="6"/>
    </row>
    <row r="1042" spans="1:12" x14ac:dyDescent="0.25">
      <c r="A1042" s="7" t="s">
        <v>2</v>
      </c>
      <c r="B1042" s="5"/>
      <c r="C1042" s="5"/>
      <c r="D1042" s="5"/>
      <c r="E1042" s="5"/>
      <c r="F1042" s="5"/>
      <c r="G1042" s="8" t="s">
        <v>8</v>
      </c>
      <c r="H1042" s="31"/>
      <c r="I1042" s="5"/>
      <c r="J1042" s="5"/>
      <c r="K1042" s="5"/>
      <c r="L1042" s="5"/>
    </row>
    <row r="1043" spans="1:12" x14ac:dyDescent="0.25">
      <c r="A1043" s="7" t="s">
        <v>25</v>
      </c>
      <c r="B1043" s="5"/>
      <c r="C1043" s="7" t="s">
        <v>0</v>
      </c>
      <c r="D1043" s="5"/>
      <c r="E1043" s="5"/>
      <c r="F1043" s="5"/>
      <c r="G1043" s="7" t="s">
        <v>25</v>
      </c>
      <c r="H1043" s="5"/>
      <c r="I1043" s="7" t="s">
        <v>0</v>
      </c>
      <c r="J1043" s="5"/>
      <c r="K1043" s="5"/>
      <c r="L1043" s="5"/>
    </row>
    <row r="1044" spans="1:12" x14ac:dyDescent="0.25">
      <c r="A1044" s="42">
        <v>44601</v>
      </c>
      <c r="B1044" s="6"/>
      <c r="C1044" s="31">
        <f>L1004</f>
        <v>485985</v>
      </c>
      <c r="D1044" s="5"/>
      <c r="E1044" s="5"/>
      <c r="F1044" s="5"/>
      <c r="G1044" s="42"/>
      <c r="H1044" s="6"/>
      <c r="I1044" s="9"/>
      <c r="J1044" s="5"/>
      <c r="K1044" s="5"/>
      <c r="L1044" s="5"/>
    </row>
    <row r="1045" spans="1:12" ht="16.5" thickBot="1" x14ac:dyDescent="0.3">
      <c r="A1045" s="58"/>
      <c r="B1045" s="5"/>
      <c r="C1045" s="5"/>
      <c r="D1045" s="5"/>
      <c r="E1045" s="5"/>
      <c r="F1045" s="5"/>
      <c r="G1045" s="10"/>
      <c r="H1045" s="5"/>
      <c r="I1045" s="5"/>
      <c r="J1045" s="5"/>
      <c r="K1045" s="5"/>
      <c r="L1045" s="5"/>
    </row>
    <row r="1046" spans="1:12" ht="15.75" thickBot="1" x14ac:dyDescent="0.3">
      <c r="A1046" s="121" t="s">
        <v>9</v>
      </c>
      <c r="B1046" s="122"/>
      <c r="C1046" s="123"/>
      <c r="D1046" s="5"/>
      <c r="E1046" s="5"/>
      <c r="F1046" s="5"/>
      <c r="G1046" s="121" t="s">
        <v>26</v>
      </c>
      <c r="H1046" s="122"/>
      <c r="I1046" s="123"/>
      <c r="J1046" s="5"/>
      <c r="K1046" s="5"/>
      <c r="L1046" s="5"/>
    </row>
    <row r="1047" spans="1:12" x14ac:dyDescent="0.25">
      <c r="A1047" s="30" t="s">
        <v>38</v>
      </c>
      <c r="B1047" s="11"/>
      <c r="C1047" s="11"/>
      <c r="D1047" s="11"/>
      <c r="E1047" s="6"/>
      <c r="F1047" s="5"/>
      <c r="G1047" s="30" t="str">
        <f>A1050</f>
        <v>Divundu/Katima</v>
      </c>
      <c r="H1047" s="11"/>
      <c r="I1047" s="11"/>
      <c r="J1047" s="11"/>
      <c r="K1047" s="11"/>
      <c r="L1047" s="6"/>
    </row>
    <row r="1048" spans="1:12" ht="15.75" thickBot="1" x14ac:dyDescent="0.3">
      <c r="A1048" s="7"/>
      <c r="B1048" s="7"/>
      <c r="C1048" s="7"/>
      <c r="D1048" s="5"/>
      <c r="E1048" s="5"/>
      <c r="F1048" s="5"/>
      <c r="G1048" s="7" t="s">
        <v>3</v>
      </c>
      <c r="H1048" s="7"/>
      <c r="I1048" s="7"/>
      <c r="J1048" s="5"/>
      <c r="K1048" s="5"/>
      <c r="L1048" s="5"/>
    </row>
    <row r="1049" spans="1:12" ht="15.75" thickBot="1" x14ac:dyDescent="0.3">
      <c r="A1049" s="121" t="s">
        <v>30</v>
      </c>
      <c r="B1049" s="122"/>
      <c r="C1049" s="124"/>
      <c r="D1049" s="12" t="s">
        <v>1</v>
      </c>
      <c r="E1049" s="32"/>
      <c r="F1049" s="5"/>
      <c r="G1049" s="121" t="s">
        <v>27</v>
      </c>
      <c r="H1049" s="122"/>
      <c r="I1049" s="123"/>
      <c r="J1049" s="5"/>
      <c r="K1049" s="12" t="s">
        <v>1</v>
      </c>
      <c r="L1049" s="32">
        <v>488589</v>
      </c>
    </row>
    <row r="1050" spans="1:12" x14ac:dyDescent="0.25">
      <c r="A1050" s="13" t="s">
        <v>152</v>
      </c>
      <c r="B1050" s="14"/>
      <c r="C1050" s="11"/>
      <c r="D1050" s="11"/>
      <c r="E1050" s="6"/>
      <c r="F1050" s="5"/>
      <c r="G1050" s="34" t="str">
        <f>A1047</f>
        <v>Windhoek</v>
      </c>
      <c r="H1050" s="11"/>
      <c r="I1050" s="11"/>
      <c r="J1050" s="11"/>
      <c r="K1050" s="11"/>
      <c r="L1050" s="6"/>
    </row>
    <row r="1051" spans="1:12" x14ac:dyDescent="0.25">
      <c r="A1051" s="13"/>
      <c r="B1051" s="11"/>
      <c r="C1051" s="11"/>
      <c r="D1051" s="11"/>
      <c r="E1051" s="6"/>
      <c r="F1051" s="5"/>
      <c r="G1051" s="13"/>
      <c r="H1051" s="11"/>
      <c r="I1051" s="11"/>
      <c r="J1051" s="11"/>
      <c r="K1051" s="11"/>
      <c r="L1051" s="6"/>
    </row>
    <row r="1052" spans="1:12" x14ac:dyDescent="0.25">
      <c r="A1052" s="13"/>
      <c r="B1052" s="11"/>
      <c r="C1052" s="11"/>
      <c r="D1052" s="11"/>
      <c r="E1052" s="6"/>
      <c r="F1052" s="5"/>
      <c r="G1052" s="13"/>
      <c r="H1052" s="11"/>
      <c r="I1052" s="11"/>
      <c r="J1052" s="11"/>
      <c r="K1052" s="11"/>
      <c r="L1052" s="6"/>
    </row>
    <row r="1053" spans="1:12" x14ac:dyDescent="0.25">
      <c r="A1053" s="13"/>
      <c r="B1053" s="11"/>
      <c r="C1053" s="11"/>
      <c r="D1053" s="11"/>
      <c r="E1053" s="6"/>
      <c r="F1053" s="5"/>
      <c r="G1053" s="13"/>
      <c r="H1053" s="11"/>
      <c r="I1053" s="11"/>
      <c r="J1053" s="11"/>
      <c r="K1053" s="11"/>
      <c r="L1053" s="6"/>
    </row>
    <row r="1054" spans="1:12" ht="15.75" thickBot="1" x14ac:dyDescent="0.3">
      <c r="A1054" s="13"/>
      <c r="B1054" s="11"/>
      <c r="C1054" s="11" t="s">
        <v>29</v>
      </c>
      <c r="D1054" s="43"/>
      <c r="E1054" s="6"/>
      <c r="F1054" s="5"/>
      <c r="G1054" s="13"/>
      <c r="H1054" s="11"/>
      <c r="I1054" s="14" t="s">
        <v>28</v>
      </c>
      <c r="J1054" s="43"/>
      <c r="K1054" s="11"/>
      <c r="L1054" s="6"/>
    </row>
    <row r="1055" spans="1:12" ht="15.75" thickBot="1" x14ac:dyDescent="0.3">
      <c r="A1055" s="15" t="s">
        <v>10</v>
      </c>
      <c r="B1055" s="5"/>
      <c r="C1055" s="5"/>
      <c r="D1055" s="5"/>
      <c r="E1055" s="5"/>
      <c r="F1055" s="5"/>
      <c r="G1055" s="15" t="s">
        <v>14</v>
      </c>
      <c r="H1055" s="5"/>
      <c r="I1055" s="5"/>
      <c r="J1055" s="5"/>
      <c r="K1055" s="5"/>
      <c r="L1055" s="5"/>
    </row>
    <row r="1056" spans="1:12" ht="15.75" thickBot="1" x14ac:dyDescent="0.3">
      <c r="A1056" s="121" t="s">
        <v>11</v>
      </c>
      <c r="B1056" s="122"/>
      <c r="C1056" s="123"/>
      <c r="D1056" s="16" t="s">
        <v>12</v>
      </c>
      <c r="E1056" s="16" t="s">
        <v>13</v>
      </c>
      <c r="F1056" s="5"/>
      <c r="G1056" s="121" t="s">
        <v>15</v>
      </c>
      <c r="H1056" s="122"/>
      <c r="I1056" s="123"/>
      <c r="J1056" s="121" t="s">
        <v>13</v>
      </c>
      <c r="K1056" s="123"/>
      <c r="L1056" s="5"/>
    </row>
    <row r="1057" spans="1:12" x14ac:dyDescent="0.25">
      <c r="A1057" s="41">
        <v>44751</v>
      </c>
      <c r="B1057" s="36" t="s">
        <v>48</v>
      </c>
      <c r="C1057" s="37"/>
      <c r="D1057" s="50">
        <v>400.59500000000003</v>
      </c>
      <c r="E1057" s="51">
        <v>9061.4699999999993</v>
      </c>
      <c r="F1057" s="44">
        <f t="shared" ref="F1057:F1062" si="22">E1057/D1057</f>
        <v>22.620027708783184</v>
      </c>
      <c r="G1057" s="125"/>
      <c r="H1057" s="126"/>
      <c r="I1057" s="127"/>
      <c r="J1057" s="128"/>
      <c r="K1057" s="129"/>
      <c r="L1057" s="5"/>
    </row>
    <row r="1058" spans="1:12" x14ac:dyDescent="0.25">
      <c r="A1058" s="48">
        <v>44904</v>
      </c>
      <c r="B1058" s="35" t="s">
        <v>47</v>
      </c>
      <c r="C1058" s="39"/>
      <c r="D1058" s="52">
        <v>710.17</v>
      </c>
      <c r="E1058" s="53">
        <v>16014.35</v>
      </c>
      <c r="F1058" s="44">
        <f t="shared" si="22"/>
        <v>22.550023233873581</v>
      </c>
      <c r="G1058" s="110"/>
      <c r="H1058" s="111"/>
      <c r="I1058" s="112"/>
      <c r="J1058" s="113"/>
      <c r="K1058" s="114"/>
      <c r="L1058" s="5"/>
    </row>
    <row r="1059" spans="1:12" x14ac:dyDescent="0.25">
      <c r="A1059" s="38"/>
      <c r="B1059" s="35"/>
      <c r="C1059" s="39"/>
      <c r="D1059" s="52"/>
      <c r="E1059" s="53"/>
      <c r="F1059" s="44" t="e">
        <f t="shared" si="22"/>
        <v>#DIV/0!</v>
      </c>
      <c r="G1059" s="110"/>
      <c r="H1059" s="111"/>
      <c r="I1059" s="112"/>
      <c r="J1059" s="113"/>
      <c r="K1059" s="114"/>
      <c r="L1059" s="5"/>
    </row>
    <row r="1060" spans="1:12" x14ac:dyDescent="0.25">
      <c r="A1060" s="48"/>
      <c r="B1060" s="35"/>
      <c r="C1060" s="39"/>
      <c r="D1060" s="52"/>
      <c r="E1060" s="53"/>
      <c r="F1060" s="44" t="e">
        <f t="shared" si="22"/>
        <v>#DIV/0!</v>
      </c>
      <c r="G1060" s="110"/>
      <c r="H1060" s="111"/>
      <c r="I1060" s="112"/>
      <c r="J1060" s="113"/>
      <c r="K1060" s="114"/>
      <c r="L1060" s="5"/>
    </row>
    <row r="1061" spans="1:12" x14ac:dyDescent="0.25">
      <c r="A1061" s="27"/>
      <c r="B1061" s="11"/>
      <c r="C1061" s="6"/>
      <c r="D1061" s="54"/>
      <c r="E1061" s="55"/>
      <c r="F1061" s="44" t="e">
        <f t="shared" si="22"/>
        <v>#DIV/0!</v>
      </c>
      <c r="G1061" s="110"/>
      <c r="H1061" s="111"/>
      <c r="I1061" s="112"/>
      <c r="J1061" s="113"/>
      <c r="K1061" s="114"/>
      <c r="L1061" s="5"/>
    </row>
    <row r="1062" spans="1:12" x14ac:dyDescent="0.25">
      <c r="A1062" s="68"/>
      <c r="B1062" s="11"/>
      <c r="C1062" s="6"/>
      <c r="D1062" s="54"/>
      <c r="E1062" s="55"/>
      <c r="F1062" s="44" t="e">
        <f t="shared" si="22"/>
        <v>#DIV/0!</v>
      </c>
      <c r="G1062" s="110"/>
      <c r="H1062" s="111"/>
      <c r="I1062" s="112"/>
      <c r="J1062" s="113"/>
      <c r="K1062" s="114"/>
      <c r="L1062" s="5"/>
    </row>
    <row r="1063" spans="1:12" ht="15.75" thickBot="1" x14ac:dyDescent="0.3">
      <c r="A1063" s="5"/>
      <c r="B1063" s="5"/>
      <c r="C1063" s="7" t="s">
        <v>35</v>
      </c>
      <c r="D1063" s="17">
        <f>D1057+D1058+D1059+D1060+D1061+D1062</f>
        <v>1110.7649999999999</v>
      </c>
      <c r="E1063" s="17">
        <f>E1057+E1058+E1059+E1060+E1061+E1062</f>
        <v>25075.82</v>
      </c>
      <c r="F1063" s="5"/>
      <c r="G1063" s="110"/>
      <c r="H1063" s="111"/>
      <c r="I1063" s="112"/>
      <c r="J1063" s="113"/>
      <c r="K1063" s="114"/>
      <c r="L1063" s="7" t="s">
        <v>36</v>
      </c>
    </row>
    <row r="1064" spans="1:12" ht="15.75" thickBot="1" x14ac:dyDescent="0.3">
      <c r="A1064" s="5"/>
      <c r="B1064" s="5"/>
      <c r="C1064" s="5"/>
      <c r="D1064" s="5"/>
      <c r="E1064" s="5"/>
      <c r="F1064" s="5"/>
      <c r="G1064" s="130"/>
      <c r="H1064" s="131"/>
      <c r="I1064" s="132"/>
      <c r="J1064" s="133"/>
      <c r="K1064" s="134"/>
      <c r="L1064" s="18">
        <f>J1057+J1058+J1059+J1060+J1061+J1062+J1063+J1064</f>
        <v>0</v>
      </c>
    </row>
    <row r="1065" spans="1:12" ht="15.75" thickBot="1" x14ac:dyDescent="0.3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</row>
    <row r="1066" spans="1:12" ht="15.75" thickBot="1" x14ac:dyDescent="0.3">
      <c r="A1066" s="19"/>
      <c r="B1066" s="20"/>
      <c r="C1066" s="20"/>
      <c r="D1066" s="20"/>
      <c r="E1066" s="21" t="s">
        <v>13</v>
      </c>
      <c r="F1066" s="5"/>
      <c r="G1066" s="19"/>
      <c r="H1066" s="20"/>
      <c r="I1066" s="20"/>
      <c r="J1066" s="20"/>
      <c r="K1066" s="21" t="s">
        <v>13</v>
      </c>
      <c r="L1066" s="5"/>
    </row>
    <row r="1067" spans="1:12" x14ac:dyDescent="0.25">
      <c r="A1067" s="22" t="s">
        <v>31</v>
      </c>
      <c r="B1067" s="115">
        <v>39750</v>
      </c>
      <c r="C1067" s="116"/>
      <c r="D1067" s="116"/>
      <c r="E1067" s="117"/>
      <c r="F1067" s="5"/>
      <c r="G1067" s="22" t="s">
        <v>32</v>
      </c>
      <c r="H1067" s="115"/>
      <c r="I1067" s="116"/>
      <c r="J1067" s="116"/>
      <c r="K1067" s="117"/>
      <c r="L1067" s="5"/>
    </row>
    <row r="1068" spans="1:12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</row>
    <row r="1069" spans="1:12" x14ac:dyDescent="0.25">
      <c r="A1069" s="7" t="s">
        <v>16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</row>
    <row r="1070" spans="1:12" x14ac:dyDescent="0.25">
      <c r="A1070" s="9" t="s">
        <v>17</v>
      </c>
      <c r="B1070" s="23">
        <f>L1049-C1044</f>
        <v>2604</v>
      </c>
      <c r="C1070" s="5"/>
      <c r="D1070" s="106" t="s">
        <v>18</v>
      </c>
      <c r="E1070" s="107"/>
      <c r="F1070" s="24" t="s">
        <v>19</v>
      </c>
      <c r="G1070" s="9" t="s">
        <v>20</v>
      </c>
      <c r="H1070" s="118">
        <f>B1067+H1067</f>
        <v>39750</v>
      </c>
      <c r="I1070" s="119"/>
      <c r="J1070" s="5"/>
      <c r="K1070" s="5"/>
      <c r="L1070" s="5"/>
    </row>
    <row r="1071" spans="1:12" x14ac:dyDescent="0.25">
      <c r="A1071" s="9" t="s">
        <v>41</v>
      </c>
      <c r="B1071" s="40">
        <f>B1070/D1063</f>
        <v>2.3443302588756398</v>
      </c>
      <c r="C1071" s="5"/>
      <c r="D1071" s="102">
        <f>E1063</f>
        <v>25075.82</v>
      </c>
      <c r="E1071" s="103"/>
      <c r="F1071" s="25">
        <f>H1071/B1070</f>
        <v>12.083974654377879</v>
      </c>
      <c r="G1071" s="9" t="s">
        <v>21</v>
      </c>
      <c r="H1071" s="104">
        <f>L1064+D1071+D1073+D1075+D1077+A1074</f>
        <v>31466.67</v>
      </c>
      <c r="I1071" s="105"/>
      <c r="J1071" s="5"/>
      <c r="K1071" s="5"/>
      <c r="L1071" s="5"/>
    </row>
    <row r="1072" spans="1:12" x14ac:dyDescent="0.25">
      <c r="A1072" s="9" t="s">
        <v>43</v>
      </c>
      <c r="B1072" s="23">
        <f>D1063/B1070</f>
        <v>0.42656105990783405</v>
      </c>
      <c r="C1072" s="5"/>
      <c r="D1072" s="106" t="s">
        <v>33</v>
      </c>
      <c r="E1072" s="107"/>
      <c r="F1072" s="5"/>
      <c r="G1072" s="13" t="s">
        <v>22</v>
      </c>
      <c r="H1072" s="6"/>
      <c r="I1072" s="26">
        <f>H1070-H1071</f>
        <v>8283.3300000000017</v>
      </c>
      <c r="J1072" s="5"/>
      <c r="K1072" s="5"/>
      <c r="L1072" s="5"/>
    </row>
    <row r="1073" spans="1:12" x14ac:dyDescent="0.25">
      <c r="A1073" s="106" t="s">
        <v>40</v>
      </c>
      <c r="B1073" s="107"/>
      <c r="C1073" s="5"/>
      <c r="D1073" s="108">
        <v>800</v>
      </c>
      <c r="E1073" s="109"/>
      <c r="F1073" s="5"/>
      <c r="G1073" s="5"/>
      <c r="H1073" s="5"/>
      <c r="I1073" s="5"/>
      <c r="J1073" s="5"/>
      <c r="K1073" s="5"/>
      <c r="L1073" s="5"/>
    </row>
    <row r="1074" spans="1:12" x14ac:dyDescent="0.25">
      <c r="A1074" s="108">
        <f>B1070*0.4</f>
        <v>1041.6000000000001</v>
      </c>
      <c r="B1074" s="109"/>
      <c r="C1074" s="5"/>
      <c r="D1074" s="106" t="s">
        <v>34</v>
      </c>
      <c r="E1074" s="107"/>
      <c r="F1074" s="5"/>
      <c r="G1074" s="5"/>
      <c r="H1074" s="5"/>
      <c r="I1074" s="5"/>
      <c r="J1074" s="5"/>
      <c r="K1074" s="5"/>
      <c r="L1074" s="5"/>
    </row>
    <row r="1075" spans="1:12" x14ac:dyDescent="0.25">
      <c r="A1075" s="5"/>
      <c r="B1075" s="5"/>
      <c r="C1075" s="5"/>
      <c r="D1075" s="108"/>
      <c r="E1075" s="109"/>
      <c r="F1075" s="5"/>
      <c r="G1075" s="5"/>
      <c r="H1075" s="5"/>
      <c r="I1075" s="5"/>
      <c r="J1075" s="5"/>
      <c r="K1075" s="5"/>
      <c r="L1075" s="5"/>
    </row>
    <row r="1076" spans="1:12" x14ac:dyDescent="0.25">
      <c r="A1076" s="5"/>
      <c r="B1076" s="5"/>
      <c r="C1076" s="5"/>
      <c r="D1076" s="106" t="s">
        <v>37</v>
      </c>
      <c r="E1076" s="107"/>
      <c r="F1076" s="5"/>
      <c r="G1076" s="5"/>
      <c r="H1076" s="5"/>
      <c r="I1076" s="5"/>
      <c r="J1076" s="5"/>
      <c r="K1076" s="5"/>
      <c r="L1076" s="5"/>
    </row>
    <row r="1077" spans="1:12" x14ac:dyDescent="0.25">
      <c r="A1077" s="5"/>
      <c r="B1077" s="5"/>
      <c r="C1077" s="5"/>
      <c r="D1077" s="108">
        <v>4549.25</v>
      </c>
      <c r="E1077" s="109"/>
      <c r="F1077" s="5" t="s">
        <v>153</v>
      </c>
      <c r="G1077" s="5"/>
      <c r="H1077" s="5"/>
      <c r="I1077" s="5"/>
      <c r="J1077" s="5"/>
      <c r="K1077" s="5"/>
      <c r="L1077" s="5"/>
    </row>
    <row r="1078" spans="1:12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</row>
    <row r="1079" spans="1:12" x14ac:dyDescent="0.25">
      <c r="A1079" s="5" t="s">
        <v>23</v>
      </c>
      <c r="B1079" s="5" t="s">
        <v>54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</row>
    <row r="1080" spans="1:12" s="49" customFormat="1" x14ac:dyDescent="0.25"/>
    <row r="1083" spans="1:12" x14ac:dyDescent="0.25">
      <c r="A1083" s="120" t="s">
        <v>24</v>
      </c>
      <c r="B1083" s="120"/>
      <c r="C1083" s="120"/>
      <c r="D1083" s="120"/>
      <c r="E1083" s="120"/>
      <c r="F1083" s="120"/>
      <c r="G1083" s="120"/>
      <c r="H1083" s="120"/>
    </row>
    <row r="1084" spans="1:12" x14ac:dyDescent="0.25">
      <c r="A1084" s="120"/>
      <c r="B1084" s="120"/>
      <c r="C1084" s="120"/>
      <c r="D1084" s="120"/>
      <c r="E1084" s="120"/>
      <c r="F1084" s="120"/>
      <c r="G1084" s="120"/>
      <c r="H1084" s="120"/>
    </row>
    <row r="1085" spans="1:12" x14ac:dyDescent="0.25">
      <c r="A1085" s="1" t="s">
        <v>4</v>
      </c>
      <c r="B1085" s="2"/>
      <c r="C1085" s="2"/>
      <c r="D1085" s="2"/>
      <c r="E1085" s="2"/>
      <c r="F1085" s="2"/>
      <c r="G1085" s="3" t="s">
        <v>5</v>
      </c>
      <c r="H1085" s="3" t="s">
        <v>6</v>
      </c>
      <c r="I1085" s="4" t="s">
        <v>7</v>
      </c>
      <c r="J1085" s="5"/>
      <c r="K1085" s="5"/>
      <c r="L1085" s="5"/>
    </row>
    <row r="1086" spans="1:12" x14ac:dyDescent="0.25">
      <c r="A1086" s="28" t="s">
        <v>80</v>
      </c>
      <c r="B1086" s="29" t="s">
        <v>62</v>
      </c>
      <c r="C1086" s="67"/>
      <c r="D1086" s="66"/>
      <c r="E1086" s="2"/>
      <c r="F1086" s="2"/>
      <c r="G1086" s="28" t="s">
        <v>155</v>
      </c>
      <c r="H1086" s="66"/>
      <c r="I1086" s="33"/>
      <c r="J1086" s="6"/>
      <c r="K1086" s="33"/>
      <c r="L1086" s="6"/>
    </row>
    <row r="1087" spans="1:12" x14ac:dyDescent="0.25">
      <c r="A1087" s="7" t="s">
        <v>2</v>
      </c>
      <c r="B1087" s="5"/>
      <c r="C1087" s="5"/>
      <c r="D1087" s="5"/>
      <c r="E1087" s="5"/>
      <c r="F1087" s="5"/>
      <c r="G1087" s="8" t="s">
        <v>8</v>
      </c>
      <c r="H1087" s="31"/>
      <c r="I1087" s="5"/>
      <c r="J1087" s="5"/>
      <c r="K1087" s="5"/>
      <c r="L1087" s="5"/>
    </row>
    <row r="1088" spans="1:12" x14ac:dyDescent="0.25">
      <c r="A1088" s="7" t="s">
        <v>25</v>
      </c>
      <c r="B1088" s="5"/>
      <c r="C1088" s="7" t="s">
        <v>0</v>
      </c>
      <c r="D1088" s="5"/>
      <c r="E1088" s="5"/>
      <c r="F1088" s="5"/>
      <c r="G1088" s="7" t="s">
        <v>25</v>
      </c>
      <c r="H1088" s="5"/>
      <c r="I1088" s="7" t="s">
        <v>0</v>
      </c>
      <c r="J1088" s="5"/>
      <c r="K1088" s="5"/>
      <c r="L1088" s="5"/>
    </row>
    <row r="1089" spans="1:12" x14ac:dyDescent="0.25">
      <c r="A1089" s="42">
        <v>44904</v>
      </c>
      <c r="B1089" s="6"/>
      <c r="C1089" s="31">
        <f>L1049</f>
        <v>488589</v>
      </c>
      <c r="D1089" s="5"/>
      <c r="E1089" s="5"/>
      <c r="F1089" s="5"/>
      <c r="G1089" s="42"/>
      <c r="H1089" s="6"/>
      <c r="I1089" s="9"/>
      <c r="J1089" s="5"/>
      <c r="K1089" s="5"/>
      <c r="L1089" s="5"/>
    </row>
    <row r="1090" spans="1:12" ht="16.5" thickBot="1" x14ac:dyDescent="0.3">
      <c r="A1090" s="58"/>
      <c r="B1090" s="5"/>
      <c r="C1090" s="5"/>
      <c r="D1090" s="5"/>
      <c r="E1090" s="5"/>
      <c r="F1090" s="5"/>
      <c r="G1090" s="10"/>
      <c r="H1090" s="5"/>
      <c r="I1090" s="5"/>
      <c r="J1090" s="5"/>
      <c r="K1090" s="5"/>
      <c r="L1090" s="5"/>
    </row>
    <row r="1091" spans="1:12" ht="15.75" thickBot="1" x14ac:dyDescent="0.3">
      <c r="A1091" s="121" t="s">
        <v>9</v>
      </c>
      <c r="B1091" s="122"/>
      <c r="C1091" s="123"/>
      <c r="D1091" s="5"/>
      <c r="E1091" s="5"/>
      <c r="F1091" s="5"/>
      <c r="G1091" s="121" t="s">
        <v>26</v>
      </c>
      <c r="H1091" s="122"/>
      <c r="I1091" s="123"/>
      <c r="J1091" s="5"/>
      <c r="K1091" s="5"/>
      <c r="L1091" s="5"/>
    </row>
    <row r="1092" spans="1:12" x14ac:dyDescent="0.25">
      <c r="A1092" s="30" t="s">
        <v>38</v>
      </c>
      <c r="B1092" s="11"/>
      <c r="C1092" s="11"/>
      <c r="D1092" s="11"/>
      <c r="E1092" s="6"/>
      <c r="F1092" s="5"/>
      <c r="G1092" s="30" t="str">
        <f>A1095</f>
        <v>Oshakati</v>
      </c>
      <c r="H1092" s="11"/>
      <c r="I1092" s="11"/>
      <c r="J1092" s="11"/>
      <c r="K1092" s="11"/>
      <c r="L1092" s="6"/>
    </row>
    <row r="1093" spans="1:12" ht="15.75" thickBot="1" x14ac:dyDescent="0.3">
      <c r="A1093" s="7"/>
      <c r="B1093" s="7"/>
      <c r="C1093" s="7"/>
      <c r="D1093" s="5"/>
      <c r="E1093" s="5"/>
      <c r="F1093" s="5"/>
      <c r="G1093" s="7" t="s">
        <v>3</v>
      </c>
      <c r="H1093" s="7"/>
      <c r="I1093" s="7"/>
      <c r="J1093" s="5"/>
      <c r="K1093" s="5"/>
      <c r="L1093" s="5"/>
    </row>
    <row r="1094" spans="1:12" ht="15.75" thickBot="1" x14ac:dyDescent="0.3">
      <c r="A1094" s="121" t="s">
        <v>30</v>
      </c>
      <c r="B1094" s="122"/>
      <c r="C1094" s="124"/>
      <c r="D1094" s="12" t="s">
        <v>1</v>
      </c>
      <c r="E1094" s="32"/>
      <c r="F1094" s="5"/>
      <c r="G1094" s="121" t="s">
        <v>27</v>
      </c>
      <c r="H1094" s="122"/>
      <c r="I1094" s="123"/>
      <c r="J1094" s="5"/>
      <c r="K1094" s="12" t="s">
        <v>1</v>
      </c>
      <c r="L1094" s="32">
        <v>490061</v>
      </c>
    </row>
    <row r="1095" spans="1:12" x14ac:dyDescent="0.25">
      <c r="A1095" s="13" t="s">
        <v>39</v>
      </c>
      <c r="B1095" s="14"/>
      <c r="C1095" s="11"/>
      <c r="D1095" s="11"/>
      <c r="E1095" s="6"/>
      <c r="F1095" s="5"/>
      <c r="G1095" s="34" t="str">
        <f>A1092</f>
        <v>Windhoek</v>
      </c>
      <c r="H1095" s="11"/>
      <c r="I1095" s="11"/>
      <c r="J1095" s="11"/>
      <c r="K1095" s="11"/>
      <c r="L1095" s="6"/>
    </row>
    <row r="1096" spans="1:12" x14ac:dyDescent="0.25">
      <c r="A1096" s="13"/>
      <c r="B1096" s="11"/>
      <c r="C1096" s="11"/>
      <c r="D1096" s="11"/>
      <c r="E1096" s="6"/>
      <c r="F1096" s="5"/>
      <c r="G1096" s="13"/>
      <c r="H1096" s="11"/>
      <c r="I1096" s="11"/>
      <c r="J1096" s="11"/>
      <c r="K1096" s="11"/>
      <c r="L1096" s="6"/>
    </row>
    <row r="1097" spans="1:12" x14ac:dyDescent="0.25">
      <c r="A1097" s="13"/>
      <c r="B1097" s="11"/>
      <c r="C1097" s="11"/>
      <c r="D1097" s="11"/>
      <c r="E1097" s="6"/>
      <c r="F1097" s="5"/>
      <c r="G1097" s="13"/>
      <c r="H1097" s="11"/>
      <c r="I1097" s="11"/>
      <c r="J1097" s="11"/>
      <c r="K1097" s="11"/>
      <c r="L1097" s="6"/>
    </row>
    <row r="1098" spans="1:12" x14ac:dyDescent="0.25">
      <c r="A1098" s="13"/>
      <c r="B1098" s="11"/>
      <c r="C1098" s="11"/>
      <c r="D1098" s="11"/>
      <c r="E1098" s="6"/>
      <c r="F1098" s="5"/>
      <c r="G1098" s="13"/>
      <c r="H1098" s="11"/>
      <c r="I1098" s="11"/>
      <c r="J1098" s="11"/>
      <c r="K1098" s="11"/>
      <c r="L1098" s="6"/>
    </row>
    <row r="1099" spans="1:12" ht="15.75" thickBot="1" x14ac:dyDescent="0.3">
      <c r="A1099" s="13"/>
      <c r="B1099" s="11"/>
      <c r="C1099" s="11" t="s">
        <v>29</v>
      </c>
      <c r="D1099" s="43"/>
      <c r="E1099" s="6"/>
      <c r="F1099" s="5"/>
      <c r="G1099" s="13"/>
      <c r="H1099" s="11"/>
      <c r="I1099" s="14" t="s">
        <v>28</v>
      </c>
      <c r="J1099" s="43"/>
      <c r="K1099" s="11"/>
      <c r="L1099" s="6"/>
    </row>
    <row r="1100" spans="1:12" ht="15.75" thickBot="1" x14ac:dyDescent="0.3">
      <c r="A1100" s="15" t="s">
        <v>10</v>
      </c>
      <c r="B1100" s="5"/>
      <c r="C1100" s="5"/>
      <c r="D1100" s="5"/>
      <c r="E1100" s="5"/>
      <c r="F1100" s="5"/>
      <c r="G1100" s="15" t="s">
        <v>14</v>
      </c>
      <c r="H1100" s="5"/>
      <c r="I1100" s="5"/>
      <c r="J1100" s="5"/>
      <c r="K1100" s="5"/>
      <c r="L1100" s="5"/>
    </row>
    <row r="1101" spans="1:12" ht="15.75" thickBot="1" x14ac:dyDescent="0.3">
      <c r="A1101" s="121" t="s">
        <v>11</v>
      </c>
      <c r="B1101" s="122"/>
      <c r="C1101" s="123"/>
      <c r="D1101" s="16" t="s">
        <v>12</v>
      </c>
      <c r="E1101" s="16" t="s">
        <v>13</v>
      </c>
      <c r="F1101" s="5"/>
      <c r="G1101" s="121" t="s">
        <v>15</v>
      </c>
      <c r="H1101" s="122"/>
      <c r="I1101" s="123"/>
      <c r="J1101" s="121" t="s">
        <v>13</v>
      </c>
      <c r="K1101" s="123"/>
      <c r="L1101" s="5"/>
    </row>
    <row r="1102" spans="1:12" x14ac:dyDescent="0.25">
      <c r="A1102" s="41" t="s">
        <v>161</v>
      </c>
      <c r="B1102" s="36" t="s">
        <v>47</v>
      </c>
      <c r="C1102" s="37"/>
      <c r="D1102" s="50">
        <v>565.29999999999995</v>
      </c>
      <c r="E1102" s="51">
        <v>12747.5</v>
      </c>
      <c r="F1102" s="44">
        <f t="shared" ref="F1102:F1107" si="23">E1102/D1102</f>
        <v>22.549973465416596</v>
      </c>
      <c r="G1102" s="125"/>
      <c r="H1102" s="126"/>
      <c r="I1102" s="127"/>
      <c r="J1102" s="128"/>
      <c r="K1102" s="129"/>
      <c r="L1102" s="5"/>
    </row>
    <row r="1103" spans="1:12" x14ac:dyDescent="0.25">
      <c r="A1103" s="48"/>
      <c r="B1103" s="35"/>
      <c r="C1103" s="39"/>
      <c r="D1103" s="52"/>
      <c r="E1103" s="53"/>
      <c r="F1103" s="44" t="e">
        <f t="shared" si="23"/>
        <v>#DIV/0!</v>
      </c>
      <c r="G1103" s="110"/>
      <c r="H1103" s="111"/>
      <c r="I1103" s="112"/>
      <c r="J1103" s="113"/>
      <c r="K1103" s="114"/>
      <c r="L1103" s="5"/>
    </row>
    <row r="1104" spans="1:12" x14ac:dyDescent="0.25">
      <c r="A1104" s="38"/>
      <c r="B1104" s="35"/>
      <c r="C1104" s="39"/>
      <c r="D1104" s="52"/>
      <c r="E1104" s="53"/>
      <c r="F1104" s="44" t="e">
        <f t="shared" si="23"/>
        <v>#DIV/0!</v>
      </c>
      <c r="G1104" s="110"/>
      <c r="H1104" s="111"/>
      <c r="I1104" s="112"/>
      <c r="J1104" s="113"/>
      <c r="K1104" s="114"/>
      <c r="L1104" s="5"/>
    </row>
    <row r="1105" spans="1:12" x14ac:dyDescent="0.25">
      <c r="A1105" s="48"/>
      <c r="B1105" s="35"/>
      <c r="C1105" s="39"/>
      <c r="D1105" s="52"/>
      <c r="E1105" s="53"/>
      <c r="F1105" s="44" t="e">
        <f t="shared" si="23"/>
        <v>#DIV/0!</v>
      </c>
      <c r="G1105" s="110"/>
      <c r="H1105" s="111"/>
      <c r="I1105" s="112"/>
      <c r="J1105" s="113"/>
      <c r="K1105" s="114"/>
      <c r="L1105" s="5"/>
    </row>
    <row r="1106" spans="1:12" x14ac:dyDescent="0.25">
      <c r="A1106" s="27"/>
      <c r="B1106" s="11"/>
      <c r="C1106" s="6"/>
      <c r="D1106" s="54"/>
      <c r="E1106" s="55"/>
      <c r="F1106" s="44" t="e">
        <f t="shared" si="23"/>
        <v>#DIV/0!</v>
      </c>
      <c r="G1106" s="110"/>
      <c r="H1106" s="111"/>
      <c r="I1106" s="112"/>
      <c r="J1106" s="113"/>
      <c r="K1106" s="114"/>
      <c r="L1106" s="5"/>
    </row>
    <row r="1107" spans="1:12" x14ac:dyDescent="0.25">
      <c r="A1107" s="68"/>
      <c r="B1107" s="11"/>
      <c r="C1107" s="6"/>
      <c r="D1107" s="54"/>
      <c r="E1107" s="55"/>
      <c r="F1107" s="44" t="e">
        <f t="shared" si="23"/>
        <v>#DIV/0!</v>
      </c>
      <c r="G1107" s="110"/>
      <c r="H1107" s="111"/>
      <c r="I1107" s="112"/>
      <c r="J1107" s="113"/>
      <c r="K1107" s="114"/>
      <c r="L1107" s="5"/>
    </row>
    <row r="1108" spans="1:12" ht="15.75" thickBot="1" x14ac:dyDescent="0.3">
      <c r="A1108" s="5"/>
      <c r="B1108" s="5"/>
      <c r="C1108" s="7" t="s">
        <v>35</v>
      </c>
      <c r="D1108" s="17">
        <f>D1102+D1103+D1104+D1105+D1106+D1107</f>
        <v>565.29999999999995</v>
      </c>
      <c r="E1108" s="17">
        <f>E1102+E1103+E1104+E1105+E1106+E1107</f>
        <v>12747.5</v>
      </c>
      <c r="F1108" s="5"/>
      <c r="G1108" s="110"/>
      <c r="H1108" s="111"/>
      <c r="I1108" s="112"/>
      <c r="J1108" s="113"/>
      <c r="K1108" s="114"/>
      <c r="L1108" s="7" t="s">
        <v>36</v>
      </c>
    </row>
    <row r="1109" spans="1:12" ht="15.75" thickBot="1" x14ac:dyDescent="0.3">
      <c r="A1109" s="5"/>
      <c r="B1109" s="5"/>
      <c r="C1109" s="5"/>
      <c r="D1109" s="5"/>
      <c r="E1109" s="5"/>
      <c r="F1109" s="5"/>
      <c r="G1109" s="130"/>
      <c r="H1109" s="131"/>
      <c r="I1109" s="132"/>
      <c r="J1109" s="133"/>
      <c r="K1109" s="134"/>
      <c r="L1109" s="18">
        <f>J1102+J1103+J1104+J1105+J1106+J1107+J1108+J1109</f>
        <v>0</v>
      </c>
    </row>
    <row r="1110" spans="1:12" ht="15.75" thickBot="1" x14ac:dyDescent="0.3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</row>
    <row r="1111" spans="1:12" ht="15.75" thickBot="1" x14ac:dyDescent="0.3">
      <c r="A1111" s="19"/>
      <c r="B1111" s="20"/>
      <c r="C1111" s="20"/>
      <c r="D1111" s="20"/>
      <c r="E1111" s="21" t="s">
        <v>13</v>
      </c>
      <c r="F1111" s="5"/>
      <c r="G1111" s="19"/>
      <c r="H1111" s="20"/>
      <c r="I1111" s="20"/>
      <c r="J1111" s="20"/>
      <c r="K1111" s="21" t="s">
        <v>13</v>
      </c>
      <c r="L1111" s="5"/>
    </row>
    <row r="1112" spans="1:12" x14ac:dyDescent="0.25">
      <c r="A1112" s="22" t="s">
        <v>31</v>
      </c>
      <c r="B1112" s="115">
        <v>23850</v>
      </c>
      <c r="C1112" s="116"/>
      <c r="D1112" s="116"/>
      <c r="E1112" s="117"/>
      <c r="F1112" s="5"/>
      <c r="G1112" s="22" t="s">
        <v>32</v>
      </c>
      <c r="H1112" s="115"/>
      <c r="I1112" s="116"/>
      <c r="J1112" s="116"/>
      <c r="K1112" s="117"/>
      <c r="L1112" s="5"/>
    </row>
    <row r="1113" spans="1:12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</row>
    <row r="1114" spans="1:12" x14ac:dyDescent="0.25">
      <c r="A1114" s="7" t="s">
        <v>16</v>
      </c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</row>
    <row r="1115" spans="1:12" x14ac:dyDescent="0.25">
      <c r="A1115" s="9" t="s">
        <v>17</v>
      </c>
      <c r="B1115" s="23">
        <f>L1094-C1089</f>
        <v>1472</v>
      </c>
      <c r="C1115" s="5"/>
      <c r="D1115" s="106" t="s">
        <v>18</v>
      </c>
      <c r="E1115" s="107"/>
      <c r="F1115" s="24" t="s">
        <v>19</v>
      </c>
      <c r="G1115" s="9" t="s">
        <v>20</v>
      </c>
      <c r="H1115" s="118">
        <f>B1112+H1112</f>
        <v>23850</v>
      </c>
      <c r="I1115" s="119"/>
      <c r="J1115" s="5"/>
      <c r="K1115" s="5"/>
      <c r="L1115" s="5"/>
    </row>
    <row r="1116" spans="1:12" x14ac:dyDescent="0.25">
      <c r="A1116" s="9" t="s">
        <v>41</v>
      </c>
      <c r="B1116" s="40">
        <f>B1115/D1108</f>
        <v>2.6039271183442421</v>
      </c>
      <c r="C1116" s="5"/>
      <c r="D1116" s="102">
        <f>E1108</f>
        <v>12747.5</v>
      </c>
      <c r="E1116" s="103"/>
      <c r="F1116" s="25">
        <f>H1116/B1115</f>
        <v>10.544327445652174</v>
      </c>
      <c r="G1116" s="9" t="s">
        <v>21</v>
      </c>
      <c r="H1116" s="104">
        <f>L1109+D1116+D1118+D1120+D1122+A1119</f>
        <v>15521.25</v>
      </c>
      <c r="I1116" s="105"/>
      <c r="J1116" s="5"/>
      <c r="K1116" s="5"/>
      <c r="L1116" s="5"/>
    </row>
    <row r="1117" spans="1:12" x14ac:dyDescent="0.25">
      <c r="A1117" s="9" t="s">
        <v>43</v>
      </c>
      <c r="B1117" s="23">
        <f>D1108/B1115</f>
        <v>0.38403532608695651</v>
      </c>
      <c r="C1117" s="5"/>
      <c r="D1117" s="106" t="s">
        <v>33</v>
      </c>
      <c r="E1117" s="107"/>
      <c r="F1117" s="5"/>
      <c r="G1117" s="13" t="s">
        <v>22</v>
      </c>
      <c r="H1117" s="6"/>
      <c r="I1117" s="26">
        <f>H1115-H1116</f>
        <v>8328.75</v>
      </c>
      <c r="J1117" s="5"/>
      <c r="K1117" s="5"/>
      <c r="L1117" s="5"/>
    </row>
    <row r="1118" spans="1:12" x14ac:dyDescent="0.25">
      <c r="A1118" s="106" t="s">
        <v>40</v>
      </c>
      <c r="B1118" s="107"/>
      <c r="C1118" s="5"/>
      <c r="D1118" s="108">
        <v>300</v>
      </c>
      <c r="E1118" s="109"/>
      <c r="F1118" s="5"/>
      <c r="G1118" s="5"/>
      <c r="H1118" s="5"/>
      <c r="I1118" s="5"/>
      <c r="J1118" s="5"/>
      <c r="K1118" s="5"/>
      <c r="L1118" s="5"/>
    </row>
    <row r="1119" spans="1:12" x14ac:dyDescent="0.25">
      <c r="A1119" s="108">
        <f>B1115*0.4</f>
        <v>588.80000000000007</v>
      </c>
      <c r="B1119" s="109"/>
      <c r="C1119" s="5"/>
      <c r="D1119" s="106" t="s">
        <v>34</v>
      </c>
      <c r="E1119" s="107"/>
      <c r="F1119" s="5"/>
      <c r="G1119" s="5"/>
      <c r="H1119" s="5"/>
      <c r="I1119" s="5"/>
      <c r="J1119" s="5"/>
      <c r="K1119" s="5"/>
      <c r="L1119" s="5"/>
    </row>
    <row r="1120" spans="1:12" x14ac:dyDescent="0.25">
      <c r="A1120" s="5"/>
      <c r="B1120" s="5"/>
      <c r="C1120" s="5"/>
      <c r="D1120" s="108"/>
      <c r="E1120" s="109"/>
      <c r="F1120" s="5"/>
      <c r="G1120" s="5"/>
      <c r="H1120" s="5"/>
      <c r="I1120" s="5"/>
      <c r="J1120" s="5"/>
      <c r="K1120" s="5"/>
      <c r="L1120" s="5"/>
    </row>
    <row r="1121" spans="1:12" x14ac:dyDescent="0.25">
      <c r="A1121" s="5"/>
      <c r="B1121" s="5"/>
      <c r="C1121" s="5"/>
      <c r="D1121" s="106" t="s">
        <v>37</v>
      </c>
      <c r="E1121" s="107"/>
      <c r="F1121" s="5"/>
      <c r="G1121" s="5"/>
      <c r="H1121" s="5"/>
      <c r="I1121" s="5"/>
      <c r="J1121" s="5"/>
      <c r="K1121" s="5"/>
      <c r="L1121" s="5"/>
    </row>
    <row r="1122" spans="1:12" x14ac:dyDescent="0.25">
      <c r="A1122" s="5"/>
      <c r="B1122" s="5"/>
      <c r="C1122" s="5"/>
      <c r="D1122" s="108">
        <v>1884.95</v>
      </c>
      <c r="E1122" s="109"/>
      <c r="F1122" s="5" t="s">
        <v>153</v>
      </c>
      <c r="G1122" s="5"/>
      <c r="H1122" s="5"/>
      <c r="I1122" s="5"/>
      <c r="J1122" s="5"/>
      <c r="K1122" s="5"/>
      <c r="L1122" s="5"/>
    </row>
    <row r="1123" spans="1:12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</row>
    <row r="1124" spans="1:12" x14ac:dyDescent="0.25">
      <c r="A1124" s="5" t="s">
        <v>23</v>
      </c>
      <c r="B1124" s="5" t="s">
        <v>54</v>
      </c>
      <c r="C1124" s="5"/>
      <c r="D1124" s="5"/>
      <c r="E1124" s="5"/>
      <c r="F1124" s="5"/>
      <c r="G1124" s="5"/>
      <c r="H1124" s="5"/>
      <c r="I1124" s="5"/>
      <c r="J1124" s="5"/>
      <c r="K1124" s="5"/>
      <c r="L1124" s="5"/>
    </row>
    <row r="1125" spans="1:12" s="49" customFormat="1" x14ac:dyDescent="0.25"/>
    <row r="1128" spans="1:12" x14ac:dyDescent="0.25">
      <c r="A1128" s="120" t="s">
        <v>24</v>
      </c>
      <c r="B1128" s="120"/>
      <c r="C1128" s="120"/>
      <c r="D1128" s="120"/>
      <c r="E1128" s="120"/>
      <c r="F1128" s="120"/>
      <c r="G1128" s="120"/>
      <c r="H1128" s="120"/>
    </row>
    <row r="1129" spans="1:12" x14ac:dyDescent="0.25">
      <c r="A1129" s="120"/>
      <c r="B1129" s="120"/>
      <c r="C1129" s="120"/>
      <c r="D1129" s="120"/>
      <c r="E1129" s="120"/>
      <c r="F1129" s="120"/>
      <c r="G1129" s="120"/>
      <c r="H1129" s="120"/>
    </row>
    <row r="1130" spans="1:12" x14ac:dyDescent="0.25">
      <c r="A1130" s="1" t="s">
        <v>4</v>
      </c>
      <c r="B1130" s="2"/>
      <c r="C1130" s="2"/>
      <c r="D1130" s="2"/>
      <c r="E1130" s="2"/>
      <c r="F1130" s="2"/>
      <c r="G1130" s="3" t="s">
        <v>5</v>
      </c>
      <c r="H1130" s="3" t="s">
        <v>6</v>
      </c>
      <c r="I1130" s="4" t="s">
        <v>7</v>
      </c>
      <c r="J1130" s="5"/>
      <c r="K1130" s="5"/>
      <c r="L1130" s="5"/>
    </row>
    <row r="1131" spans="1:12" x14ac:dyDescent="0.25">
      <c r="A1131" s="28" t="s">
        <v>167</v>
      </c>
      <c r="B1131" s="29" t="s">
        <v>62</v>
      </c>
      <c r="C1131" s="67"/>
      <c r="D1131" s="66"/>
      <c r="E1131" s="2"/>
      <c r="F1131" s="2"/>
      <c r="G1131" s="28" t="s">
        <v>155</v>
      </c>
      <c r="H1131" s="66"/>
      <c r="I1131" s="33"/>
      <c r="J1131" s="6"/>
      <c r="K1131" s="33"/>
      <c r="L1131" s="6"/>
    </row>
    <row r="1132" spans="1:12" x14ac:dyDescent="0.25">
      <c r="A1132" s="7" t="s">
        <v>2</v>
      </c>
      <c r="B1132" s="5"/>
      <c r="C1132" s="5"/>
      <c r="D1132" s="5"/>
      <c r="E1132" s="5"/>
      <c r="F1132" s="5"/>
      <c r="G1132" s="8" t="s">
        <v>8</v>
      </c>
      <c r="H1132" s="31"/>
      <c r="I1132" s="5"/>
      <c r="J1132" s="5"/>
      <c r="K1132" s="5"/>
      <c r="L1132" s="5"/>
    </row>
    <row r="1133" spans="1:12" x14ac:dyDescent="0.25">
      <c r="A1133" s="7" t="s">
        <v>25</v>
      </c>
      <c r="B1133" s="5"/>
      <c r="C1133" s="7" t="s">
        <v>0</v>
      </c>
      <c r="D1133" s="5"/>
      <c r="E1133" s="5"/>
      <c r="F1133" s="5"/>
      <c r="G1133" s="7" t="s">
        <v>25</v>
      </c>
      <c r="H1133" s="5"/>
      <c r="I1133" s="7" t="s">
        <v>0</v>
      </c>
      <c r="J1133" s="5"/>
      <c r="K1133" s="5"/>
      <c r="L1133" s="5"/>
    </row>
    <row r="1134" spans="1:12" x14ac:dyDescent="0.25">
      <c r="A1134" s="42" t="s">
        <v>166</v>
      </c>
      <c r="B1134" s="6"/>
      <c r="C1134" s="31">
        <f>L1094</f>
        <v>490061</v>
      </c>
      <c r="D1134" s="5"/>
      <c r="E1134" s="5"/>
      <c r="F1134" s="5"/>
      <c r="G1134" s="42"/>
      <c r="H1134" s="6"/>
      <c r="I1134" s="9"/>
      <c r="J1134" s="5"/>
      <c r="K1134" s="5"/>
      <c r="L1134" s="5"/>
    </row>
    <row r="1135" spans="1:12" ht="16.5" thickBot="1" x14ac:dyDescent="0.3">
      <c r="A1135" s="58"/>
      <c r="B1135" s="5"/>
      <c r="C1135" s="5"/>
      <c r="D1135" s="5"/>
      <c r="E1135" s="5"/>
      <c r="F1135" s="5"/>
      <c r="G1135" s="10"/>
      <c r="H1135" s="5"/>
      <c r="I1135" s="5"/>
      <c r="J1135" s="5"/>
      <c r="K1135" s="5"/>
      <c r="L1135" s="5"/>
    </row>
    <row r="1136" spans="1:12" ht="15.75" thickBot="1" x14ac:dyDescent="0.3">
      <c r="A1136" s="121" t="s">
        <v>9</v>
      </c>
      <c r="B1136" s="122"/>
      <c r="C1136" s="123"/>
      <c r="D1136" s="5"/>
      <c r="E1136" s="5"/>
      <c r="F1136" s="5"/>
      <c r="G1136" s="121" t="s">
        <v>26</v>
      </c>
      <c r="H1136" s="122"/>
      <c r="I1136" s="123"/>
      <c r="J1136" s="5"/>
      <c r="K1136" s="5"/>
      <c r="L1136" s="5"/>
    </row>
    <row r="1137" spans="1:12" x14ac:dyDescent="0.25">
      <c r="A1137" s="30" t="s">
        <v>38</v>
      </c>
      <c r="B1137" s="11"/>
      <c r="C1137" s="11"/>
      <c r="D1137" s="11"/>
      <c r="E1137" s="6"/>
      <c r="F1137" s="5"/>
      <c r="G1137" s="30" t="str">
        <f>A1140</f>
        <v>Oshakati</v>
      </c>
      <c r="H1137" s="11"/>
      <c r="I1137" s="11"/>
      <c r="J1137" s="11"/>
      <c r="K1137" s="11"/>
      <c r="L1137" s="6"/>
    </row>
    <row r="1138" spans="1:12" ht="15.75" thickBot="1" x14ac:dyDescent="0.3">
      <c r="A1138" s="7"/>
      <c r="B1138" s="7"/>
      <c r="C1138" s="7"/>
      <c r="D1138" s="5"/>
      <c r="E1138" s="5"/>
      <c r="F1138" s="5"/>
      <c r="G1138" s="7" t="s">
        <v>3</v>
      </c>
      <c r="H1138" s="7"/>
      <c r="I1138" s="7"/>
      <c r="J1138" s="5"/>
      <c r="K1138" s="5"/>
      <c r="L1138" s="5"/>
    </row>
    <row r="1139" spans="1:12" ht="15.75" thickBot="1" x14ac:dyDescent="0.3">
      <c r="A1139" s="121" t="s">
        <v>30</v>
      </c>
      <c r="B1139" s="122"/>
      <c r="C1139" s="124"/>
      <c r="D1139" s="12" t="s">
        <v>1</v>
      </c>
      <c r="E1139" s="32"/>
      <c r="F1139" s="5"/>
      <c r="G1139" s="121" t="s">
        <v>27</v>
      </c>
      <c r="H1139" s="122"/>
      <c r="I1139" s="123"/>
      <c r="J1139" s="5"/>
      <c r="K1139" s="12" t="s">
        <v>1</v>
      </c>
      <c r="L1139" s="32">
        <v>491575</v>
      </c>
    </row>
    <row r="1140" spans="1:12" x14ac:dyDescent="0.25">
      <c r="A1140" s="13" t="s">
        <v>39</v>
      </c>
      <c r="B1140" s="14"/>
      <c r="C1140" s="11"/>
      <c r="D1140" s="11"/>
      <c r="E1140" s="6"/>
      <c r="F1140" s="5"/>
      <c r="G1140" s="34" t="str">
        <f>A1137</f>
        <v>Windhoek</v>
      </c>
      <c r="H1140" s="11"/>
      <c r="I1140" s="11"/>
      <c r="J1140" s="11"/>
      <c r="K1140" s="11"/>
      <c r="L1140" s="6"/>
    </row>
    <row r="1141" spans="1:12" x14ac:dyDescent="0.25">
      <c r="A1141" s="13"/>
      <c r="B1141" s="11"/>
      <c r="C1141" s="11"/>
      <c r="D1141" s="11"/>
      <c r="E1141" s="6"/>
      <c r="F1141" s="5"/>
      <c r="G1141" s="13"/>
      <c r="H1141" s="11"/>
      <c r="I1141" s="11"/>
      <c r="J1141" s="11"/>
      <c r="K1141" s="11"/>
      <c r="L1141" s="6"/>
    </row>
    <row r="1142" spans="1:12" x14ac:dyDescent="0.25">
      <c r="A1142" s="13"/>
      <c r="B1142" s="11"/>
      <c r="C1142" s="11"/>
      <c r="D1142" s="11"/>
      <c r="E1142" s="6"/>
      <c r="F1142" s="5"/>
      <c r="G1142" s="13"/>
      <c r="H1142" s="11"/>
      <c r="I1142" s="11"/>
      <c r="J1142" s="11"/>
      <c r="K1142" s="11"/>
      <c r="L1142" s="6"/>
    </row>
    <row r="1143" spans="1:12" x14ac:dyDescent="0.25">
      <c r="A1143" s="13"/>
      <c r="B1143" s="11"/>
      <c r="C1143" s="11"/>
      <c r="D1143" s="11"/>
      <c r="E1143" s="6"/>
      <c r="F1143" s="5"/>
      <c r="G1143" s="13"/>
      <c r="H1143" s="11"/>
      <c r="I1143" s="11"/>
      <c r="J1143" s="11"/>
      <c r="K1143" s="11"/>
      <c r="L1143" s="6"/>
    </row>
    <row r="1144" spans="1:12" ht="15.75" thickBot="1" x14ac:dyDescent="0.3">
      <c r="A1144" s="13"/>
      <c r="B1144" s="11"/>
      <c r="C1144" s="11" t="s">
        <v>29</v>
      </c>
      <c r="D1144" s="43"/>
      <c r="E1144" s="6"/>
      <c r="F1144" s="5"/>
      <c r="G1144" s="13"/>
      <c r="H1144" s="11"/>
      <c r="I1144" s="14" t="s">
        <v>28</v>
      </c>
      <c r="J1144" s="43"/>
      <c r="K1144" s="11"/>
      <c r="L1144" s="6"/>
    </row>
    <row r="1145" spans="1:12" ht="15.75" thickBot="1" x14ac:dyDescent="0.3">
      <c r="A1145" s="15" t="s">
        <v>10</v>
      </c>
      <c r="B1145" s="5"/>
      <c r="C1145" s="5"/>
      <c r="D1145" s="5"/>
      <c r="E1145" s="5"/>
      <c r="F1145" s="5"/>
      <c r="G1145" s="15" t="s">
        <v>14</v>
      </c>
      <c r="H1145" s="5"/>
      <c r="I1145" s="5"/>
      <c r="J1145" s="5"/>
      <c r="K1145" s="5"/>
      <c r="L1145" s="5"/>
    </row>
    <row r="1146" spans="1:12" ht="15.75" thickBot="1" x14ac:dyDescent="0.3">
      <c r="A1146" s="121" t="s">
        <v>11</v>
      </c>
      <c r="B1146" s="122"/>
      <c r="C1146" s="123"/>
      <c r="D1146" s="16" t="s">
        <v>12</v>
      </c>
      <c r="E1146" s="16" t="s">
        <v>13</v>
      </c>
      <c r="F1146" s="5"/>
      <c r="G1146" s="121" t="s">
        <v>15</v>
      </c>
      <c r="H1146" s="122"/>
      <c r="I1146" s="123"/>
      <c r="J1146" s="121" t="s">
        <v>13</v>
      </c>
      <c r="K1146" s="123"/>
      <c r="L1146" s="5"/>
    </row>
    <row r="1147" spans="1:12" x14ac:dyDescent="0.25">
      <c r="A1147" s="41" t="s">
        <v>162</v>
      </c>
      <c r="B1147" s="36" t="s">
        <v>47</v>
      </c>
      <c r="C1147" s="37"/>
      <c r="D1147" s="50">
        <v>544.54100000000005</v>
      </c>
      <c r="E1147" s="51">
        <v>12279.4</v>
      </c>
      <c r="F1147" s="44">
        <f t="shared" ref="F1147:F1152" si="24">E1147/D1147</f>
        <v>22.550000826384053</v>
      </c>
      <c r="G1147" s="125"/>
      <c r="H1147" s="126"/>
      <c r="I1147" s="127"/>
      <c r="J1147" s="128"/>
      <c r="K1147" s="129"/>
      <c r="L1147" s="5"/>
    </row>
    <row r="1148" spans="1:12" x14ac:dyDescent="0.25">
      <c r="A1148" s="48"/>
      <c r="B1148" s="35"/>
      <c r="C1148" s="39"/>
      <c r="D1148" s="52"/>
      <c r="E1148" s="53"/>
      <c r="F1148" s="44" t="e">
        <f t="shared" si="24"/>
        <v>#DIV/0!</v>
      </c>
      <c r="G1148" s="110"/>
      <c r="H1148" s="111"/>
      <c r="I1148" s="112"/>
      <c r="J1148" s="113"/>
      <c r="K1148" s="114"/>
      <c r="L1148" s="5"/>
    </row>
    <row r="1149" spans="1:12" x14ac:dyDescent="0.25">
      <c r="A1149" s="38"/>
      <c r="B1149" s="35"/>
      <c r="C1149" s="39"/>
      <c r="D1149" s="52"/>
      <c r="E1149" s="53"/>
      <c r="F1149" s="44" t="e">
        <f t="shared" si="24"/>
        <v>#DIV/0!</v>
      </c>
      <c r="G1149" s="110"/>
      <c r="H1149" s="111"/>
      <c r="I1149" s="112"/>
      <c r="J1149" s="113"/>
      <c r="K1149" s="114"/>
      <c r="L1149" s="5"/>
    </row>
    <row r="1150" spans="1:12" x14ac:dyDescent="0.25">
      <c r="A1150" s="48"/>
      <c r="B1150" s="35"/>
      <c r="C1150" s="39"/>
      <c r="D1150" s="52"/>
      <c r="E1150" s="53"/>
      <c r="F1150" s="44" t="e">
        <f t="shared" si="24"/>
        <v>#DIV/0!</v>
      </c>
      <c r="G1150" s="110"/>
      <c r="H1150" s="111"/>
      <c r="I1150" s="112"/>
      <c r="J1150" s="113"/>
      <c r="K1150" s="114"/>
      <c r="L1150" s="5"/>
    </row>
    <row r="1151" spans="1:12" x14ac:dyDescent="0.25">
      <c r="A1151" s="27"/>
      <c r="B1151" s="11"/>
      <c r="C1151" s="6"/>
      <c r="D1151" s="54"/>
      <c r="E1151" s="55"/>
      <c r="F1151" s="44" t="e">
        <f t="shared" si="24"/>
        <v>#DIV/0!</v>
      </c>
      <c r="G1151" s="110"/>
      <c r="H1151" s="111"/>
      <c r="I1151" s="112"/>
      <c r="J1151" s="113"/>
      <c r="K1151" s="114"/>
      <c r="L1151" s="5"/>
    </row>
    <row r="1152" spans="1:12" x14ac:dyDescent="0.25">
      <c r="A1152" s="68"/>
      <c r="B1152" s="11"/>
      <c r="C1152" s="6"/>
      <c r="D1152" s="54"/>
      <c r="E1152" s="55"/>
      <c r="F1152" s="44" t="e">
        <f t="shared" si="24"/>
        <v>#DIV/0!</v>
      </c>
      <c r="G1152" s="110"/>
      <c r="H1152" s="111"/>
      <c r="I1152" s="112"/>
      <c r="J1152" s="113"/>
      <c r="K1152" s="114"/>
      <c r="L1152" s="5"/>
    </row>
    <row r="1153" spans="1:12" ht="15.75" thickBot="1" x14ac:dyDescent="0.3">
      <c r="A1153" s="5"/>
      <c r="B1153" s="5"/>
      <c r="C1153" s="7" t="s">
        <v>35</v>
      </c>
      <c r="D1153" s="17">
        <f>D1147+D1148+D1149+D1150+D1151+D1152</f>
        <v>544.54100000000005</v>
      </c>
      <c r="E1153" s="17">
        <f>E1147+E1148+E1149+E1150+E1151+E1152</f>
        <v>12279.4</v>
      </c>
      <c r="F1153" s="5"/>
      <c r="G1153" s="110"/>
      <c r="H1153" s="111"/>
      <c r="I1153" s="112"/>
      <c r="J1153" s="113"/>
      <c r="K1153" s="114"/>
      <c r="L1153" s="7" t="s">
        <v>36</v>
      </c>
    </row>
    <row r="1154" spans="1:12" ht="15.75" thickBot="1" x14ac:dyDescent="0.3">
      <c r="A1154" s="5"/>
      <c r="B1154" s="5"/>
      <c r="C1154" s="5"/>
      <c r="D1154" s="5"/>
      <c r="E1154" s="5"/>
      <c r="F1154" s="5"/>
      <c r="G1154" s="130"/>
      <c r="H1154" s="131"/>
      <c r="I1154" s="132"/>
      <c r="J1154" s="133"/>
      <c r="K1154" s="134"/>
      <c r="L1154" s="18">
        <f>J1147+J1148+J1149+J1150+J1151+J1152+J1153+J1154</f>
        <v>0</v>
      </c>
    </row>
    <row r="1155" spans="1:12" ht="15.75" thickBot="1" x14ac:dyDescent="0.3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</row>
    <row r="1156" spans="1:12" ht="15.75" thickBot="1" x14ac:dyDescent="0.3">
      <c r="A1156" s="19"/>
      <c r="B1156" s="20"/>
      <c r="C1156" s="20"/>
      <c r="D1156" s="20"/>
      <c r="E1156" s="21" t="s">
        <v>13</v>
      </c>
      <c r="F1156" s="5"/>
      <c r="G1156" s="19"/>
      <c r="H1156" s="20"/>
      <c r="I1156" s="20"/>
      <c r="J1156" s="20"/>
      <c r="K1156" s="21" t="s">
        <v>13</v>
      </c>
      <c r="L1156" s="5"/>
    </row>
    <row r="1157" spans="1:12" x14ac:dyDescent="0.25">
      <c r="A1157" s="22" t="s">
        <v>31</v>
      </c>
      <c r="B1157" s="115">
        <v>23850</v>
      </c>
      <c r="C1157" s="116"/>
      <c r="D1157" s="116"/>
      <c r="E1157" s="117"/>
      <c r="F1157" s="5"/>
      <c r="G1157" s="22" t="s">
        <v>32</v>
      </c>
      <c r="H1157" s="115"/>
      <c r="I1157" s="116"/>
      <c r="J1157" s="116"/>
      <c r="K1157" s="117"/>
      <c r="L1157" s="5"/>
    </row>
    <row r="1158" spans="1:12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</row>
    <row r="1159" spans="1:12" x14ac:dyDescent="0.25">
      <c r="A1159" s="7" t="s">
        <v>16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</row>
    <row r="1160" spans="1:12" x14ac:dyDescent="0.25">
      <c r="A1160" s="9" t="s">
        <v>17</v>
      </c>
      <c r="B1160" s="23">
        <f>L1139-C1134</f>
        <v>1514</v>
      </c>
      <c r="C1160" s="5"/>
      <c r="D1160" s="106" t="s">
        <v>18</v>
      </c>
      <c r="E1160" s="107"/>
      <c r="F1160" s="24" t="s">
        <v>19</v>
      </c>
      <c r="G1160" s="9" t="s">
        <v>20</v>
      </c>
      <c r="H1160" s="118">
        <f>B1157+H1157</f>
        <v>23850</v>
      </c>
      <c r="I1160" s="119"/>
      <c r="J1160" s="5"/>
      <c r="K1160" s="5"/>
      <c r="L1160" s="5"/>
    </row>
    <row r="1161" spans="1:12" x14ac:dyDescent="0.25">
      <c r="A1161" s="9" t="s">
        <v>41</v>
      </c>
      <c r="B1161" s="40">
        <f>B1160/D1153</f>
        <v>2.7803232447143555</v>
      </c>
      <c r="C1161" s="5"/>
      <c r="D1161" s="102">
        <f>E1153</f>
        <v>12279.4</v>
      </c>
      <c r="E1161" s="103"/>
      <c r="F1161" s="25">
        <f>H1161/B1160</f>
        <v>9.9194848084544258</v>
      </c>
      <c r="G1161" s="9" t="s">
        <v>21</v>
      </c>
      <c r="H1161" s="104">
        <f>L1154+D1161+D1163+D1165+D1167+A1164</f>
        <v>15018.1</v>
      </c>
      <c r="I1161" s="105"/>
      <c r="J1161" s="5"/>
      <c r="K1161" s="5"/>
      <c r="L1161" s="5"/>
    </row>
    <row r="1162" spans="1:12" x14ac:dyDescent="0.25">
      <c r="A1162" s="9" t="s">
        <v>43</v>
      </c>
      <c r="B1162" s="23">
        <f>D1153/B1160</f>
        <v>0.35967040951122858</v>
      </c>
      <c r="C1162" s="5"/>
      <c r="D1162" s="106" t="s">
        <v>33</v>
      </c>
      <c r="E1162" s="107"/>
      <c r="F1162" s="5"/>
      <c r="G1162" s="13" t="s">
        <v>22</v>
      </c>
      <c r="H1162" s="6"/>
      <c r="I1162" s="26">
        <f>H1160-H1161</f>
        <v>8831.9</v>
      </c>
      <c r="J1162" s="5"/>
      <c r="K1162" s="5"/>
      <c r="L1162" s="5"/>
    </row>
    <row r="1163" spans="1:12" x14ac:dyDescent="0.25">
      <c r="A1163" s="106" t="s">
        <v>40</v>
      </c>
      <c r="B1163" s="107"/>
      <c r="C1163" s="5"/>
      <c r="D1163" s="108">
        <v>300</v>
      </c>
      <c r="E1163" s="109"/>
      <c r="F1163" s="5"/>
      <c r="G1163" s="5"/>
      <c r="H1163" s="5"/>
      <c r="I1163" s="5"/>
      <c r="J1163" s="5"/>
      <c r="K1163" s="5"/>
      <c r="L1163" s="5"/>
    </row>
    <row r="1164" spans="1:12" x14ac:dyDescent="0.25">
      <c r="A1164" s="108">
        <f>B1160*0.4</f>
        <v>605.6</v>
      </c>
      <c r="B1164" s="109"/>
      <c r="C1164" s="5"/>
      <c r="D1164" s="106" t="s">
        <v>34</v>
      </c>
      <c r="E1164" s="107"/>
      <c r="F1164" s="5"/>
      <c r="G1164" s="5"/>
      <c r="H1164" s="5"/>
      <c r="I1164" s="5"/>
      <c r="J1164" s="5"/>
      <c r="K1164" s="5"/>
      <c r="L1164" s="5"/>
    </row>
    <row r="1165" spans="1:12" x14ac:dyDescent="0.25">
      <c r="A1165" s="5"/>
      <c r="B1165" s="5"/>
      <c r="C1165" s="5"/>
      <c r="D1165" s="108"/>
      <c r="E1165" s="109"/>
      <c r="F1165" s="5"/>
      <c r="G1165" s="5"/>
      <c r="H1165" s="5"/>
      <c r="I1165" s="5"/>
      <c r="J1165" s="5"/>
      <c r="K1165" s="5"/>
      <c r="L1165" s="5"/>
    </row>
    <row r="1166" spans="1:12" x14ac:dyDescent="0.25">
      <c r="A1166" s="5"/>
      <c r="B1166" s="5"/>
      <c r="C1166" s="5"/>
      <c r="D1166" s="106" t="s">
        <v>37</v>
      </c>
      <c r="E1166" s="107"/>
      <c r="F1166" s="5"/>
      <c r="G1166" s="5"/>
      <c r="H1166" s="5"/>
      <c r="I1166" s="5"/>
      <c r="J1166" s="5"/>
      <c r="K1166" s="5"/>
      <c r="L1166" s="5"/>
    </row>
    <row r="1167" spans="1:12" x14ac:dyDescent="0.25">
      <c r="A1167" s="5"/>
      <c r="B1167" s="5"/>
      <c r="C1167" s="5"/>
      <c r="D1167" s="108">
        <v>1833.1</v>
      </c>
      <c r="E1167" s="109"/>
      <c r="F1167" s="5" t="s">
        <v>153</v>
      </c>
      <c r="G1167" s="5"/>
      <c r="H1167" s="5"/>
      <c r="I1167" s="5"/>
      <c r="J1167" s="5"/>
      <c r="K1167" s="5"/>
      <c r="L1167" s="5"/>
    </row>
    <row r="1168" spans="1:12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</row>
    <row r="1169" spans="1:12" x14ac:dyDescent="0.25">
      <c r="A1169" s="5" t="s">
        <v>23</v>
      </c>
      <c r="B1169" s="5" t="s">
        <v>54</v>
      </c>
      <c r="C1169" s="5"/>
      <c r="D1169" s="5"/>
      <c r="E1169" s="5"/>
      <c r="F1169" s="5"/>
      <c r="G1169" s="5"/>
      <c r="H1169" s="5"/>
      <c r="I1169" s="5"/>
      <c r="J1169" s="5"/>
      <c r="K1169" s="5"/>
      <c r="L1169" s="5"/>
    </row>
    <row r="1170" spans="1:12" s="49" customFormat="1" x14ac:dyDescent="0.25"/>
    <row r="1173" spans="1:12" x14ac:dyDescent="0.25">
      <c r="A1173" s="120" t="s">
        <v>24</v>
      </c>
      <c r="B1173" s="120"/>
      <c r="C1173" s="120"/>
      <c r="D1173" s="120"/>
      <c r="E1173" s="120"/>
      <c r="F1173" s="120"/>
      <c r="G1173" s="120"/>
      <c r="H1173" s="120"/>
    </row>
    <row r="1174" spans="1:12" x14ac:dyDescent="0.25">
      <c r="A1174" s="120"/>
      <c r="B1174" s="120"/>
      <c r="C1174" s="120"/>
      <c r="D1174" s="120"/>
      <c r="E1174" s="120"/>
      <c r="F1174" s="120"/>
      <c r="G1174" s="120"/>
      <c r="H1174" s="120"/>
    </row>
    <row r="1175" spans="1:12" x14ac:dyDescent="0.25">
      <c r="A1175" s="1" t="s">
        <v>4</v>
      </c>
      <c r="B1175" s="2"/>
      <c r="C1175" s="2"/>
      <c r="D1175" s="2"/>
      <c r="E1175" s="2"/>
      <c r="F1175" s="2"/>
      <c r="G1175" s="3" t="s">
        <v>5</v>
      </c>
      <c r="H1175" s="3" t="s">
        <v>6</v>
      </c>
      <c r="I1175" s="4" t="s">
        <v>7</v>
      </c>
      <c r="J1175" s="5"/>
      <c r="K1175" s="5"/>
      <c r="L1175" s="5"/>
    </row>
    <row r="1176" spans="1:12" x14ac:dyDescent="0.25">
      <c r="A1176" s="28" t="s">
        <v>167</v>
      </c>
      <c r="B1176" s="29" t="s">
        <v>62</v>
      </c>
      <c r="C1176" s="67"/>
      <c r="D1176" s="66"/>
      <c r="E1176" s="2"/>
      <c r="F1176" s="2"/>
      <c r="G1176" s="28" t="s">
        <v>155</v>
      </c>
      <c r="H1176" s="66"/>
      <c r="I1176" s="33"/>
      <c r="J1176" s="6"/>
      <c r="K1176" s="33"/>
      <c r="L1176" s="6"/>
    </row>
    <row r="1177" spans="1:12" x14ac:dyDescent="0.25">
      <c r="A1177" s="7" t="s">
        <v>2</v>
      </c>
      <c r="B1177" s="5"/>
      <c r="C1177" s="5"/>
      <c r="D1177" s="5"/>
      <c r="E1177" s="5"/>
      <c r="F1177" s="5"/>
      <c r="G1177" s="8" t="s">
        <v>8</v>
      </c>
      <c r="H1177" s="31"/>
      <c r="I1177" s="5"/>
      <c r="J1177" s="5"/>
      <c r="K1177" s="5"/>
      <c r="L1177" s="5"/>
    </row>
    <row r="1178" spans="1:12" x14ac:dyDescent="0.25">
      <c r="A1178" s="7" t="s">
        <v>25</v>
      </c>
      <c r="B1178" s="5"/>
      <c r="C1178" s="7" t="s">
        <v>0</v>
      </c>
      <c r="D1178" s="5"/>
      <c r="E1178" s="5"/>
      <c r="F1178" s="5"/>
      <c r="G1178" s="7" t="s">
        <v>25</v>
      </c>
      <c r="H1178" s="5"/>
      <c r="I1178" s="7" t="s">
        <v>0</v>
      </c>
      <c r="J1178" s="5"/>
      <c r="K1178" s="5"/>
      <c r="L1178" s="5"/>
    </row>
    <row r="1179" spans="1:12" x14ac:dyDescent="0.25">
      <c r="A1179" s="42" t="s">
        <v>166</v>
      </c>
      <c r="B1179" s="6"/>
      <c r="C1179" s="31">
        <f>L1139</f>
        <v>491575</v>
      </c>
      <c r="D1179" s="5"/>
      <c r="E1179" s="5"/>
      <c r="F1179" s="5"/>
      <c r="G1179" s="42"/>
      <c r="H1179" s="6"/>
      <c r="I1179" s="9"/>
      <c r="J1179" s="5"/>
      <c r="K1179" s="5"/>
      <c r="L1179" s="5"/>
    </row>
    <row r="1180" spans="1:12" ht="16.5" thickBot="1" x14ac:dyDescent="0.3">
      <c r="A1180" s="58"/>
      <c r="B1180" s="5"/>
      <c r="C1180" s="5"/>
      <c r="D1180" s="5"/>
      <c r="E1180" s="5"/>
      <c r="F1180" s="5"/>
      <c r="G1180" s="10"/>
      <c r="H1180" s="5"/>
      <c r="I1180" s="5"/>
      <c r="J1180" s="5"/>
      <c r="K1180" s="5"/>
      <c r="L1180" s="5"/>
    </row>
    <row r="1181" spans="1:12" ht="15.75" thickBot="1" x14ac:dyDescent="0.3">
      <c r="A1181" s="121" t="s">
        <v>9</v>
      </c>
      <c r="B1181" s="122"/>
      <c r="C1181" s="123"/>
      <c r="D1181" s="5"/>
      <c r="E1181" s="5"/>
      <c r="F1181" s="5"/>
      <c r="G1181" s="121" t="s">
        <v>26</v>
      </c>
      <c r="H1181" s="122"/>
      <c r="I1181" s="123"/>
      <c r="J1181" s="5"/>
      <c r="K1181" s="5"/>
      <c r="L1181" s="5"/>
    </row>
    <row r="1182" spans="1:12" x14ac:dyDescent="0.25">
      <c r="A1182" s="30" t="s">
        <v>38</v>
      </c>
      <c r="B1182" s="11"/>
      <c r="C1182" s="11"/>
      <c r="D1182" s="11"/>
      <c r="E1182" s="6"/>
      <c r="F1182" s="5"/>
      <c r="G1182" s="30" t="str">
        <f>A1185</f>
        <v>Rundu</v>
      </c>
      <c r="H1182" s="11"/>
      <c r="I1182" s="11"/>
      <c r="J1182" s="11"/>
      <c r="K1182" s="11"/>
      <c r="L1182" s="6"/>
    </row>
    <row r="1183" spans="1:12" ht="15.75" thickBot="1" x14ac:dyDescent="0.3">
      <c r="A1183" s="7"/>
      <c r="B1183" s="7"/>
      <c r="C1183" s="7"/>
      <c r="D1183" s="5"/>
      <c r="E1183" s="5"/>
      <c r="F1183" s="5"/>
      <c r="G1183" s="7" t="s">
        <v>3</v>
      </c>
      <c r="H1183" s="7"/>
      <c r="I1183" s="7"/>
      <c r="J1183" s="5"/>
      <c r="K1183" s="5"/>
      <c r="L1183" s="5"/>
    </row>
    <row r="1184" spans="1:12" ht="15.75" thickBot="1" x14ac:dyDescent="0.3">
      <c r="A1184" s="121" t="s">
        <v>30</v>
      </c>
      <c r="B1184" s="122"/>
      <c r="C1184" s="124"/>
      <c r="D1184" s="12" t="s">
        <v>1</v>
      </c>
      <c r="E1184" s="32"/>
      <c r="F1184" s="5"/>
      <c r="G1184" s="121" t="s">
        <v>27</v>
      </c>
      <c r="H1184" s="122"/>
      <c r="I1184" s="123"/>
      <c r="J1184" s="5"/>
      <c r="K1184" s="12" t="s">
        <v>1</v>
      </c>
      <c r="L1184" s="32">
        <v>493083</v>
      </c>
    </row>
    <row r="1185" spans="1:12" x14ac:dyDescent="0.25">
      <c r="A1185" s="13" t="s">
        <v>49</v>
      </c>
      <c r="B1185" s="14"/>
      <c r="C1185" s="11"/>
      <c r="D1185" s="11"/>
      <c r="E1185" s="6"/>
      <c r="F1185" s="5"/>
      <c r="G1185" s="34" t="str">
        <f>A1182</f>
        <v>Windhoek</v>
      </c>
      <c r="H1185" s="11"/>
      <c r="I1185" s="11"/>
      <c r="J1185" s="11"/>
      <c r="K1185" s="11"/>
      <c r="L1185" s="6"/>
    </row>
    <row r="1186" spans="1:12" x14ac:dyDescent="0.25">
      <c r="A1186" s="13"/>
      <c r="B1186" s="11"/>
      <c r="C1186" s="11"/>
      <c r="D1186" s="11"/>
      <c r="E1186" s="6"/>
      <c r="F1186" s="5"/>
      <c r="G1186" s="13"/>
      <c r="H1186" s="11"/>
      <c r="I1186" s="11"/>
      <c r="J1186" s="11"/>
      <c r="K1186" s="11"/>
      <c r="L1186" s="6"/>
    </row>
    <row r="1187" spans="1:12" x14ac:dyDescent="0.25">
      <c r="A1187" s="13"/>
      <c r="B1187" s="11"/>
      <c r="C1187" s="11"/>
      <c r="D1187" s="11"/>
      <c r="E1187" s="6"/>
      <c r="F1187" s="5"/>
      <c r="G1187" s="13"/>
      <c r="H1187" s="11"/>
      <c r="I1187" s="11"/>
      <c r="J1187" s="11"/>
      <c r="K1187" s="11"/>
      <c r="L1187" s="6"/>
    </row>
    <row r="1188" spans="1:12" x14ac:dyDescent="0.25">
      <c r="A1188" s="13"/>
      <c r="B1188" s="11"/>
      <c r="C1188" s="11"/>
      <c r="D1188" s="11"/>
      <c r="E1188" s="6"/>
      <c r="F1188" s="5"/>
      <c r="G1188" s="13"/>
      <c r="H1188" s="11"/>
      <c r="I1188" s="11"/>
      <c r="J1188" s="11"/>
      <c r="K1188" s="11"/>
      <c r="L1188" s="6"/>
    </row>
    <row r="1189" spans="1:12" ht="15.75" thickBot="1" x14ac:dyDescent="0.3">
      <c r="A1189" s="13"/>
      <c r="B1189" s="11"/>
      <c r="C1189" s="11" t="s">
        <v>29</v>
      </c>
      <c r="D1189" s="43"/>
      <c r="E1189" s="6"/>
      <c r="F1189" s="5"/>
      <c r="G1189" s="13"/>
      <c r="H1189" s="11"/>
      <c r="I1189" s="14" t="s">
        <v>28</v>
      </c>
      <c r="J1189" s="43"/>
      <c r="K1189" s="11"/>
      <c r="L1189" s="6"/>
    </row>
    <row r="1190" spans="1:12" ht="15.75" thickBot="1" x14ac:dyDescent="0.3">
      <c r="A1190" s="15" t="s">
        <v>10</v>
      </c>
      <c r="B1190" s="5"/>
      <c r="C1190" s="5"/>
      <c r="D1190" s="5"/>
      <c r="E1190" s="5"/>
      <c r="F1190" s="5"/>
      <c r="G1190" s="15" t="s">
        <v>14</v>
      </c>
      <c r="H1190" s="5"/>
      <c r="I1190" s="5"/>
      <c r="J1190" s="5"/>
      <c r="K1190" s="5"/>
      <c r="L1190" s="5"/>
    </row>
    <row r="1191" spans="1:12" ht="15.75" thickBot="1" x14ac:dyDescent="0.3">
      <c r="A1191" s="121" t="s">
        <v>11</v>
      </c>
      <c r="B1191" s="122"/>
      <c r="C1191" s="123"/>
      <c r="D1191" s="16" t="s">
        <v>12</v>
      </c>
      <c r="E1191" s="16" t="s">
        <v>13</v>
      </c>
      <c r="F1191" s="5"/>
      <c r="G1191" s="121" t="s">
        <v>15</v>
      </c>
      <c r="H1191" s="122"/>
      <c r="I1191" s="123"/>
      <c r="J1191" s="121" t="s">
        <v>13</v>
      </c>
      <c r="K1191" s="123"/>
      <c r="L1191" s="5"/>
    </row>
    <row r="1192" spans="1:12" x14ac:dyDescent="0.25">
      <c r="A1192" s="41" t="s">
        <v>168</v>
      </c>
      <c r="B1192" s="36" t="s">
        <v>47</v>
      </c>
      <c r="C1192" s="37"/>
      <c r="D1192" s="50">
        <v>580.13</v>
      </c>
      <c r="E1192" s="51">
        <v>13081.95</v>
      </c>
      <c r="F1192" s="44">
        <f t="shared" ref="F1192:F1197" si="25">E1192/D1192</f>
        <v>22.550031889404099</v>
      </c>
      <c r="G1192" s="125"/>
      <c r="H1192" s="126"/>
      <c r="I1192" s="127"/>
      <c r="J1192" s="128"/>
      <c r="K1192" s="129"/>
      <c r="L1192" s="5"/>
    </row>
    <row r="1193" spans="1:12" x14ac:dyDescent="0.25">
      <c r="A1193" s="48"/>
      <c r="B1193" s="35"/>
      <c r="C1193" s="39"/>
      <c r="D1193" s="52"/>
      <c r="E1193" s="53"/>
      <c r="F1193" s="44" t="e">
        <f t="shared" si="25"/>
        <v>#DIV/0!</v>
      </c>
      <c r="G1193" s="110"/>
      <c r="H1193" s="111"/>
      <c r="I1193" s="112"/>
      <c r="J1193" s="113"/>
      <c r="K1193" s="114"/>
      <c r="L1193" s="5"/>
    </row>
    <row r="1194" spans="1:12" x14ac:dyDescent="0.25">
      <c r="A1194" s="38"/>
      <c r="B1194" s="35"/>
      <c r="C1194" s="39"/>
      <c r="D1194" s="52"/>
      <c r="E1194" s="53"/>
      <c r="F1194" s="44" t="e">
        <f t="shared" si="25"/>
        <v>#DIV/0!</v>
      </c>
      <c r="G1194" s="110"/>
      <c r="H1194" s="111"/>
      <c r="I1194" s="112"/>
      <c r="J1194" s="113"/>
      <c r="K1194" s="114"/>
      <c r="L1194" s="5"/>
    </row>
    <row r="1195" spans="1:12" x14ac:dyDescent="0.25">
      <c r="A1195" s="48"/>
      <c r="B1195" s="35"/>
      <c r="C1195" s="39"/>
      <c r="D1195" s="52"/>
      <c r="E1195" s="53"/>
      <c r="F1195" s="44" t="e">
        <f t="shared" si="25"/>
        <v>#DIV/0!</v>
      </c>
      <c r="G1195" s="110"/>
      <c r="H1195" s="111"/>
      <c r="I1195" s="112"/>
      <c r="J1195" s="113"/>
      <c r="K1195" s="114"/>
      <c r="L1195" s="5"/>
    </row>
    <row r="1196" spans="1:12" x14ac:dyDescent="0.25">
      <c r="A1196" s="27"/>
      <c r="B1196" s="11"/>
      <c r="C1196" s="6"/>
      <c r="D1196" s="54"/>
      <c r="E1196" s="55"/>
      <c r="F1196" s="44" t="e">
        <f t="shared" si="25"/>
        <v>#DIV/0!</v>
      </c>
      <c r="G1196" s="110"/>
      <c r="H1196" s="111"/>
      <c r="I1196" s="112"/>
      <c r="J1196" s="113"/>
      <c r="K1196" s="114"/>
      <c r="L1196" s="5"/>
    </row>
    <row r="1197" spans="1:12" x14ac:dyDescent="0.25">
      <c r="A1197" s="68"/>
      <c r="B1197" s="11"/>
      <c r="C1197" s="6"/>
      <c r="D1197" s="54"/>
      <c r="E1197" s="55"/>
      <c r="F1197" s="44" t="e">
        <f t="shared" si="25"/>
        <v>#DIV/0!</v>
      </c>
      <c r="G1197" s="110"/>
      <c r="H1197" s="111"/>
      <c r="I1197" s="112"/>
      <c r="J1197" s="113"/>
      <c r="K1197" s="114"/>
      <c r="L1197" s="5"/>
    </row>
    <row r="1198" spans="1:12" ht="15.75" thickBot="1" x14ac:dyDescent="0.3">
      <c r="A1198" s="5"/>
      <c r="B1198" s="5"/>
      <c r="C1198" s="7" t="s">
        <v>35</v>
      </c>
      <c r="D1198" s="17">
        <f>D1192+D1193+D1194+D1195+D1196+D1197</f>
        <v>580.13</v>
      </c>
      <c r="E1198" s="17">
        <f>E1192+E1193+E1194+E1195+E1196+E1197</f>
        <v>13081.95</v>
      </c>
      <c r="F1198" s="5"/>
      <c r="G1198" s="110"/>
      <c r="H1198" s="111"/>
      <c r="I1198" s="112"/>
      <c r="J1198" s="113"/>
      <c r="K1198" s="114"/>
      <c r="L1198" s="7" t="s">
        <v>36</v>
      </c>
    </row>
    <row r="1199" spans="1:12" ht="15.75" thickBot="1" x14ac:dyDescent="0.3">
      <c r="A1199" s="5"/>
      <c r="B1199" s="5"/>
      <c r="C1199" s="5"/>
      <c r="D1199" s="5"/>
      <c r="E1199" s="5"/>
      <c r="F1199" s="5"/>
      <c r="G1199" s="130"/>
      <c r="H1199" s="131"/>
      <c r="I1199" s="132"/>
      <c r="J1199" s="133"/>
      <c r="K1199" s="134"/>
      <c r="L1199" s="18">
        <f>J1192+J1193+J1194+J1195+J1196+J1197+J1198+J1199</f>
        <v>0</v>
      </c>
    </row>
    <row r="1200" spans="1:12" ht="15.75" thickBot="1" x14ac:dyDescent="0.3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</row>
    <row r="1201" spans="1:12" ht="15.75" thickBot="1" x14ac:dyDescent="0.3">
      <c r="A1201" s="19"/>
      <c r="B1201" s="20"/>
      <c r="C1201" s="20"/>
      <c r="D1201" s="20"/>
      <c r="E1201" s="21" t="s">
        <v>13</v>
      </c>
      <c r="F1201" s="5"/>
      <c r="G1201" s="19"/>
      <c r="H1201" s="20"/>
      <c r="I1201" s="20"/>
      <c r="J1201" s="20"/>
      <c r="K1201" s="21" t="s">
        <v>13</v>
      </c>
      <c r="L1201" s="5"/>
    </row>
    <row r="1202" spans="1:12" x14ac:dyDescent="0.25">
      <c r="A1202" s="22" t="s">
        <v>31</v>
      </c>
      <c r="B1202" s="115">
        <v>22896</v>
      </c>
      <c r="C1202" s="116"/>
      <c r="D1202" s="116"/>
      <c r="E1202" s="117"/>
      <c r="F1202" s="5"/>
      <c r="G1202" s="22" t="s">
        <v>32</v>
      </c>
      <c r="H1202" s="115"/>
      <c r="I1202" s="116"/>
      <c r="J1202" s="116"/>
      <c r="K1202" s="117"/>
      <c r="L1202" s="5"/>
    </row>
    <row r="1203" spans="1:12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</row>
    <row r="1204" spans="1:12" x14ac:dyDescent="0.25">
      <c r="A1204" s="7" t="s">
        <v>16</v>
      </c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</row>
    <row r="1205" spans="1:12" x14ac:dyDescent="0.25">
      <c r="A1205" s="9" t="s">
        <v>17</v>
      </c>
      <c r="B1205" s="23">
        <f>L1184-C1179</f>
        <v>1508</v>
      </c>
      <c r="C1205" s="5"/>
      <c r="D1205" s="106" t="s">
        <v>18</v>
      </c>
      <c r="E1205" s="107"/>
      <c r="F1205" s="24" t="s">
        <v>19</v>
      </c>
      <c r="G1205" s="9" t="s">
        <v>20</v>
      </c>
      <c r="H1205" s="118">
        <f>B1202+H1202</f>
        <v>22896</v>
      </c>
      <c r="I1205" s="119"/>
      <c r="J1205" s="5"/>
      <c r="K1205" s="5"/>
      <c r="L1205" s="5"/>
    </row>
    <row r="1206" spans="1:12" x14ac:dyDescent="0.25">
      <c r="A1206" s="9" t="s">
        <v>41</v>
      </c>
      <c r="B1206" s="40">
        <f>B1205/D1198</f>
        <v>2.599417371968352</v>
      </c>
      <c r="C1206" s="5"/>
      <c r="D1206" s="102">
        <f>E1198</f>
        <v>13081.95</v>
      </c>
      <c r="E1206" s="103"/>
      <c r="F1206" s="25">
        <f>H1206/B1205</f>
        <v>10.837533156498674</v>
      </c>
      <c r="G1206" s="9" t="s">
        <v>21</v>
      </c>
      <c r="H1206" s="104">
        <f>L1199+D1206+D1208+D1210+D1212+A1209</f>
        <v>16343.000000000002</v>
      </c>
      <c r="I1206" s="105"/>
      <c r="J1206" s="5"/>
      <c r="K1206" s="5"/>
      <c r="L1206" s="5"/>
    </row>
    <row r="1207" spans="1:12" x14ac:dyDescent="0.25">
      <c r="A1207" s="9" t="s">
        <v>43</v>
      </c>
      <c r="B1207" s="23">
        <f>D1198/B1205</f>
        <v>0.38470159151193634</v>
      </c>
      <c r="C1207" s="5"/>
      <c r="D1207" s="106" t="s">
        <v>33</v>
      </c>
      <c r="E1207" s="107"/>
      <c r="F1207" s="5"/>
      <c r="G1207" s="13" t="s">
        <v>22</v>
      </c>
      <c r="H1207" s="6"/>
      <c r="I1207" s="26">
        <f>H1205-H1206</f>
        <v>6552.9999999999982</v>
      </c>
      <c r="J1207" s="5"/>
      <c r="K1207" s="5"/>
      <c r="L1207" s="5"/>
    </row>
    <row r="1208" spans="1:12" x14ac:dyDescent="0.25">
      <c r="A1208" s="106" t="s">
        <v>40</v>
      </c>
      <c r="B1208" s="107"/>
      <c r="C1208" s="5"/>
      <c r="D1208" s="108">
        <v>300</v>
      </c>
      <c r="E1208" s="109"/>
      <c r="F1208" s="5"/>
      <c r="G1208" s="5"/>
      <c r="H1208" s="5"/>
      <c r="I1208" s="5"/>
      <c r="J1208" s="5"/>
      <c r="K1208" s="5"/>
      <c r="L1208" s="5"/>
    </row>
    <row r="1209" spans="1:12" x14ac:dyDescent="0.25">
      <c r="A1209" s="108">
        <f>B1205*0.4</f>
        <v>603.20000000000005</v>
      </c>
      <c r="B1209" s="109"/>
      <c r="C1209" s="5"/>
      <c r="D1209" s="106" t="s">
        <v>34</v>
      </c>
      <c r="E1209" s="107"/>
      <c r="F1209" s="5"/>
      <c r="G1209" s="5"/>
      <c r="H1209" s="5"/>
      <c r="I1209" s="5"/>
      <c r="J1209" s="5"/>
      <c r="K1209" s="5"/>
      <c r="L1209" s="5"/>
    </row>
    <row r="1210" spans="1:12" x14ac:dyDescent="0.25">
      <c r="A1210" s="5"/>
      <c r="B1210" s="5"/>
      <c r="C1210" s="5"/>
      <c r="D1210" s="108"/>
      <c r="E1210" s="109"/>
      <c r="F1210" s="5"/>
      <c r="G1210" s="5"/>
      <c r="H1210" s="5"/>
      <c r="I1210" s="5"/>
      <c r="J1210" s="5"/>
      <c r="K1210" s="5"/>
      <c r="L1210" s="5"/>
    </row>
    <row r="1211" spans="1:12" x14ac:dyDescent="0.25">
      <c r="A1211" s="5"/>
      <c r="B1211" s="5"/>
      <c r="C1211" s="5"/>
      <c r="D1211" s="106" t="s">
        <v>37</v>
      </c>
      <c r="E1211" s="107"/>
      <c r="F1211" s="5"/>
      <c r="G1211" s="5"/>
      <c r="H1211" s="5"/>
      <c r="I1211" s="5"/>
      <c r="J1211" s="5"/>
      <c r="K1211" s="5"/>
      <c r="L1211" s="5"/>
    </row>
    <row r="1212" spans="1:12" x14ac:dyDescent="0.25">
      <c r="A1212" s="5"/>
      <c r="B1212" s="5"/>
      <c r="C1212" s="5"/>
      <c r="D1212" s="108">
        <v>2357.85</v>
      </c>
      <c r="E1212" s="109"/>
      <c r="F1212" s="5" t="s">
        <v>153</v>
      </c>
      <c r="G1212" s="5"/>
      <c r="H1212" s="5"/>
      <c r="I1212" s="5"/>
      <c r="J1212" s="5"/>
      <c r="K1212" s="5"/>
      <c r="L1212" s="5"/>
    </row>
    <row r="1213" spans="1:12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</row>
    <row r="1214" spans="1:12" x14ac:dyDescent="0.25">
      <c r="A1214" s="5" t="s">
        <v>23</v>
      </c>
      <c r="B1214" s="5" t="s">
        <v>54</v>
      </c>
      <c r="C1214" s="5"/>
      <c r="D1214" s="5"/>
      <c r="E1214" s="5"/>
      <c r="F1214" s="5"/>
      <c r="G1214" s="5"/>
      <c r="H1214" s="5"/>
      <c r="I1214" s="5"/>
      <c r="J1214" s="5"/>
      <c r="K1214" s="5"/>
      <c r="L1214" s="5"/>
    </row>
    <row r="1215" spans="1:12" s="49" customFormat="1" x14ac:dyDescent="0.25"/>
    <row r="1218" spans="1:12" x14ac:dyDescent="0.25">
      <c r="A1218" s="120" t="s">
        <v>24</v>
      </c>
      <c r="B1218" s="120"/>
      <c r="C1218" s="120"/>
      <c r="D1218" s="120"/>
      <c r="E1218" s="120"/>
      <c r="F1218" s="120"/>
      <c r="G1218" s="120"/>
      <c r="H1218" s="120"/>
    </row>
    <row r="1219" spans="1:12" x14ac:dyDescent="0.25">
      <c r="A1219" s="120"/>
      <c r="B1219" s="120"/>
      <c r="C1219" s="120"/>
      <c r="D1219" s="120"/>
      <c r="E1219" s="120"/>
      <c r="F1219" s="120"/>
      <c r="G1219" s="120"/>
      <c r="H1219" s="120"/>
    </row>
    <row r="1220" spans="1:12" x14ac:dyDescent="0.25">
      <c r="A1220" s="1" t="s">
        <v>4</v>
      </c>
      <c r="B1220" s="2"/>
      <c r="C1220" s="2"/>
      <c r="D1220" s="2"/>
      <c r="E1220" s="2"/>
      <c r="F1220" s="2"/>
      <c r="G1220" s="3" t="s">
        <v>5</v>
      </c>
      <c r="H1220" s="3" t="s">
        <v>6</v>
      </c>
      <c r="I1220" s="4" t="s">
        <v>7</v>
      </c>
      <c r="J1220" s="5"/>
      <c r="K1220" s="5"/>
      <c r="L1220" s="5"/>
    </row>
    <row r="1221" spans="1:12" x14ac:dyDescent="0.25">
      <c r="A1221" s="28" t="s">
        <v>169</v>
      </c>
      <c r="B1221" s="29" t="s">
        <v>42</v>
      </c>
      <c r="C1221" s="67"/>
      <c r="D1221" s="66"/>
      <c r="E1221" s="2"/>
      <c r="F1221" s="2"/>
      <c r="G1221" s="28" t="s">
        <v>155</v>
      </c>
      <c r="H1221" s="66"/>
      <c r="I1221" s="33"/>
      <c r="J1221" s="6"/>
      <c r="K1221" s="33"/>
      <c r="L1221" s="6"/>
    </row>
    <row r="1222" spans="1:12" x14ac:dyDescent="0.25">
      <c r="A1222" s="7" t="s">
        <v>2</v>
      </c>
      <c r="B1222" s="5"/>
      <c r="C1222" s="5"/>
      <c r="D1222" s="5"/>
      <c r="E1222" s="5"/>
      <c r="F1222" s="5"/>
      <c r="G1222" s="8" t="s">
        <v>8</v>
      </c>
      <c r="H1222" s="31"/>
      <c r="I1222" s="5"/>
      <c r="J1222" s="5"/>
      <c r="K1222" s="5"/>
      <c r="L1222" s="5"/>
    </row>
    <row r="1223" spans="1:12" x14ac:dyDescent="0.25">
      <c r="A1223" s="7" t="s">
        <v>25</v>
      </c>
      <c r="B1223" s="5"/>
      <c r="C1223" s="7" t="s">
        <v>0</v>
      </c>
      <c r="D1223" s="5"/>
      <c r="E1223" s="5"/>
      <c r="F1223" s="5"/>
      <c r="G1223" s="7" t="s">
        <v>25</v>
      </c>
      <c r="H1223" s="5"/>
      <c r="I1223" s="7" t="s">
        <v>0</v>
      </c>
      <c r="J1223" s="5"/>
      <c r="K1223" s="5"/>
      <c r="L1223" s="5"/>
    </row>
    <row r="1224" spans="1:12" x14ac:dyDescent="0.25">
      <c r="A1224" s="42" t="s">
        <v>163</v>
      </c>
      <c r="B1224" s="6"/>
      <c r="C1224" s="31">
        <f>L1184</f>
        <v>493083</v>
      </c>
      <c r="D1224" s="5"/>
      <c r="E1224" s="5"/>
      <c r="F1224" s="5"/>
      <c r="G1224" s="42"/>
      <c r="H1224" s="6"/>
      <c r="I1224" s="9"/>
      <c r="J1224" s="5"/>
      <c r="K1224" s="5"/>
      <c r="L1224" s="5"/>
    </row>
    <row r="1225" spans="1:12" ht="16.5" thickBot="1" x14ac:dyDescent="0.3">
      <c r="A1225" s="58"/>
      <c r="B1225" s="5"/>
      <c r="C1225" s="5"/>
      <c r="D1225" s="5"/>
      <c r="E1225" s="5"/>
      <c r="F1225" s="5"/>
      <c r="G1225" s="10"/>
      <c r="H1225" s="5"/>
      <c r="I1225" s="5"/>
      <c r="J1225" s="5"/>
      <c r="K1225" s="5"/>
      <c r="L1225" s="5"/>
    </row>
    <row r="1226" spans="1:12" ht="15.75" thickBot="1" x14ac:dyDescent="0.3">
      <c r="A1226" s="121" t="s">
        <v>9</v>
      </c>
      <c r="B1226" s="122"/>
      <c r="C1226" s="123"/>
      <c r="D1226" s="5"/>
      <c r="E1226" s="5"/>
      <c r="F1226" s="5"/>
      <c r="G1226" s="121" t="s">
        <v>26</v>
      </c>
      <c r="H1226" s="122"/>
      <c r="I1226" s="123"/>
      <c r="J1226" s="5"/>
      <c r="K1226" s="5"/>
      <c r="L1226" s="5"/>
    </row>
    <row r="1227" spans="1:12" x14ac:dyDescent="0.25">
      <c r="A1227" s="30" t="s">
        <v>38</v>
      </c>
      <c r="B1227" s="11"/>
      <c r="C1227" s="11"/>
      <c r="D1227" s="11"/>
      <c r="E1227" s="6"/>
      <c r="F1227" s="5"/>
      <c r="G1227" s="30" t="str">
        <f>A1230</f>
        <v>Rundu</v>
      </c>
      <c r="H1227" s="11"/>
      <c r="I1227" s="11"/>
      <c r="J1227" s="11"/>
      <c r="K1227" s="11"/>
      <c r="L1227" s="6"/>
    </row>
    <row r="1228" spans="1:12" ht="15.75" thickBot="1" x14ac:dyDescent="0.3">
      <c r="A1228" s="7"/>
      <c r="B1228" s="7"/>
      <c r="C1228" s="7"/>
      <c r="D1228" s="5"/>
      <c r="E1228" s="5"/>
      <c r="F1228" s="5"/>
      <c r="G1228" s="7" t="s">
        <v>3</v>
      </c>
      <c r="H1228" s="7"/>
      <c r="I1228" s="7"/>
      <c r="J1228" s="5"/>
      <c r="K1228" s="5"/>
      <c r="L1228" s="5"/>
    </row>
    <row r="1229" spans="1:12" ht="15.75" thickBot="1" x14ac:dyDescent="0.3">
      <c r="A1229" s="121" t="s">
        <v>30</v>
      </c>
      <c r="B1229" s="122"/>
      <c r="C1229" s="124"/>
      <c r="D1229" s="12" t="s">
        <v>1</v>
      </c>
      <c r="E1229" s="32"/>
      <c r="F1229" s="5"/>
      <c r="G1229" s="121" t="s">
        <v>27</v>
      </c>
      <c r="H1229" s="122"/>
      <c r="I1229" s="123"/>
      <c r="J1229" s="5"/>
      <c r="K1229" s="12" t="s">
        <v>1</v>
      </c>
      <c r="L1229" s="32">
        <v>494604</v>
      </c>
    </row>
    <row r="1230" spans="1:12" x14ac:dyDescent="0.25">
      <c r="A1230" s="13" t="s">
        <v>49</v>
      </c>
      <c r="B1230" s="14"/>
      <c r="C1230" s="11"/>
      <c r="D1230" s="11"/>
      <c r="E1230" s="6"/>
      <c r="F1230" s="5"/>
      <c r="G1230" s="34" t="str">
        <f>A1227</f>
        <v>Windhoek</v>
      </c>
      <c r="H1230" s="11"/>
      <c r="I1230" s="11"/>
      <c r="J1230" s="11"/>
      <c r="K1230" s="11"/>
      <c r="L1230" s="6"/>
    </row>
    <row r="1231" spans="1:12" x14ac:dyDescent="0.25">
      <c r="A1231" s="13" t="s">
        <v>42</v>
      </c>
      <c r="B1231" s="11"/>
      <c r="C1231" s="11"/>
      <c r="D1231" s="11"/>
      <c r="E1231" s="6"/>
      <c r="F1231" s="5"/>
      <c r="G1231" s="13"/>
      <c r="H1231" s="11"/>
      <c r="I1231" s="11"/>
      <c r="J1231" s="11"/>
      <c r="K1231" s="11"/>
      <c r="L1231" s="6"/>
    </row>
    <row r="1232" spans="1:12" x14ac:dyDescent="0.25">
      <c r="A1232" s="13"/>
      <c r="B1232" s="11"/>
      <c r="C1232" s="11"/>
      <c r="D1232" s="11"/>
      <c r="E1232" s="6"/>
      <c r="F1232" s="5"/>
      <c r="G1232" s="13"/>
      <c r="H1232" s="11"/>
      <c r="I1232" s="11"/>
      <c r="J1232" s="11"/>
      <c r="K1232" s="11"/>
      <c r="L1232" s="6"/>
    </row>
    <row r="1233" spans="1:12" x14ac:dyDescent="0.25">
      <c r="A1233" s="13"/>
      <c r="B1233" s="11"/>
      <c r="C1233" s="11"/>
      <c r="D1233" s="11"/>
      <c r="E1233" s="6"/>
      <c r="F1233" s="5"/>
      <c r="G1233" s="13"/>
      <c r="H1233" s="11"/>
      <c r="I1233" s="11"/>
      <c r="J1233" s="11"/>
      <c r="K1233" s="11"/>
      <c r="L1233" s="6"/>
    </row>
    <row r="1234" spans="1:12" ht="15.75" thickBot="1" x14ac:dyDescent="0.3">
      <c r="A1234" s="13"/>
      <c r="B1234" s="11"/>
      <c r="C1234" s="11" t="s">
        <v>29</v>
      </c>
      <c r="D1234" s="43"/>
      <c r="E1234" s="6"/>
      <c r="F1234" s="5"/>
      <c r="G1234" s="13"/>
      <c r="H1234" s="11"/>
      <c r="I1234" s="14" t="s">
        <v>28</v>
      </c>
      <c r="J1234" s="43"/>
      <c r="K1234" s="11"/>
      <c r="L1234" s="6"/>
    </row>
    <row r="1235" spans="1:12" ht="15.75" thickBot="1" x14ac:dyDescent="0.3">
      <c r="A1235" s="15" t="s">
        <v>10</v>
      </c>
      <c r="B1235" s="5"/>
      <c r="C1235" s="5"/>
      <c r="D1235" s="5"/>
      <c r="E1235" s="5"/>
      <c r="F1235" s="5"/>
      <c r="G1235" s="15" t="s">
        <v>14</v>
      </c>
      <c r="H1235" s="5"/>
      <c r="I1235" s="5"/>
      <c r="J1235" s="5"/>
      <c r="K1235" s="5"/>
      <c r="L1235" s="5"/>
    </row>
    <row r="1236" spans="1:12" ht="15.75" thickBot="1" x14ac:dyDescent="0.3">
      <c r="A1236" s="121" t="s">
        <v>11</v>
      </c>
      <c r="B1236" s="122"/>
      <c r="C1236" s="123"/>
      <c r="D1236" s="16" t="s">
        <v>12</v>
      </c>
      <c r="E1236" s="16" t="s">
        <v>13</v>
      </c>
      <c r="F1236" s="5"/>
      <c r="G1236" s="121" t="s">
        <v>15</v>
      </c>
      <c r="H1236" s="122"/>
      <c r="I1236" s="123"/>
      <c r="J1236" s="121" t="s">
        <v>13</v>
      </c>
      <c r="K1236" s="123"/>
      <c r="L1236" s="5"/>
    </row>
    <row r="1237" spans="1:12" x14ac:dyDescent="0.25">
      <c r="A1237" s="41" t="s">
        <v>165</v>
      </c>
      <c r="B1237" s="36" t="s">
        <v>47</v>
      </c>
      <c r="C1237" s="37"/>
      <c r="D1237" s="50">
        <v>682.2</v>
      </c>
      <c r="E1237" s="51">
        <v>15383.6</v>
      </c>
      <c r="F1237" s="44">
        <f t="shared" ref="F1237:F1242" si="26">E1237/D1237</f>
        <v>22.549985341542069</v>
      </c>
      <c r="G1237" s="125"/>
      <c r="H1237" s="126"/>
      <c r="I1237" s="127"/>
      <c r="J1237" s="128"/>
      <c r="K1237" s="129"/>
      <c r="L1237" s="5"/>
    </row>
    <row r="1238" spans="1:12" x14ac:dyDescent="0.25">
      <c r="A1238" s="48"/>
      <c r="B1238" s="35"/>
      <c r="C1238" s="39"/>
      <c r="D1238" s="52"/>
      <c r="E1238" s="53"/>
      <c r="F1238" s="44" t="e">
        <f t="shared" si="26"/>
        <v>#DIV/0!</v>
      </c>
      <c r="G1238" s="110"/>
      <c r="H1238" s="111"/>
      <c r="I1238" s="112"/>
      <c r="J1238" s="113"/>
      <c r="K1238" s="114"/>
      <c r="L1238" s="5"/>
    </row>
    <row r="1239" spans="1:12" x14ac:dyDescent="0.25">
      <c r="A1239" s="38"/>
      <c r="B1239" s="35"/>
      <c r="C1239" s="39"/>
      <c r="D1239" s="52"/>
      <c r="E1239" s="53"/>
      <c r="F1239" s="44" t="e">
        <f t="shared" si="26"/>
        <v>#DIV/0!</v>
      </c>
      <c r="G1239" s="110"/>
      <c r="H1239" s="111"/>
      <c r="I1239" s="112"/>
      <c r="J1239" s="113"/>
      <c r="K1239" s="114"/>
      <c r="L1239" s="5"/>
    </row>
    <row r="1240" spans="1:12" x14ac:dyDescent="0.25">
      <c r="A1240" s="48"/>
      <c r="B1240" s="35"/>
      <c r="C1240" s="39"/>
      <c r="D1240" s="52"/>
      <c r="E1240" s="53"/>
      <c r="F1240" s="44" t="e">
        <f t="shared" si="26"/>
        <v>#DIV/0!</v>
      </c>
      <c r="G1240" s="110"/>
      <c r="H1240" s="111"/>
      <c r="I1240" s="112"/>
      <c r="J1240" s="113"/>
      <c r="K1240" s="114"/>
      <c r="L1240" s="5"/>
    </row>
    <row r="1241" spans="1:12" x14ac:dyDescent="0.25">
      <c r="A1241" s="27"/>
      <c r="B1241" s="11"/>
      <c r="C1241" s="6"/>
      <c r="D1241" s="54"/>
      <c r="E1241" s="55"/>
      <c r="F1241" s="44" t="e">
        <f t="shared" si="26"/>
        <v>#DIV/0!</v>
      </c>
      <c r="G1241" s="110"/>
      <c r="H1241" s="111"/>
      <c r="I1241" s="112"/>
      <c r="J1241" s="113"/>
      <c r="K1241" s="114"/>
      <c r="L1241" s="5"/>
    </row>
    <row r="1242" spans="1:12" x14ac:dyDescent="0.25">
      <c r="A1242" s="68"/>
      <c r="B1242" s="11"/>
      <c r="C1242" s="6"/>
      <c r="D1242" s="54"/>
      <c r="E1242" s="55"/>
      <c r="F1242" s="44" t="e">
        <f t="shared" si="26"/>
        <v>#DIV/0!</v>
      </c>
      <c r="G1242" s="110"/>
      <c r="H1242" s="111"/>
      <c r="I1242" s="112"/>
      <c r="J1242" s="113"/>
      <c r="K1242" s="114"/>
      <c r="L1242" s="5"/>
    </row>
    <row r="1243" spans="1:12" ht="15.75" thickBot="1" x14ac:dyDescent="0.3">
      <c r="A1243" s="5"/>
      <c r="B1243" s="5"/>
      <c r="C1243" s="7" t="s">
        <v>35</v>
      </c>
      <c r="D1243" s="17">
        <f>D1237+D1238+D1239+D1240+D1241+D1242</f>
        <v>682.2</v>
      </c>
      <c r="E1243" s="17">
        <f>E1237+E1238+E1239+E1240+E1241+E1242</f>
        <v>15383.6</v>
      </c>
      <c r="F1243" s="5"/>
      <c r="G1243" s="110"/>
      <c r="H1243" s="111"/>
      <c r="I1243" s="112"/>
      <c r="J1243" s="113"/>
      <c r="K1243" s="114"/>
      <c r="L1243" s="7" t="s">
        <v>36</v>
      </c>
    </row>
    <row r="1244" spans="1:12" ht="15.75" thickBot="1" x14ac:dyDescent="0.3">
      <c r="A1244" s="5"/>
      <c r="B1244" s="5"/>
      <c r="C1244" s="5"/>
      <c r="D1244" s="5"/>
      <c r="E1244" s="5"/>
      <c r="F1244" s="5"/>
      <c r="G1244" s="130"/>
      <c r="H1244" s="131"/>
      <c r="I1244" s="132"/>
      <c r="J1244" s="133"/>
      <c r="K1244" s="134"/>
      <c r="L1244" s="18">
        <f>J1237+J1238+J1239+J1240+J1241+J1242+J1243+J1244</f>
        <v>0</v>
      </c>
    </row>
    <row r="1245" spans="1:12" ht="15.75" thickBot="1" x14ac:dyDescent="0.3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</row>
    <row r="1246" spans="1:12" ht="15.75" thickBot="1" x14ac:dyDescent="0.3">
      <c r="A1246" s="19"/>
      <c r="B1246" s="20"/>
      <c r="C1246" s="20"/>
      <c r="D1246" s="20"/>
      <c r="E1246" s="21" t="s">
        <v>13</v>
      </c>
      <c r="F1246" s="5"/>
      <c r="G1246" s="19"/>
      <c r="H1246" s="20"/>
      <c r="I1246" s="20"/>
      <c r="J1246" s="20"/>
      <c r="K1246" s="21" t="s">
        <v>13</v>
      </c>
      <c r="L1246" s="5"/>
    </row>
    <row r="1247" spans="1:12" x14ac:dyDescent="0.25">
      <c r="A1247" s="22" t="s">
        <v>31</v>
      </c>
      <c r="B1247" s="115">
        <v>22389</v>
      </c>
      <c r="C1247" s="116"/>
      <c r="D1247" s="116"/>
      <c r="E1247" s="117"/>
      <c r="F1247" s="5"/>
      <c r="G1247" s="22" t="s">
        <v>32</v>
      </c>
      <c r="H1247" s="115"/>
      <c r="I1247" s="116"/>
      <c r="J1247" s="116"/>
      <c r="K1247" s="117"/>
      <c r="L1247" s="5"/>
    </row>
    <row r="1248" spans="1:12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</row>
    <row r="1249" spans="1:12" x14ac:dyDescent="0.25">
      <c r="A1249" s="7" t="s">
        <v>16</v>
      </c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</row>
    <row r="1250" spans="1:12" x14ac:dyDescent="0.25">
      <c r="A1250" s="9" t="s">
        <v>17</v>
      </c>
      <c r="B1250" s="23">
        <f>L1229-C1224</f>
        <v>1521</v>
      </c>
      <c r="C1250" s="5"/>
      <c r="D1250" s="106" t="s">
        <v>18</v>
      </c>
      <c r="E1250" s="107"/>
      <c r="F1250" s="24" t="s">
        <v>19</v>
      </c>
      <c r="G1250" s="9" t="s">
        <v>20</v>
      </c>
      <c r="H1250" s="118">
        <f>B1247+H1247</f>
        <v>22389</v>
      </c>
      <c r="I1250" s="119"/>
      <c r="J1250" s="5"/>
      <c r="K1250" s="5"/>
      <c r="L1250" s="5"/>
    </row>
    <row r="1251" spans="1:12" x14ac:dyDescent="0.25">
      <c r="A1251" s="9" t="s">
        <v>41</v>
      </c>
      <c r="B1251" s="40">
        <f>B1250/D1243</f>
        <v>2.2295514511873349</v>
      </c>
      <c r="C1251" s="5"/>
      <c r="D1251" s="102">
        <f>E1243</f>
        <v>15383.6</v>
      </c>
      <c r="E1251" s="103"/>
      <c r="F1251" s="25">
        <f>H1251/B1250</f>
        <v>10.677120315581854</v>
      </c>
      <c r="G1251" s="9" t="s">
        <v>21</v>
      </c>
      <c r="H1251" s="104">
        <f>L1244+D1251+D1253+D1255+D1257+A1254</f>
        <v>16239.9</v>
      </c>
      <c r="I1251" s="105"/>
      <c r="J1251" s="5"/>
      <c r="K1251" s="5"/>
      <c r="L1251" s="5"/>
    </row>
    <row r="1252" spans="1:12" x14ac:dyDescent="0.25">
      <c r="A1252" s="9" t="s">
        <v>43</v>
      </c>
      <c r="B1252" s="23">
        <f>D1243/B1250</f>
        <v>0.4485207100591716</v>
      </c>
      <c r="C1252" s="5"/>
      <c r="D1252" s="106" t="s">
        <v>33</v>
      </c>
      <c r="E1252" s="107"/>
      <c r="F1252" s="5"/>
      <c r="G1252" s="13" t="s">
        <v>22</v>
      </c>
      <c r="H1252" s="6"/>
      <c r="I1252" s="26">
        <f>H1250-H1251</f>
        <v>6149.1</v>
      </c>
      <c r="J1252" s="5"/>
      <c r="K1252" s="5"/>
      <c r="L1252" s="5"/>
    </row>
    <row r="1253" spans="1:12" x14ac:dyDescent="0.25">
      <c r="A1253" s="106" t="s">
        <v>40</v>
      </c>
      <c r="B1253" s="107"/>
      <c r="C1253" s="5"/>
      <c r="D1253" s="108">
        <v>300</v>
      </c>
      <c r="E1253" s="109"/>
      <c r="F1253" s="5"/>
      <c r="G1253" s="5"/>
      <c r="H1253" s="5"/>
      <c r="I1253" s="5"/>
      <c r="J1253" s="5"/>
      <c r="K1253" s="5"/>
      <c r="L1253" s="5"/>
    </row>
    <row r="1254" spans="1:12" x14ac:dyDescent="0.25">
      <c r="A1254" s="108">
        <f>B1250*0.3</f>
        <v>456.3</v>
      </c>
      <c r="B1254" s="109"/>
      <c r="C1254" s="5"/>
      <c r="D1254" s="106" t="s">
        <v>34</v>
      </c>
      <c r="E1254" s="107"/>
      <c r="F1254" s="5"/>
      <c r="G1254" s="5"/>
      <c r="H1254" s="5"/>
      <c r="I1254" s="5"/>
      <c r="J1254" s="5"/>
      <c r="K1254" s="5"/>
      <c r="L1254" s="5"/>
    </row>
    <row r="1255" spans="1:12" x14ac:dyDescent="0.25">
      <c r="A1255" s="5"/>
      <c r="B1255" s="5"/>
      <c r="C1255" s="5"/>
      <c r="D1255" s="108">
        <v>100</v>
      </c>
      <c r="E1255" s="109"/>
      <c r="F1255" s="5"/>
      <c r="G1255" s="5"/>
      <c r="H1255" s="5"/>
      <c r="I1255" s="5"/>
      <c r="J1255" s="5"/>
      <c r="K1255" s="5"/>
      <c r="L1255" s="5"/>
    </row>
    <row r="1256" spans="1:12" x14ac:dyDescent="0.25">
      <c r="A1256" s="5"/>
      <c r="B1256" s="5"/>
      <c r="C1256" s="5"/>
      <c r="D1256" s="106" t="s">
        <v>37</v>
      </c>
      <c r="E1256" s="107"/>
      <c r="F1256" s="5"/>
      <c r="G1256" s="5"/>
      <c r="H1256" s="5"/>
      <c r="I1256" s="5"/>
      <c r="J1256" s="5"/>
      <c r="K1256" s="5"/>
      <c r="L1256" s="5"/>
    </row>
    <row r="1257" spans="1:12" x14ac:dyDescent="0.25">
      <c r="A1257" s="5"/>
      <c r="B1257" s="5"/>
      <c r="C1257" s="5"/>
      <c r="D1257" s="108">
        <v>0</v>
      </c>
      <c r="E1257" s="109"/>
      <c r="F1257" s="5" t="s">
        <v>153</v>
      </c>
      <c r="G1257" s="5"/>
      <c r="H1257" s="5"/>
      <c r="I1257" s="5"/>
      <c r="J1257" s="5"/>
      <c r="K1257" s="5"/>
      <c r="L1257" s="5"/>
    </row>
    <row r="1258" spans="1:12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</row>
    <row r="1259" spans="1:12" x14ac:dyDescent="0.25">
      <c r="A1259" s="5" t="s">
        <v>23</v>
      </c>
      <c r="B1259" s="5" t="s">
        <v>54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</row>
    <row r="1260" spans="1:12" s="49" customFormat="1" x14ac:dyDescent="0.25"/>
    <row r="1263" spans="1:12" x14ac:dyDescent="0.25">
      <c r="A1263" s="120" t="s">
        <v>24</v>
      </c>
      <c r="B1263" s="120"/>
      <c r="C1263" s="120"/>
      <c r="D1263" s="120"/>
      <c r="E1263" s="120"/>
      <c r="F1263" s="120"/>
      <c r="G1263" s="120"/>
      <c r="H1263" s="120"/>
    </row>
    <row r="1264" spans="1:12" x14ac:dyDescent="0.25">
      <c r="A1264" s="120"/>
      <c r="B1264" s="120"/>
      <c r="C1264" s="120"/>
      <c r="D1264" s="120"/>
      <c r="E1264" s="120"/>
      <c r="F1264" s="120"/>
      <c r="G1264" s="120"/>
      <c r="H1264" s="120"/>
    </row>
    <row r="1265" spans="1:12" x14ac:dyDescent="0.25">
      <c r="A1265" s="1" t="s">
        <v>4</v>
      </c>
      <c r="B1265" s="2"/>
      <c r="C1265" s="2"/>
      <c r="D1265" s="2"/>
      <c r="E1265" s="2"/>
      <c r="F1265" s="2"/>
      <c r="G1265" s="3" t="s">
        <v>5</v>
      </c>
      <c r="H1265" s="3" t="s">
        <v>6</v>
      </c>
      <c r="I1265" s="4" t="s">
        <v>7</v>
      </c>
      <c r="J1265" s="5"/>
      <c r="K1265" s="5"/>
      <c r="L1265" s="5"/>
    </row>
    <row r="1266" spans="1:12" x14ac:dyDescent="0.25">
      <c r="A1266" s="28" t="s">
        <v>170</v>
      </c>
      <c r="B1266" s="29" t="s">
        <v>62</v>
      </c>
      <c r="C1266" s="67"/>
      <c r="D1266" s="66"/>
      <c r="E1266" s="2"/>
      <c r="F1266" s="2"/>
      <c r="G1266" s="28" t="s">
        <v>155</v>
      </c>
      <c r="H1266" s="66"/>
      <c r="I1266" s="33"/>
      <c r="J1266" s="6"/>
      <c r="K1266" s="33"/>
      <c r="L1266" s="6"/>
    </row>
    <row r="1267" spans="1:12" x14ac:dyDescent="0.25">
      <c r="A1267" s="7" t="s">
        <v>2</v>
      </c>
      <c r="B1267" s="5"/>
      <c r="C1267" s="5"/>
      <c r="D1267" s="5"/>
      <c r="E1267" s="5"/>
      <c r="F1267" s="5"/>
      <c r="G1267" s="8" t="s">
        <v>8</v>
      </c>
      <c r="H1267" s="31"/>
      <c r="I1267" s="5"/>
      <c r="J1267" s="5"/>
      <c r="K1267" s="5"/>
      <c r="L1267" s="5"/>
    </row>
    <row r="1268" spans="1:12" x14ac:dyDescent="0.25">
      <c r="A1268" s="7" t="s">
        <v>25</v>
      </c>
      <c r="B1268" s="5"/>
      <c r="C1268" s="7" t="s">
        <v>0</v>
      </c>
      <c r="D1268" s="5"/>
      <c r="E1268" s="5"/>
      <c r="F1268" s="5"/>
      <c r="G1268" s="7" t="s">
        <v>25</v>
      </c>
      <c r="H1268" s="5"/>
      <c r="I1268" s="7" t="s">
        <v>0</v>
      </c>
      <c r="J1268" s="5"/>
      <c r="K1268" s="5"/>
      <c r="L1268" s="5"/>
    </row>
    <row r="1269" spans="1:12" x14ac:dyDescent="0.25">
      <c r="A1269" s="42" t="s">
        <v>168</v>
      </c>
      <c r="B1269" s="6"/>
      <c r="C1269" s="31">
        <f>L1229</f>
        <v>494604</v>
      </c>
      <c r="D1269" s="5"/>
      <c r="E1269" s="5"/>
      <c r="F1269" s="5"/>
      <c r="G1269" s="42"/>
      <c r="H1269" s="6"/>
      <c r="I1269" s="9"/>
      <c r="J1269" s="5"/>
      <c r="K1269" s="5"/>
      <c r="L1269" s="5"/>
    </row>
    <row r="1270" spans="1:12" ht="16.5" thickBot="1" x14ac:dyDescent="0.3">
      <c r="A1270" s="58"/>
      <c r="B1270" s="5"/>
      <c r="C1270" s="5"/>
      <c r="D1270" s="5"/>
      <c r="E1270" s="5"/>
      <c r="F1270" s="5"/>
      <c r="G1270" s="10"/>
      <c r="H1270" s="5"/>
      <c r="I1270" s="5"/>
      <c r="J1270" s="5"/>
      <c r="K1270" s="5"/>
      <c r="L1270" s="5"/>
    </row>
    <row r="1271" spans="1:12" ht="15.75" thickBot="1" x14ac:dyDescent="0.3">
      <c r="A1271" s="121" t="s">
        <v>9</v>
      </c>
      <c r="B1271" s="122"/>
      <c r="C1271" s="123"/>
      <c r="D1271" s="5"/>
      <c r="E1271" s="5"/>
      <c r="F1271" s="5"/>
      <c r="G1271" s="121" t="s">
        <v>26</v>
      </c>
      <c r="H1271" s="122"/>
      <c r="I1271" s="123"/>
      <c r="J1271" s="5"/>
      <c r="K1271" s="5"/>
      <c r="L1271" s="5"/>
    </row>
    <row r="1272" spans="1:12" x14ac:dyDescent="0.25">
      <c r="A1272" s="30" t="s">
        <v>38</v>
      </c>
      <c r="B1272" s="11"/>
      <c r="C1272" s="11"/>
      <c r="D1272" s="11"/>
      <c r="E1272" s="6"/>
      <c r="F1272" s="5"/>
      <c r="G1272" s="30" t="str">
        <f>A1275</f>
        <v>Divundu/Katima</v>
      </c>
      <c r="H1272" s="11"/>
      <c r="I1272" s="11"/>
      <c r="J1272" s="11"/>
      <c r="K1272" s="11"/>
      <c r="L1272" s="6"/>
    </row>
    <row r="1273" spans="1:12" ht="15.75" thickBot="1" x14ac:dyDescent="0.3">
      <c r="A1273" s="7"/>
      <c r="B1273" s="7"/>
      <c r="C1273" s="7"/>
      <c r="D1273" s="5"/>
      <c r="E1273" s="5"/>
      <c r="F1273" s="5"/>
      <c r="G1273" s="7" t="s">
        <v>3</v>
      </c>
      <c r="H1273" s="7"/>
      <c r="I1273" s="7"/>
      <c r="J1273" s="5"/>
      <c r="K1273" s="5"/>
      <c r="L1273" s="5"/>
    </row>
    <row r="1274" spans="1:12" ht="15.75" thickBot="1" x14ac:dyDescent="0.3">
      <c r="A1274" s="121" t="s">
        <v>30</v>
      </c>
      <c r="B1274" s="122"/>
      <c r="C1274" s="124"/>
      <c r="D1274" s="12" t="s">
        <v>1</v>
      </c>
      <c r="E1274" s="32"/>
      <c r="F1274" s="5"/>
      <c r="G1274" s="121" t="s">
        <v>27</v>
      </c>
      <c r="H1274" s="122"/>
      <c r="I1274" s="123"/>
      <c r="J1274" s="5"/>
      <c r="K1274" s="12" t="s">
        <v>1</v>
      </c>
      <c r="L1274" s="32">
        <v>497207</v>
      </c>
    </row>
    <row r="1275" spans="1:12" x14ac:dyDescent="0.25">
      <c r="A1275" s="13" t="s">
        <v>152</v>
      </c>
      <c r="B1275" s="14"/>
      <c r="C1275" s="11"/>
      <c r="D1275" s="11"/>
      <c r="E1275" s="6"/>
      <c r="F1275" s="5"/>
      <c r="G1275" s="34" t="str">
        <f>A1272</f>
        <v>Windhoek</v>
      </c>
      <c r="H1275" s="11"/>
      <c r="I1275" s="11"/>
      <c r="J1275" s="11"/>
      <c r="K1275" s="11"/>
      <c r="L1275" s="6"/>
    </row>
    <row r="1276" spans="1:12" x14ac:dyDescent="0.25">
      <c r="A1276" s="13"/>
      <c r="B1276" s="11"/>
      <c r="C1276" s="11"/>
      <c r="D1276" s="11"/>
      <c r="E1276" s="6"/>
      <c r="F1276" s="5"/>
      <c r="G1276" s="13"/>
      <c r="H1276" s="11"/>
      <c r="I1276" s="11"/>
      <c r="J1276" s="11"/>
      <c r="K1276" s="11"/>
      <c r="L1276" s="6"/>
    </row>
    <row r="1277" spans="1:12" x14ac:dyDescent="0.25">
      <c r="A1277" s="13"/>
      <c r="B1277" s="11"/>
      <c r="C1277" s="11"/>
      <c r="D1277" s="11"/>
      <c r="E1277" s="6"/>
      <c r="F1277" s="5"/>
      <c r="G1277" s="13"/>
      <c r="H1277" s="11"/>
      <c r="I1277" s="11"/>
      <c r="J1277" s="11"/>
      <c r="K1277" s="11"/>
      <c r="L1277" s="6"/>
    </row>
    <row r="1278" spans="1:12" x14ac:dyDescent="0.25">
      <c r="A1278" s="13"/>
      <c r="B1278" s="11"/>
      <c r="C1278" s="11"/>
      <c r="D1278" s="11"/>
      <c r="E1278" s="6"/>
      <c r="F1278" s="5"/>
      <c r="G1278" s="13"/>
      <c r="H1278" s="11"/>
      <c r="I1278" s="11"/>
      <c r="J1278" s="11"/>
      <c r="K1278" s="11"/>
      <c r="L1278" s="6"/>
    </row>
    <row r="1279" spans="1:12" ht="15.75" thickBot="1" x14ac:dyDescent="0.3">
      <c r="A1279" s="13"/>
      <c r="B1279" s="11"/>
      <c r="C1279" s="11" t="s">
        <v>29</v>
      </c>
      <c r="D1279" s="43"/>
      <c r="E1279" s="6"/>
      <c r="F1279" s="5"/>
      <c r="G1279" s="13"/>
      <c r="H1279" s="11"/>
      <c r="I1279" s="14" t="s">
        <v>28</v>
      </c>
      <c r="J1279" s="43"/>
      <c r="K1279" s="11"/>
      <c r="L1279" s="6"/>
    </row>
    <row r="1280" spans="1:12" ht="15.75" thickBot="1" x14ac:dyDescent="0.3">
      <c r="A1280" s="15" t="s">
        <v>10</v>
      </c>
      <c r="B1280" s="5"/>
      <c r="C1280" s="5"/>
      <c r="D1280" s="5"/>
      <c r="E1280" s="5"/>
      <c r="F1280" s="5"/>
      <c r="G1280" s="15" t="s">
        <v>14</v>
      </c>
      <c r="H1280" s="5"/>
      <c r="I1280" s="5"/>
      <c r="J1280" s="5"/>
      <c r="K1280" s="5"/>
      <c r="L1280" s="5"/>
    </row>
    <row r="1281" spans="1:12" ht="15.75" thickBot="1" x14ac:dyDescent="0.3">
      <c r="A1281" s="121" t="s">
        <v>11</v>
      </c>
      <c r="B1281" s="122"/>
      <c r="C1281" s="123"/>
      <c r="D1281" s="16" t="s">
        <v>12</v>
      </c>
      <c r="E1281" s="16" t="s">
        <v>13</v>
      </c>
      <c r="F1281" s="5"/>
      <c r="G1281" s="121" t="s">
        <v>15</v>
      </c>
      <c r="H1281" s="122"/>
      <c r="I1281" s="123"/>
      <c r="J1281" s="121" t="s">
        <v>13</v>
      </c>
      <c r="K1281" s="123"/>
      <c r="L1281" s="5"/>
    </row>
    <row r="1282" spans="1:12" x14ac:dyDescent="0.25">
      <c r="A1282" s="41" t="s">
        <v>164</v>
      </c>
      <c r="B1282" s="36" t="s">
        <v>48</v>
      </c>
      <c r="C1282" s="37"/>
      <c r="D1282" s="50">
        <v>400</v>
      </c>
      <c r="E1282" s="51">
        <v>9048.23</v>
      </c>
      <c r="F1282" s="44">
        <f t="shared" ref="F1282:F1287" si="27">E1282/D1282</f>
        <v>22.620574999999999</v>
      </c>
      <c r="G1282" s="125"/>
      <c r="H1282" s="126"/>
      <c r="I1282" s="127"/>
      <c r="J1282" s="128"/>
      <c r="K1282" s="129"/>
      <c r="L1282" s="5"/>
    </row>
    <row r="1283" spans="1:12" x14ac:dyDescent="0.25">
      <c r="A1283" s="48">
        <v>44661</v>
      </c>
      <c r="B1283" s="35" t="s">
        <v>47</v>
      </c>
      <c r="C1283" s="39"/>
      <c r="D1283" s="52">
        <v>673.11099999999999</v>
      </c>
      <c r="E1283" s="53">
        <v>15178.55</v>
      </c>
      <c r="F1283" s="44">
        <f t="shared" si="27"/>
        <v>22.549846904893844</v>
      </c>
      <c r="G1283" s="110"/>
      <c r="H1283" s="111"/>
      <c r="I1283" s="112"/>
      <c r="J1283" s="113"/>
      <c r="K1283" s="114"/>
      <c r="L1283" s="5"/>
    </row>
    <row r="1284" spans="1:12" x14ac:dyDescent="0.25">
      <c r="A1284" s="38"/>
      <c r="B1284" s="35"/>
      <c r="C1284" s="39"/>
      <c r="D1284" s="52"/>
      <c r="E1284" s="53"/>
      <c r="F1284" s="44" t="e">
        <f t="shared" si="27"/>
        <v>#DIV/0!</v>
      </c>
      <c r="G1284" s="110"/>
      <c r="H1284" s="111"/>
      <c r="I1284" s="112"/>
      <c r="J1284" s="113"/>
      <c r="K1284" s="114"/>
      <c r="L1284" s="5"/>
    </row>
    <row r="1285" spans="1:12" x14ac:dyDescent="0.25">
      <c r="A1285" s="48"/>
      <c r="B1285" s="35"/>
      <c r="C1285" s="39"/>
      <c r="D1285" s="52"/>
      <c r="E1285" s="53"/>
      <c r="F1285" s="44" t="e">
        <f t="shared" si="27"/>
        <v>#DIV/0!</v>
      </c>
      <c r="G1285" s="110"/>
      <c r="H1285" s="111"/>
      <c r="I1285" s="112"/>
      <c r="J1285" s="113"/>
      <c r="K1285" s="114"/>
      <c r="L1285" s="5"/>
    </row>
    <row r="1286" spans="1:12" x14ac:dyDescent="0.25">
      <c r="A1286" s="27"/>
      <c r="B1286" s="11"/>
      <c r="C1286" s="6"/>
      <c r="D1286" s="54"/>
      <c r="E1286" s="55"/>
      <c r="F1286" s="44" t="e">
        <f t="shared" si="27"/>
        <v>#DIV/0!</v>
      </c>
      <c r="G1286" s="110"/>
      <c r="H1286" s="111"/>
      <c r="I1286" s="112"/>
      <c r="J1286" s="113"/>
      <c r="K1286" s="114"/>
      <c r="L1286" s="5"/>
    </row>
    <row r="1287" spans="1:12" x14ac:dyDescent="0.25">
      <c r="A1287" s="68"/>
      <c r="B1287" s="11"/>
      <c r="C1287" s="6"/>
      <c r="D1287" s="54"/>
      <c r="E1287" s="55"/>
      <c r="F1287" s="44" t="e">
        <f t="shared" si="27"/>
        <v>#DIV/0!</v>
      </c>
      <c r="G1287" s="110"/>
      <c r="H1287" s="111"/>
      <c r="I1287" s="112"/>
      <c r="J1287" s="113"/>
      <c r="K1287" s="114"/>
      <c r="L1287" s="5"/>
    </row>
    <row r="1288" spans="1:12" ht="15.75" thickBot="1" x14ac:dyDescent="0.3">
      <c r="A1288" s="5"/>
      <c r="B1288" s="5"/>
      <c r="C1288" s="7" t="s">
        <v>35</v>
      </c>
      <c r="D1288" s="17">
        <f>D1282+D1283+D1284+D1285+D1286+D1287</f>
        <v>1073.1109999999999</v>
      </c>
      <c r="E1288" s="17">
        <f>E1282+E1283+E1284+E1285+E1286+E1287</f>
        <v>24226.78</v>
      </c>
      <c r="F1288" s="5"/>
      <c r="G1288" s="110"/>
      <c r="H1288" s="111"/>
      <c r="I1288" s="112"/>
      <c r="J1288" s="113"/>
      <c r="K1288" s="114"/>
      <c r="L1288" s="7" t="s">
        <v>36</v>
      </c>
    </row>
    <row r="1289" spans="1:12" ht="15.75" thickBot="1" x14ac:dyDescent="0.3">
      <c r="A1289" s="5"/>
      <c r="B1289" s="5"/>
      <c r="C1289" s="5"/>
      <c r="D1289" s="5"/>
      <c r="E1289" s="5"/>
      <c r="F1289" s="5"/>
      <c r="G1289" s="130"/>
      <c r="H1289" s="131"/>
      <c r="I1289" s="132"/>
      <c r="J1289" s="133"/>
      <c r="K1289" s="134"/>
      <c r="L1289" s="18">
        <f>J1282+J1283+J1284+J1285+J1286+J1287+J1288+J1289</f>
        <v>0</v>
      </c>
    </row>
    <row r="1290" spans="1:12" ht="15.75" thickBot="1" x14ac:dyDescent="0.3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</row>
    <row r="1291" spans="1:12" ht="15.75" thickBot="1" x14ac:dyDescent="0.3">
      <c r="A1291" s="19"/>
      <c r="B1291" s="20"/>
      <c r="C1291" s="20"/>
      <c r="D1291" s="20"/>
      <c r="E1291" s="21" t="s">
        <v>13</v>
      </c>
      <c r="F1291" s="5"/>
      <c r="G1291" s="19"/>
      <c r="H1291" s="20"/>
      <c r="I1291" s="20"/>
      <c r="J1291" s="20"/>
      <c r="K1291" s="21" t="s">
        <v>13</v>
      </c>
      <c r="L1291" s="5"/>
    </row>
    <row r="1292" spans="1:12" x14ac:dyDescent="0.25">
      <c r="A1292" s="22" t="s">
        <v>31</v>
      </c>
      <c r="B1292" s="115">
        <v>39750</v>
      </c>
      <c r="C1292" s="116"/>
      <c r="D1292" s="116"/>
      <c r="E1292" s="117"/>
      <c r="F1292" s="5"/>
      <c r="G1292" s="22" t="s">
        <v>32</v>
      </c>
      <c r="H1292" s="115"/>
      <c r="I1292" s="116"/>
      <c r="J1292" s="116"/>
      <c r="K1292" s="117"/>
      <c r="L1292" s="5"/>
    </row>
    <row r="1293" spans="1:12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</row>
    <row r="1294" spans="1:12" x14ac:dyDescent="0.25">
      <c r="A1294" s="7" t="s">
        <v>16</v>
      </c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</row>
    <row r="1295" spans="1:12" x14ac:dyDescent="0.25">
      <c r="A1295" s="9" t="s">
        <v>17</v>
      </c>
      <c r="B1295" s="23">
        <f>L1274-C1269</f>
        <v>2603</v>
      </c>
      <c r="C1295" s="5"/>
      <c r="D1295" s="106" t="s">
        <v>18</v>
      </c>
      <c r="E1295" s="107"/>
      <c r="F1295" s="24" t="s">
        <v>19</v>
      </c>
      <c r="G1295" s="9" t="s">
        <v>20</v>
      </c>
      <c r="H1295" s="118">
        <f>B1292+H1292</f>
        <v>39750</v>
      </c>
      <c r="I1295" s="119"/>
      <c r="J1295" s="5"/>
      <c r="K1295" s="5"/>
      <c r="L1295" s="5"/>
    </row>
    <row r="1296" spans="1:12" x14ac:dyDescent="0.25">
      <c r="A1296" s="9" t="s">
        <v>41</v>
      </c>
      <c r="B1296" s="40">
        <f>B1295/D1288</f>
        <v>2.4256577371772354</v>
      </c>
      <c r="C1296" s="5"/>
      <c r="D1296" s="102">
        <f>E1288</f>
        <v>24226.78</v>
      </c>
      <c r="E1296" s="103"/>
      <c r="F1296" s="25">
        <f>H1296/B1295</f>
        <v>10.745747214752209</v>
      </c>
      <c r="G1296" s="9" t="s">
        <v>21</v>
      </c>
      <c r="H1296" s="104">
        <f>L1289+D1296+D1298+D1300+D1302+A1299</f>
        <v>27971.18</v>
      </c>
      <c r="I1296" s="105"/>
      <c r="J1296" s="5"/>
      <c r="K1296" s="5"/>
      <c r="L1296" s="5"/>
    </row>
    <row r="1297" spans="1:12" x14ac:dyDescent="0.25">
      <c r="A1297" s="9" t="s">
        <v>43</v>
      </c>
      <c r="B1297" s="23">
        <f>D1288/B1295</f>
        <v>0.41225931617364575</v>
      </c>
      <c r="C1297" s="5"/>
      <c r="D1297" s="106" t="s">
        <v>33</v>
      </c>
      <c r="E1297" s="107"/>
      <c r="F1297" s="5"/>
      <c r="G1297" s="13" t="s">
        <v>22</v>
      </c>
      <c r="H1297" s="6"/>
      <c r="I1297" s="26">
        <f>H1295-H1296</f>
        <v>11778.82</v>
      </c>
      <c r="J1297" s="5"/>
      <c r="K1297" s="5"/>
      <c r="L1297" s="5"/>
    </row>
    <row r="1298" spans="1:12" x14ac:dyDescent="0.25">
      <c r="A1298" s="106" t="s">
        <v>40</v>
      </c>
      <c r="B1298" s="107"/>
      <c r="C1298" s="5"/>
      <c r="D1298" s="108">
        <v>800</v>
      </c>
      <c r="E1298" s="109"/>
      <c r="F1298" s="5"/>
      <c r="G1298" s="5"/>
      <c r="H1298" s="5"/>
      <c r="I1298" s="5"/>
      <c r="J1298" s="5"/>
      <c r="K1298" s="5"/>
      <c r="L1298" s="5"/>
    </row>
    <row r="1299" spans="1:12" x14ac:dyDescent="0.25">
      <c r="A1299" s="108">
        <f>B1295*0.4</f>
        <v>1041.2</v>
      </c>
      <c r="B1299" s="109"/>
      <c r="C1299" s="5"/>
      <c r="D1299" s="106" t="s">
        <v>34</v>
      </c>
      <c r="E1299" s="107"/>
      <c r="F1299" s="5"/>
      <c r="G1299" s="5"/>
      <c r="H1299" s="5"/>
      <c r="I1299" s="5"/>
      <c r="J1299" s="5"/>
      <c r="K1299" s="5"/>
      <c r="L1299" s="5"/>
    </row>
    <row r="1300" spans="1:12" x14ac:dyDescent="0.25">
      <c r="A1300" s="5"/>
      <c r="B1300" s="5"/>
      <c r="C1300" s="5"/>
      <c r="D1300" s="108">
        <v>0</v>
      </c>
      <c r="E1300" s="109"/>
      <c r="F1300" s="5"/>
      <c r="G1300" s="5"/>
      <c r="H1300" s="5"/>
      <c r="I1300" s="5"/>
      <c r="J1300" s="5"/>
      <c r="K1300" s="5"/>
      <c r="L1300" s="5"/>
    </row>
    <row r="1301" spans="1:12" x14ac:dyDescent="0.25">
      <c r="A1301" s="5"/>
      <c r="B1301" s="5"/>
      <c r="C1301" s="5"/>
      <c r="D1301" s="106" t="s">
        <v>37</v>
      </c>
      <c r="E1301" s="107"/>
      <c r="F1301" s="5"/>
      <c r="G1301" s="5"/>
      <c r="H1301" s="5"/>
      <c r="I1301" s="5"/>
      <c r="J1301" s="5"/>
      <c r="K1301" s="5"/>
      <c r="L1301" s="5"/>
    </row>
    <row r="1302" spans="1:12" x14ac:dyDescent="0.25">
      <c r="A1302" s="5"/>
      <c r="B1302" s="5"/>
      <c r="C1302" s="5"/>
      <c r="D1302" s="108">
        <v>1903.2</v>
      </c>
      <c r="E1302" s="109"/>
      <c r="F1302" s="5" t="s">
        <v>153</v>
      </c>
      <c r="G1302" s="5"/>
      <c r="H1302" s="5"/>
      <c r="I1302" s="5"/>
      <c r="J1302" s="5"/>
      <c r="K1302" s="5"/>
      <c r="L1302" s="5"/>
    </row>
    <row r="1303" spans="1:12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</row>
    <row r="1304" spans="1:12" x14ac:dyDescent="0.25">
      <c r="A1304" s="5" t="s">
        <v>23</v>
      </c>
      <c r="B1304" s="5" t="s">
        <v>54</v>
      </c>
      <c r="C1304" s="5"/>
      <c r="D1304" s="5"/>
      <c r="E1304" s="5"/>
      <c r="F1304" s="5"/>
      <c r="G1304" s="5"/>
      <c r="H1304" s="5"/>
      <c r="I1304" s="5"/>
      <c r="J1304" s="5"/>
      <c r="K1304" s="5"/>
      <c r="L1304" s="5"/>
    </row>
    <row r="1305" spans="1:12" s="49" customFormat="1" x14ac:dyDescent="0.25"/>
    <row r="1308" spans="1:12" x14ac:dyDescent="0.25">
      <c r="A1308" s="120" t="s">
        <v>24</v>
      </c>
      <c r="B1308" s="120"/>
      <c r="C1308" s="120"/>
      <c r="D1308" s="120"/>
      <c r="E1308" s="120"/>
      <c r="F1308" s="120"/>
      <c r="G1308" s="120"/>
      <c r="H1308" s="120"/>
    </row>
    <row r="1309" spans="1:12" x14ac:dyDescent="0.25">
      <c r="A1309" s="120"/>
      <c r="B1309" s="120"/>
      <c r="C1309" s="120"/>
      <c r="D1309" s="120"/>
      <c r="E1309" s="120"/>
      <c r="F1309" s="120"/>
      <c r="G1309" s="120"/>
      <c r="H1309" s="120"/>
    </row>
    <row r="1310" spans="1:12" x14ac:dyDescent="0.25">
      <c r="A1310" s="1" t="s">
        <v>4</v>
      </c>
      <c r="B1310" s="2"/>
      <c r="C1310" s="2"/>
      <c r="D1310" s="2"/>
      <c r="E1310" s="2"/>
      <c r="F1310" s="2"/>
      <c r="G1310" s="3" t="s">
        <v>5</v>
      </c>
      <c r="H1310" s="3" t="s">
        <v>6</v>
      </c>
      <c r="I1310" s="4" t="s">
        <v>7</v>
      </c>
      <c r="J1310" s="5"/>
      <c r="K1310" s="5"/>
      <c r="L1310" s="5"/>
    </row>
    <row r="1311" spans="1:12" x14ac:dyDescent="0.25">
      <c r="A1311" s="28" t="s">
        <v>170</v>
      </c>
      <c r="B1311" s="29" t="s">
        <v>62</v>
      </c>
      <c r="C1311" s="67"/>
      <c r="D1311" s="66"/>
      <c r="E1311" s="2"/>
      <c r="F1311" s="2"/>
      <c r="G1311" s="28" t="s">
        <v>155</v>
      </c>
      <c r="H1311" s="66"/>
      <c r="I1311" s="33"/>
      <c r="J1311" s="6"/>
      <c r="K1311" s="33"/>
      <c r="L1311" s="6"/>
    </row>
    <row r="1312" spans="1:12" x14ac:dyDescent="0.25">
      <c r="A1312" s="7" t="s">
        <v>2</v>
      </c>
      <c r="B1312" s="5"/>
      <c r="C1312" s="5"/>
      <c r="D1312" s="5"/>
      <c r="E1312" s="5"/>
      <c r="F1312" s="5"/>
      <c r="G1312" s="8" t="s">
        <v>8</v>
      </c>
      <c r="H1312" s="31"/>
      <c r="I1312" s="5"/>
      <c r="J1312" s="5"/>
      <c r="K1312" s="5"/>
      <c r="L1312" s="5"/>
    </row>
    <row r="1313" spans="1:12" x14ac:dyDescent="0.25">
      <c r="A1313" s="7" t="s">
        <v>25</v>
      </c>
      <c r="B1313" s="5"/>
      <c r="C1313" s="7" t="s">
        <v>0</v>
      </c>
      <c r="D1313" s="5"/>
      <c r="E1313" s="5"/>
      <c r="F1313" s="5"/>
      <c r="G1313" s="7" t="s">
        <v>25</v>
      </c>
      <c r="H1313" s="5"/>
      <c r="I1313" s="7" t="s">
        <v>0</v>
      </c>
      <c r="J1313" s="5"/>
      <c r="K1313" s="5"/>
      <c r="L1313" s="5"/>
    </row>
    <row r="1314" spans="1:12" x14ac:dyDescent="0.25">
      <c r="A1314" s="42">
        <v>44661</v>
      </c>
      <c r="B1314" s="6"/>
      <c r="C1314" s="31">
        <f>L1274</f>
        <v>497207</v>
      </c>
      <c r="D1314" s="5"/>
      <c r="E1314" s="5"/>
      <c r="F1314" s="5"/>
      <c r="G1314" s="42"/>
      <c r="H1314" s="6"/>
      <c r="I1314" s="9"/>
      <c r="J1314" s="5"/>
      <c r="K1314" s="5"/>
      <c r="L1314" s="5"/>
    </row>
    <row r="1315" spans="1:12" ht="16.5" thickBot="1" x14ac:dyDescent="0.3">
      <c r="A1315" s="58"/>
      <c r="B1315" s="5"/>
      <c r="C1315" s="5"/>
      <c r="D1315" s="5"/>
      <c r="E1315" s="5"/>
      <c r="F1315" s="5"/>
      <c r="G1315" s="10"/>
      <c r="H1315" s="5"/>
      <c r="I1315" s="5"/>
      <c r="J1315" s="5"/>
      <c r="K1315" s="5"/>
      <c r="L1315" s="5"/>
    </row>
    <row r="1316" spans="1:12" ht="15.75" thickBot="1" x14ac:dyDescent="0.3">
      <c r="A1316" s="121" t="s">
        <v>9</v>
      </c>
      <c r="B1316" s="122"/>
      <c r="C1316" s="123"/>
      <c r="D1316" s="5"/>
      <c r="E1316" s="5"/>
      <c r="F1316" s="5"/>
      <c r="G1316" s="121" t="s">
        <v>26</v>
      </c>
      <c r="H1316" s="122"/>
      <c r="I1316" s="123"/>
      <c r="J1316" s="5"/>
      <c r="K1316" s="5"/>
      <c r="L1316" s="5"/>
    </row>
    <row r="1317" spans="1:12" x14ac:dyDescent="0.25">
      <c r="A1317" s="30" t="s">
        <v>38</v>
      </c>
      <c r="B1317" s="11"/>
      <c r="C1317" s="11"/>
      <c r="D1317" s="11"/>
      <c r="E1317" s="6"/>
      <c r="F1317" s="5"/>
      <c r="G1317" s="30" t="str">
        <f>A1320</f>
        <v>Oshakati</v>
      </c>
      <c r="H1317" s="11"/>
      <c r="I1317" s="11"/>
      <c r="J1317" s="11"/>
      <c r="K1317" s="11"/>
      <c r="L1317" s="6"/>
    </row>
    <row r="1318" spans="1:12" ht="15.75" thickBot="1" x14ac:dyDescent="0.3">
      <c r="A1318" s="7"/>
      <c r="B1318" s="7"/>
      <c r="C1318" s="7"/>
      <c r="D1318" s="5"/>
      <c r="E1318" s="5"/>
      <c r="F1318" s="5"/>
      <c r="G1318" s="7" t="s">
        <v>3</v>
      </c>
      <c r="H1318" s="7"/>
      <c r="I1318" s="7"/>
      <c r="J1318" s="5"/>
      <c r="K1318" s="5"/>
      <c r="L1318" s="5"/>
    </row>
    <row r="1319" spans="1:12" ht="15.75" thickBot="1" x14ac:dyDescent="0.3">
      <c r="A1319" s="121" t="s">
        <v>30</v>
      </c>
      <c r="B1319" s="122"/>
      <c r="C1319" s="124"/>
      <c r="D1319" s="12" t="s">
        <v>1</v>
      </c>
      <c r="E1319" s="32"/>
      <c r="F1319" s="5"/>
      <c r="G1319" s="121" t="s">
        <v>27</v>
      </c>
      <c r="H1319" s="122"/>
      <c r="I1319" s="123"/>
      <c r="J1319" s="5"/>
      <c r="K1319" s="12" t="s">
        <v>1</v>
      </c>
      <c r="L1319" s="32">
        <v>498750</v>
      </c>
    </row>
    <row r="1320" spans="1:12" x14ac:dyDescent="0.25">
      <c r="A1320" s="13" t="s">
        <v>39</v>
      </c>
      <c r="B1320" s="14"/>
      <c r="C1320" s="11"/>
      <c r="D1320" s="11"/>
      <c r="E1320" s="6"/>
      <c r="F1320" s="5"/>
      <c r="G1320" s="34" t="str">
        <f>A1317</f>
        <v>Windhoek</v>
      </c>
      <c r="H1320" s="11"/>
      <c r="I1320" s="11"/>
      <c r="J1320" s="11"/>
      <c r="K1320" s="11"/>
      <c r="L1320" s="6"/>
    </row>
    <row r="1321" spans="1:12" x14ac:dyDescent="0.25">
      <c r="A1321" s="13"/>
      <c r="B1321" s="11"/>
      <c r="C1321" s="11"/>
      <c r="D1321" s="11"/>
      <c r="E1321" s="6"/>
      <c r="F1321" s="5"/>
      <c r="G1321" s="13"/>
      <c r="H1321" s="11"/>
      <c r="I1321" s="11"/>
      <c r="J1321" s="11"/>
      <c r="K1321" s="11"/>
      <c r="L1321" s="6"/>
    </row>
    <row r="1322" spans="1:12" x14ac:dyDescent="0.25">
      <c r="A1322" s="13"/>
      <c r="B1322" s="11"/>
      <c r="C1322" s="11"/>
      <c r="D1322" s="11"/>
      <c r="E1322" s="6"/>
      <c r="F1322" s="5"/>
      <c r="G1322" s="13"/>
      <c r="H1322" s="11"/>
      <c r="I1322" s="11"/>
      <c r="J1322" s="11"/>
      <c r="K1322" s="11"/>
      <c r="L1322" s="6"/>
    </row>
    <row r="1323" spans="1:12" x14ac:dyDescent="0.25">
      <c r="A1323" s="13"/>
      <c r="B1323" s="11"/>
      <c r="C1323" s="11"/>
      <c r="D1323" s="11"/>
      <c r="E1323" s="6"/>
      <c r="F1323" s="5"/>
      <c r="G1323" s="13"/>
      <c r="H1323" s="11"/>
      <c r="I1323" s="11"/>
      <c r="J1323" s="11"/>
      <c r="K1323" s="11"/>
      <c r="L1323" s="6"/>
    </row>
    <row r="1324" spans="1:12" ht="15.75" thickBot="1" x14ac:dyDescent="0.3">
      <c r="A1324" s="13"/>
      <c r="B1324" s="11"/>
      <c r="C1324" s="11" t="s">
        <v>29</v>
      </c>
      <c r="D1324" s="43"/>
      <c r="E1324" s="6"/>
      <c r="F1324" s="5"/>
      <c r="G1324" s="13"/>
      <c r="H1324" s="11"/>
      <c r="I1324" s="14" t="s">
        <v>28</v>
      </c>
      <c r="J1324" s="43"/>
      <c r="K1324" s="11"/>
      <c r="L1324" s="6"/>
    </row>
    <row r="1325" spans="1:12" ht="15.75" thickBot="1" x14ac:dyDescent="0.3">
      <c r="A1325" s="15" t="s">
        <v>10</v>
      </c>
      <c r="B1325" s="5"/>
      <c r="C1325" s="5"/>
      <c r="D1325" s="5"/>
      <c r="E1325" s="5"/>
      <c r="F1325" s="5"/>
      <c r="G1325" s="15" t="s">
        <v>14</v>
      </c>
      <c r="H1325" s="5"/>
      <c r="I1325" s="5"/>
      <c r="J1325" s="5"/>
      <c r="K1325" s="5"/>
      <c r="L1325" s="5"/>
    </row>
    <row r="1326" spans="1:12" ht="15.75" thickBot="1" x14ac:dyDescent="0.3">
      <c r="A1326" s="121" t="s">
        <v>11</v>
      </c>
      <c r="B1326" s="122"/>
      <c r="C1326" s="123"/>
      <c r="D1326" s="16" t="s">
        <v>12</v>
      </c>
      <c r="E1326" s="16" t="s">
        <v>13</v>
      </c>
      <c r="F1326" s="5"/>
      <c r="G1326" s="121" t="s">
        <v>15</v>
      </c>
      <c r="H1326" s="122"/>
      <c r="I1326" s="123"/>
      <c r="J1326" s="121" t="s">
        <v>13</v>
      </c>
      <c r="K1326" s="123"/>
      <c r="L1326" s="5"/>
    </row>
    <row r="1327" spans="1:12" x14ac:dyDescent="0.25">
      <c r="A1327" s="41" t="s">
        <v>179</v>
      </c>
      <c r="B1327" s="36" t="s">
        <v>47</v>
      </c>
      <c r="C1327" s="37"/>
      <c r="D1327" s="50">
        <v>618.80999999999995</v>
      </c>
      <c r="E1327" s="51">
        <v>13954.2</v>
      </c>
      <c r="F1327" s="44">
        <f t="shared" ref="F1327:F1332" si="28">E1327/D1327</f>
        <v>22.550055752169488</v>
      </c>
      <c r="G1327" s="125"/>
      <c r="H1327" s="126"/>
      <c r="I1327" s="127"/>
      <c r="J1327" s="128"/>
      <c r="K1327" s="129"/>
      <c r="L1327" s="5"/>
    </row>
    <row r="1328" spans="1:12" x14ac:dyDescent="0.25">
      <c r="A1328" s="48"/>
      <c r="B1328" s="35"/>
      <c r="C1328" s="39"/>
      <c r="D1328" s="52"/>
      <c r="E1328" s="53"/>
      <c r="F1328" s="44" t="e">
        <f t="shared" si="28"/>
        <v>#DIV/0!</v>
      </c>
      <c r="G1328" s="110"/>
      <c r="H1328" s="111"/>
      <c r="I1328" s="112"/>
      <c r="J1328" s="113"/>
      <c r="K1328" s="114"/>
      <c r="L1328" s="5"/>
    </row>
    <row r="1329" spans="1:12" x14ac:dyDescent="0.25">
      <c r="A1329" s="38"/>
      <c r="B1329" s="35"/>
      <c r="C1329" s="39"/>
      <c r="D1329" s="52"/>
      <c r="E1329" s="53"/>
      <c r="F1329" s="44" t="e">
        <f t="shared" si="28"/>
        <v>#DIV/0!</v>
      </c>
      <c r="G1329" s="110"/>
      <c r="H1329" s="111"/>
      <c r="I1329" s="112"/>
      <c r="J1329" s="113"/>
      <c r="K1329" s="114"/>
      <c r="L1329" s="5"/>
    </row>
    <row r="1330" spans="1:12" x14ac:dyDescent="0.25">
      <c r="A1330" s="48"/>
      <c r="B1330" s="35"/>
      <c r="C1330" s="39"/>
      <c r="D1330" s="52"/>
      <c r="E1330" s="53"/>
      <c r="F1330" s="44" t="e">
        <f t="shared" si="28"/>
        <v>#DIV/0!</v>
      </c>
      <c r="G1330" s="110"/>
      <c r="H1330" s="111"/>
      <c r="I1330" s="112"/>
      <c r="J1330" s="113"/>
      <c r="K1330" s="114"/>
      <c r="L1330" s="5"/>
    </row>
    <row r="1331" spans="1:12" x14ac:dyDescent="0.25">
      <c r="A1331" s="27"/>
      <c r="B1331" s="11"/>
      <c r="C1331" s="6"/>
      <c r="D1331" s="54"/>
      <c r="E1331" s="55"/>
      <c r="F1331" s="44" t="e">
        <f t="shared" si="28"/>
        <v>#DIV/0!</v>
      </c>
      <c r="G1331" s="110"/>
      <c r="H1331" s="111"/>
      <c r="I1331" s="112"/>
      <c r="J1331" s="113"/>
      <c r="K1331" s="114"/>
      <c r="L1331" s="5"/>
    </row>
    <row r="1332" spans="1:12" x14ac:dyDescent="0.25">
      <c r="A1332" s="68"/>
      <c r="B1332" s="11"/>
      <c r="C1332" s="6"/>
      <c r="D1332" s="54"/>
      <c r="E1332" s="55"/>
      <c r="F1332" s="44" t="e">
        <f t="shared" si="28"/>
        <v>#DIV/0!</v>
      </c>
      <c r="G1332" s="110"/>
      <c r="H1332" s="111"/>
      <c r="I1332" s="112"/>
      <c r="J1332" s="113"/>
      <c r="K1332" s="114"/>
      <c r="L1332" s="5"/>
    </row>
    <row r="1333" spans="1:12" ht="15.75" thickBot="1" x14ac:dyDescent="0.3">
      <c r="A1333" s="5"/>
      <c r="B1333" s="5"/>
      <c r="C1333" s="7" t="s">
        <v>35</v>
      </c>
      <c r="D1333" s="17">
        <f>D1327+D1328+D1329+D1330+D1331+D1332</f>
        <v>618.80999999999995</v>
      </c>
      <c r="E1333" s="17">
        <f>E1327+E1328+E1329+E1330+E1331+E1332</f>
        <v>13954.2</v>
      </c>
      <c r="F1333" s="5"/>
      <c r="G1333" s="110"/>
      <c r="H1333" s="111"/>
      <c r="I1333" s="112"/>
      <c r="J1333" s="113"/>
      <c r="K1333" s="114"/>
      <c r="L1333" s="7" t="s">
        <v>36</v>
      </c>
    </row>
    <row r="1334" spans="1:12" ht="15.75" thickBot="1" x14ac:dyDescent="0.3">
      <c r="A1334" s="5"/>
      <c r="B1334" s="5"/>
      <c r="C1334" s="5"/>
      <c r="D1334" s="5"/>
      <c r="E1334" s="5"/>
      <c r="F1334" s="5"/>
      <c r="G1334" s="130"/>
      <c r="H1334" s="131"/>
      <c r="I1334" s="132"/>
      <c r="J1334" s="133"/>
      <c r="K1334" s="134"/>
      <c r="L1334" s="18">
        <f>J1327+J1328+J1329+J1330+J1331+J1332+J1333+J1334</f>
        <v>0</v>
      </c>
    </row>
    <row r="1335" spans="1:12" ht="15.75" thickBot="1" x14ac:dyDescent="0.3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</row>
    <row r="1336" spans="1:12" ht="15.75" thickBot="1" x14ac:dyDescent="0.3">
      <c r="A1336" s="19"/>
      <c r="B1336" s="20"/>
      <c r="C1336" s="20"/>
      <c r="D1336" s="20"/>
      <c r="E1336" s="21" t="s">
        <v>13</v>
      </c>
      <c r="F1336" s="5"/>
      <c r="G1336" s="19"/>
      <c r="H1336" s="20"/>
      <c r="I1336" s="20"/>
      <c r="J1336" s="20"/>
      <c r="K1336" s="21" t="s">
        <v>13</v>
      </c>
      <c r="L1336" s="5"/>
    </row>
    <row r="1337" spans="1:12" x14ac:dyDescent="0.25">
      <c r="A1337" s="22" t="s">
        <v>31</v>
      </c>
      <c r="B1337" s="115">
        <v>39750</v>
      </c>
      <c r="C1337" s="116"/>
      <c r="D1337" s="116"/>
      <c r="E1337" s="117"/>
      <c r="F1337" s="5"/>
      <c r="G1337" s="22" t="s">
        <v>32</v>
      </c>
      <c r="H1337" s="115">
        <v>1500</v>
      </c>
      <c r="I1337" s="116"/>
      <c r="J1337" s="116"/>
      <c r="K1337" s="117"/>
      <c r="L1337" s="5"/>
    </row>
    <row r="1338" spans="1:12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</row>
    <row r="1339" spans="1:12" x14ac:dyDescent="0.25">
      <c r="A1339" s="7" t="s">
        <v>16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</row>
    <row r="1340" spans="1:12" x14ac:dyDescent="0.25">
      <c r="A1340" s="9" t="s">
        <v>17</v>
      </c>
      <c r="B1340" s="23">
        <f>L1319-C1314</f>
        <v>1543</v>
      </c>
      <c r="C1340" s="5"/>
      <c r="D1340" s="106" t="s">
        <v>18</v>
      </c>
      <c r="E1340" s="107"/>
      <c r="F1340" s="24" t="s">
        <v>19</v>
      </c>
      <c r="G1340" s="9" t="s">
        <v>20</v>
      </c>
      <c r="H1340" s="118">
        <f>B1337+H1337</f>
        <v>41250</v>
      </c>
      <c r="I1340" s="119"/>
      <c r="J1340" s="5"/>
      <c r="K1340" s="5"/>
      <c r="L1340" s="5"/>
    </row>
    <row r="1341" spans="1:12" x14ac:dyDescent="0.25">
      <c r="A1341" s="9" t="s">
        <v>41</v>
      </c>
      <c r="B1341" s="40">
        <f>B1340/D1333</f>
        <v>2.4934955802265639</v>
      </c>
      <c r="C1341" s="5"/>
      <c r="D1341" s="102">
        <f>E1333</f>
        <v>13954.2</v>
      </c>
      <c r="E1341" s="103"/>
      <c r="F1341" s="25">
        <f>H1341/B1340</f>
        <v>9.6379779650032411</v>
      </c>
      <c r="G1341" s="9" t="s">
        <v>21</v>
      </c>
      <c r="H1341" s="104">
        <f>L1334+D1341+D1343+D1345+D1347+A1344</f>
        <v>14871.400000000001</v>
      </c>
      <c r="I1341" s="105"/>
      <c r="J1341" s="5"/>
      <c r="K1341" s="5"/>
      <c r="L1341" s="5"/>
    </row>
    <row r="1342" spans="1:12" x14ac:dyDescent="0.25">
      <c r="A1342" s="9" t="s">
        <v>43</v>
      </c>
      <c r="B1342" s="23">
        <f>D1333/B1340</f>
        <v>0.40104342190537912</v>
      </c>
      <c r="C1342" s="5"/>
      <c r="D1342" s="106" t="s">
        <v>33</v>
      </c>
      <c r="E1342" s="107"/>
      <c r="F1342" s="5"/>
      <c r="G1342" s="13" t="s">
        <v>22</v>
      </c>
      <c r="H1342" s="6"/>
      <c r="I1342" s="26">
        <f>H1340-H1341</f>
        <v>26378.6</v>
      </c>
      <c r="J1342" s="5"/>
      <c r="K1342" s="5"/>
      <c r="L1342" s="5"/>
    </row>
    <row r="1343" spans="1:12" x14ac:dyDescent="0.25">
      <c r="A1343" s="106" t="s">
        <v>40</v>
      </c>
      <c r="B1343" s="107"/>
      <c r="C1343" s="5"/>
      <c r="D1343" s="108">
        <v>300</v>
      </c>
      <c r="E1343" s="109"/>
      <c r="F1343" s="5"/>
      <c r="G1343" s="5"/>
      <c r="H1343" s="5"/>
      <c r="I1343" s="5"/>
      <c r="J1343" s="5"/>
      <c r="K1343" s="5"/>
      <c r="L1343" s="5"/>
    </row>
    <row r="1344" spans="1:12" x14ac:dyDescent="0.25">
      <c r="A1344" s="108">
        <f>B1340*0.4</f>
        <v>617.20000000000005</v>
      </c>
      <c r="B1344" s="109"/>
      <c r="C1344" s="5"/>
      <c r="D1344" s="106" t="s">
        <v>34</v>
      </c>
      <c r="E1344" s="107"/>
      <c r="F1344" s="5"/>
      <c r="G1344" s="5"/>
      <c r="H1344" s="5"/>
      <c r="I1344" s="5"/>
      <c r="J1344" s="5"/>
      <c r="K1344" s="5"/>
      <c r="L1344" s="5"/>
    </row>
    <row r="1345" spans="1:12" x14ac:dyDescent="0.25">
      <c r="A1345" s="5"/>
      <c r="B1345" s="5"/>
      <c r="C1345" s="5"/>
      <c r="D1345" s="108">
        <v>0</v>
      </c>
      <c r="E1345" s="109"/>
      <c r="F1345" s="5"/>
      <c r="G1345" s="5"/>
      <c r="H1345" s="5"/>
      <c r="I1345" s="5"/>
      <c r="J1345" s="5"/>
      <c r="K1345" s="5"/>
      <c r="L1345" s="5"/>
    </row>
    <row r="1346" spans="1:12" x14ac:dyDescent="0.25">
      <c r="A1346" s="5"/>
      <c r="B1346" s="5"/>
      <c r="C1346" s="5"/>
      <c r="D1346" s="106" t="s">
        <v>37</v>
      </c>
      <c r="E1346" s="107"/>
      <c r="F1346" s="5"/>
      <c r="G1346" s="5"/>
      <c r="H1346" s="5"/>
      <c r="I1346" s="5"/>
      <c r="J1346" s="5"/>
      <c r="K1346" s="5"/>
      <c r="L1346" s="5"/>
    </row>
    <row r="1347" spans="1:12" x14ac:dyDescent="0.25">
      <c r="A1347" s="5"/>
      <c r="B1347" s="5"/>
      <c r="C1347" s="5"/>
      <c r="D1347" s="108">
        <v>0</v>
      </c>
      <c r="E1347" s="109"/>
      <c r="F1347" s="5" t="s">
        <v>153</v>
      </c>
      <c r="G1347" s="5"/>
      <c r="H1347" s="5"/>
      <c r="I1347" s="5"/>
      <c r="J1347" s="5"/>
      <c r="K1347" s="5"/>
      <c r="L1347" s="5"/>
    </row>
    <row r="1348" spans="1:12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</row>
    <row r="1349" spans="1:12" x14ac:dyDescent="0.25">
      <c r="A1349" s="5" t="s">
        <v>23</v>
      </c>
      <c r="B1349" s="5" t="s">
        <v>54</v>
      </c>
      <c r="C1349" s="5"/>
      <c r="D1349" s="5"/>
      <c r="E1349" s="5"/>
      <c r="F1349" s="5"/>
      <c r="G1349" s="5"/>
      <c r="H1349" s="5"/>
      <c r="I1349" s="5"/>
      <c r="J1349" s="5"/>
      <c r="K1349" s="5"/>
      <c r="L1349" s="5"/>
    </row>
    <row r="1350" spans="1:12" s="49" customFormat="1" x14ac:dyDescent="0.25"/>
    <row r="1353" spans="1:12" x14ac:dyDescent="0.25">
      <c r="A1353" s="120" t="s">
        <v>24</v>
      </c>
      <c r="B1353" s="120"/>
      <c r="C1353" s="120"/>
      <c r="D1353" s="120"/>
      <c r="E1353" s="120"/>
      <c r="F1353" s="120"/>
      <c r="G1353" s="120"/>
      <c r="H1353" s="120"/>
    </row>
    <row r="1354" spans="1:12" x14ac:dyDescent="0.25">
      <c r="A1354" s="120"/>
      <c r="B1354" s="120"/>
      <c r="C1354" s="120"/>
      <c r="D1354" s="120"/>
      <c r="E1354" s="120"/>
      <c r="F1354" s="120"/>
      <c r="G1354" s="120"/>
      <c r="H1354" s="120"/>
    </row>
    <row r="1355" spans="1:12" x14ac:dyDescent="0.25">
      <c r="A1355" s="1" t="s">
        <v>4</v>
      </c>
      <c r="B1355" s="2"/>
      <c r="C1355" s="2"/>
      <c r="D1355" s="2"/>
      <c r="E1355" s="2"/>
      <c r="F1355" s="2"/>
      <c r="G1355" s="3" t="s">
        <v>5</v>
      </c>
      <c r="H1355" s="3" t="s">
        <v>6</v>
      </c>
      <c r="I1355" s="4" t="s">
        <v>7</v>
      </c>
      <c r="J1355" s="5"/>
      <c r="K1355" s="5"/>
      <c r="L1355" s="5"/>
    </row>
    <row r="1356" spans="1:12" x14ac:dyDescent="0.25">
      <c r="A1356" s="28" t="s">
        <v>170</v>
      </c>
      <c r="B1356" s="29"/>
      <c r="C1356" s="67"/>
      <c r="D1356" s="66"/>
      <c r="E1356" s="2"/>
      <c r="F1356" s="2"/>
      <c r="G1356" s="28" t="s">
        <v>155</v>
      </c>
      <c r="H1356" s="66"/>
      <c r="I1356" s="33"/>
      <c r="J1356" s="6"/>
      <c r="K1356" s="33"/>
      <c r="L1356" s="6"/>
    </row>
    <row r="1357" spans="1:12" x14ac:dyDescent="0.25">
      <c r="A1357" s="7" t="s">
        <v>2</v>
      </c>
      <c r="B1357" s="5"/>
      <c r="C1357" s="5"/>
      <c r="D1357" s="5"/>
      <c r="E1357" s="5"/>
      <c r="F1357" s="5"/>
      <c r="G1357" s="8" t="s">
        <v>8</v>
      </c>
      <c r="H1357" s="31"/>
      <c r="I1357" s="5"/>
      <c r="J1357" s="5"/>
      <c r="K1357" s="5"/>
      <c r="L1357" s="5"/>
    </row>
    <row r="1358" spans="1:12" x14ac:dyDescent="0.25">
      <c r="A1358" s="7" t="s">
        <v>25</v>
      </c>
      <c r="B1358" s="5"/>
      <c r="C1358" s="7" t="s">
        <v>0</v>
      </c>
      <c r="D1358" s="5"/>
      <c r="E1358" s="5"/>
      <c r="F1358" s="5"/>
      <c r="G1358" s="7" t="s">
        <v>25</v>
      </c>
      <c r="H1358" s="5"/>
      <c r="I1358" s="7" t="s">
        <v>0</v>
      </c>
      <c r="J1358" s="5"/>
      <c r="K1358" s="5"/>
      <c r="L1358" s="5"/>
    </row>
    <row r="1359" spans="1:12" x14ac:dyDescent="0.25">
      <c r="A1359" s="42">
        <v>44814</v>
      </c>
      <c r="B1359" s="6"/>
      <c r="C1359" s="31">
        <f>L1319</f>
        <v>498750</v>
      </c>
      <c r="D1359" s="5"/>
      <c r="E1359" s="5"/>
      <c r="F1359" s="5"/>
      <c r="G1359" s="42"/>
      <c r="H1359" s="6"/>
      <c r="I1359" s="9"/>
      <c r="J1359" s="5"/>
      <c r="K1359" s="5"/>
      <c r="L1359" s="5"/>
    </row>
    <row r="1360" spans="1:12" ht="16.5" thickBot="1" x14ac:dyDescent="0.3">
      <c r="A1360" s="58"/>
      <c r="B1360" s="5"/>
      <c r="C1360" s="5"/>
      <c r="D1360" s="5"/>
      <c r="E1360" s="5"/>
      <c r="F1360" s="5"/>
      <c r="G1360" s="10"/>
      <c r="H1360" s="5"/>
      <c r="I1360" s="5"/>
      <c r="J1360" s="5"/>
      <c r="K1360" s="5"/>
      <c r="L1360" s="5"/>
    </row>
    <row r="1361" spans="1:12" ht="15.75" thickBot="1" x14ac:dyDescent="0.3">
      <c r="A1361" s="121" t="s">
        <v>9</v>
      </c>
      <c r="B1361" s="122"/>
      <c r="C1361" s="123"/>
      <c r="D1361" s="5"/>
      <c r="E1361" s="5"/>
      <c r="F1361" s="5"/>
      <c r="G1361" s="121" t="s">
        <v>26</v>
      </c>
      <c r="H1361" s="122"/>
      <c r="I1361" s="123"/>
      <c r="J1361" s="5"/>
      <c r="K1361" s="5"/>
      <c r="L1361" s="5"/>
    </row>
    <row r="1362" spans="1:12" x14ac:dyDescent="0.25">
      <c r="A1362" s="30" t="s">
        <v>38</v>
      </c>
      <c r="B1362" s="11"/>
      <c r="C1362" s="11"/>
      <c r="D1362" s="11"/>
      <c r="E1362" s="6"/>
      <c r="F1362" s="5"/>
      <c r="G1362" s="30" t="str">
        <f>A1365</f>
        <v>Luderitz Construction Material</v>
      </c>
      <c r="H1362" s="11"/>
      <c r="I1362" s="11"/>
      <c r="J1362" s="11"/>
      <c r="K1362" s="11"/>
      <c r="L1362" s="6"/>
    </row>
    <row r="1363" spans="1:12" ht="15.75" thickBot="1" x14ac:dyDescent="0.3">
      <c r="A1363" s="7"/>
      <c r="B1363" s="7"/>
      <c r="C1363" s="7"/>
      <c r="D1363" s="5"/>
      <c r="E1363" s="5"/>
      <c r="F1363" s="5"/>
      <c r="G1363" s="7" t="s">
        <v>3</v>
      </c>
      <c r="H1363" s="7"/>
      <c r="I1363" s="7"/>
      <c r="J1363" s="5"/>
      <c r="K1363" s="5"/>
      <c r="L1363" s="5"/>
    </row>
    <row r="1364" spans="1:12" ht="15.75" thickBot="1" x14ac:dyDescent="0.3">
      <c r="A1364" s="121" t="s">
        <v>30</v>
      </c>
      <c r="B1364" s="122"/>
      <c r="C1364" s="124"/>
      <c r="D1364" s="12" t="s">
        <v>1</v>
      </c>
      <c r="E1364" s="32"/>
      <c r="F1364" s="5"/>
      <c r="G1364" s="121" t="s">
        <v>27</v>
      </c>
      <c r="H1364" s="122"/>
      <c r="I1364" s="123"/>
      <c r="J1364" s="5"/>
      <c r="K1364" s="12" t="s">
        <v>1</v>
      </c>
      <c r="L1364" s="32">
        <v>500522</v>
      </c>
    </row>
    <row r="1365" spans="1:12" x14ac:dyDescent="0.25">
      <c r="A1365" s="13" t="s">
        <v>184</v>
      </c>
      <c r="B1365" s="14"/>
      <c r="C1365" s="11"/>
      <c r="D1365" s="11"/>
      <c r="E1365" s="6"/>
      <c r="F1365" s="5"/>
      <c r="G1365" s="34" t="str">
        <f>A1362</f>
        <v>Windhoek</v>
      </c>
      <c r="H1365" s="11"/>
      <c r="I1365" s="11"/>
      <c r="J1365" s="11"/>
      <c r="K1365" s="11"/>
      <c r="L1365" s="6"/>
    </row>
    <row r="1366" spans="1:12" x14ac:dyDescent="0.25">
      <c r="A1366" s="13"/>
      <c r="B1366" s="11"/>
      <c r="C1366" s="11"/>
      <c r="D1366" s="11"/>
      <c r="E1366" s="6"/>
      <c r="F1366" s="5"/>
      <c r="G1366" s="13"/>
      <c r="H1366" s="11"/>
      <c r="I1366" s="11"/>
      <c r="J1366" s="11"/>
      <c r="K1366" s="11"/>
      <c r="L1366" s="6"/>
    </row>
    <row r="1367" spans="1:12" x14ac:dyDescent="0.25">
      <c r="A1367" s="13"/>
      <c r="B1367" s="11"/>
      <c r="C1367" s="11"/>
      <c r="D1367" s="11"/>
      <c r="E1367" s="6"/>
      <c r="F1367" s="5"/>
      <c r="G1367" s="13"/>
      <c r="H1367" s="11"/>
      <c r="I1367" s="11"/>
      <c r="J1367" s="11"/>
      <c r="K1367" s="11"/>
      <c r="L1367" s="6"/>
    </row>
    <row r="1368" spans="1:12" x14ac:dyDescent="0.25">
      <c r="A1368" s="13"/>
      <c r="B1368" s="11"/>
      <c r="C1368" s="11"/>
      <c r="D1368" s="11"/>
      <c r="E1368" s="6"/>
      <c r="F1368" s="5"/>
      <c r="G1368" s="13"/>
      <c r="H1368" s="11"/>
      <c r="I1368" s="11"/>
      <c r="J1368" s="11"/>
      <c r="K1368" s="11"/>
      <c r="L1368" s="6"/>
    </row>
    <row r="1369" spans="1:12" ht="15.75" thickBot="1" x14ac:dyDescent="0.3">
      <c r="A1369" s="13"/>
      <c r="B1369" s="11"/>
      <c r="C1369" s="11" t="s">
        <v>29</v>
      </c>
      <c r="D1369" s="43"/>
      <c r="E1369" s="6"/>
      <c r="F1369" s="5"/>
      <c r="G1369" s="13"/>
      <c r="H1369" s="11"/>
      <c r="I1369" s="14" t="s">
        <v>28</v>
      </c>
      <c r="J1369" s="43"/>
      <c r="K1369" s="11"/>
      <c r="L1369" s="6"/>
    </row>
    <row r="1370" spans="1:12" ht="15.75" thickBot="1" x14ac:dyDescent="0.3">
      <c r="A1370" s="15" t="s">
        <v>10</v>
      </c>
      <c r="B1370" s="5"/>
      <c r="C1370" s="5"/>
      <c r="D1370" s="5"/>
      <c r="E1370" s="5"/>
      <c r="F1370" s="5"/>
      <c r="G1370" s="15" t="s">
        <v>14</v>
      </c>
      <c r="H1370" s="5"/>
      <c r="I1370" s="5"/>
      <c r="J1370" s="5"/>
      <c r="K1370" s="5"/>
      <c r="L1370" s="5"/>
    </row>
    <row r="1371" spans="1:12" ht="15.75" thickBot="1" x14ac:dyDescent="0.3">
      <c r="A1371" s="121" t="s">
        <v>11</v>
      </c>
      <c r="B1371" s="122"/>
      <c r="C1371" s="123"/>
      <c r="D1371" s="16" t="s">
        <v>12</v>
      </c>
      <c r="E1371" s="16" t="s">
        <v>13</v>
      </c>
      <c r="F1371" s="5"/>
      <c r="G1371" s="121" t="s">
        <v>15</v>
      </c>
      <c r="H1371" s="122"/>
      <c r="I1371" s="123"/>
      <c r="J1371" s="121" t="s">
        <v>13</v>
      </c>
      <c r="K1371" s="123"/>
      <c r="L1371" s="5"/>
    </row>
    <row r="1372" spans="1:12" x14ac:dyDescent="0.25">
      <c r="A1372" s="41">
        <v>44875</v>
      </c>
      <c r="B1372" s="36" t="s">
        <v>47</v>
      </c>
      <c r="C1372" s="37"/>
      <c r="D1372" s="50">
        <v>739.4</v>
      </c>
      <c r="E1372" s="51">
        <v>16673.5</v>
      </c>
      <c r="F1372" s="44">
        <f t="shared" ref="F1372:F1377" si="29">E1372/D1372</f>
        <v>22.550040573437922</v>
      </c>
      <c r="G1372" s="125"/>
      <c r="H1372" s="126"/>
      <c r="I1372" s="127"/>
      <c r="J1372" s="128"/>
      <c r="K1372" s="129"/>
      <c r="L1372" s="5"/>
    </row>
    <row r="1373" spans="1:12" x14ac:dyDescent="0.25">
      <c r="A1373" s="48"/>
      <c r="B1373" s="35"/>
      <c r="C1373" s="39"/>
      <c r="D1373" s="52"/>
      <c r="E1373" s="53"/>
      <c r="F1373" s="44" t="e">
        <f t="shared" si="29"/>
        <v>#DIV/0!</v>
      </c>
      <c r="G1373" s="110"/>
      <c r="H1373" s="111"/>
      <c r="I1373" s="112"/>
      <c r="J1373" s="113"/>
      <c r="K1373" s="114"/>
      <c r="L1373" s="5"/>
    </row>
    <row r="1374" spans="1:12" x14ac:dyDescent="0.25">
      <c r="A1374" s="38"/>
      <c r="B1374" s="35"/>
      <c r="C1374" s="39"/>
      <c r="D1374" s="52"/>
      <c r="E1374" s="53"/>
      <c r="F1374" s="44" t="e">
        <f t="shared" si="29"/>
        <v>#DIV/0!</v>
      </c>
      <c r="G1374" s="110"/>
      <c r="H1374" s="111"/>
      <c r="I1374" s="112"/>
      <c r="J1374" s="113"/>
      <c r="K1374" s="114"/>
      <c r="L1374" s="5"/>
    </row>
    <row r="1375" spans="1:12" x14ac:dyDescent="0.25">
      <c r="A1375" s="48"/>
      <c r="B1375" s="35"/>
      <c r="C1375" s="39"/>
      <c r="D1375" s="52"/>
      <c r="E1375" s="53"/>
      <c r="F1375" s="44" t="e">
        <f t="shared" si="29"/>
        <v>#DIV/0!</v>
      </c>
      <c r="G1375" s="110"/>
      <c r="H1375" s="111"/>
      <c r="I1375" s="112"/>
      <c r="J1375" s="113"/>
      <c r="K1375" s="114"/>
      <c r="L1375" s="5"/>
    </row>
    <row r="1376" spans="1:12" x14ac:dyDescent="0.25">
      <c r="A1376" s="27"/>
      <c r="B1376" s="11"/>
      <c r="C1376" s="6"/>
      <c r="D1376" s="54"/>
      <c r="E1376" s="55"/>
      <c r="F1376" s="44" t="e">
        <f t="shared" si="29"/>
        <v>#DIV/0!</v>
      </c>
      <c r="G1376" s="110"/>
      <c r="H1376" s="111"/>
      <c r="I1376" s="112"/>
      <c r="J1376" s="113"/>
      <c r="K1376" s="114"/>
      <c r="L1376" s="5"/>
    </row>
    <row r="1377" spans="1:12" x14ac:dyDescent="0.25">
      <c r="A1377" s="68"/>
      <c r="B1377" s="11"/>
      <c r="C1377" s="6"/>
      <c r="D1377" s="54"/>
      <c r="E1377" s="55"/>
      <c r="F1377" s="44" t="e">
        <f t="shared" si="29"/>
        <v>#DIV/0!</v>
      </c>
      <c r="G1377" s="110"/>
      <c r="H1377" s="111"/>
      <c r="I1377" s="112"/>
      <c r="J1377" s="113"/>
      <c r="K1377" s="114"/>
      <c r="L1377" s="5"/>
    </row>
    <row r="1378" spans="1:12" ht="15.75" thickBot="1" x14ac:dyDescent="0.3">
      <c r="A1378" s="5"/>
      <c r="B1378" s="5"/>
      <c r="C1378" s="7" t="s">
        <v>35</v>
      </c>
      <c r="D1378" s="17">
        <f>D1372+D1373+D1374+D1375+D1376+D1377</f>
        <v>739.4</v>
      </c>
      <c r="E1378" s="17">
        <f>E1372+E1373+E1374+E1375+E1376+E1377</f>
        <v>16673.5</v>
      </c>
      <c r="F1378" s="5"/>
      <c r="G1378" s="110"/>
      <c r="H1378" s="111"/>
      <c r="I1378" s="112"/>
      <c r="J1378" s="113"/>
      <c r="K1378" s="114"/>
      <c r="L1378" s="7" t="s">
        <v>36</v>
      </c>
    </row>
    <row r="1379" spans="1:12" ht="15.75" thickBot="1" x14ac:dyDescent="0.3">
      <c r="A1379" s="5"/>
      <c r="B1379" s="5"/>
      <c r="C1379" s="5"/>
      <c r="D1379" s="5"/>
      <c r="E1379" s="5"/>
      <c r="F1379" s="5"/>
      <c r="G1379" s="130"/>
      <c r="H1379" s="131"/>
      <c r="I1379" s="132"/>
      <c r="J1379" s="133"/>
      <c r="K1379" s="134"/>
      <c r="L1379" s="18">
        <f>J1372+J1373+J1374+J1375+J1376+J1377+J1378+J1379</f>
        <v>0</v>
      </c>
    </row>
    <row r="1380" spans="1:12" ht="15.75" thickBot="1" x14ac:dyDescent="0.3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</row>
    <row r="1381" spans="1:12" ht="15.75" thickBot="1" x14ac:dyDescent="0.3">
      <c r="A1381" s="19"/>
      <c r="B1381" s="20"/>
      <c r="C1381" s="20"/>
      <c r="D1381" s="20"/>
      <c r="E1381" s="21" t="s">
        <v>13</v>
      </c>
      <c r="F1381" s="5"/>
      <c r="G1381" s="19"/>
      <c r="H1381" s="20"/>
      <c r="I1381" s="20"/>
      <c r="J1381" s="20"/>
      <c r="K1381" s="21" t="s">
        <v>13</v>
      </c>
      <c r="L1381" s="5"/>
    </row>
    <row r="1382" spans="1:12" x14ac:dyDescent="0.25">
      <c r="A1382" s="22" t="s">
        <v>31</v>
      </c>
      <c r="B1382" s="115">
        <v>30000</v>
      </c>
      <c r="C1382" s="116"/>
      <c r="D1382" s="116"/>
      <c r="E1382" s="117"/>
      <c r="F1382" s="5"/>
      <c r="G1382" s="22" t="s">
        <v>32</v>
      </c>
      <c r="H1382" s="115"/>
      <c r="I1382" s="116"/>
      <c r="J1382" s="116"/>
      <c r="K1382" s="117"/>
      <c r="L1382" s="5"/>
    </row>
    <row r="1383" spans="1:12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</row>
    <row r="1384" spans="1:12" x14ac:dyDescent="0.25">
      <c r="A1384" s="7" t="s">
        <v>16</v>
      </c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</row>
    <row r="1385" spans="1:12" x14ac:dyDescent="0.25">
      <c r="A1385" s="9" t="s">
        <v>17</v>
      </c>
      <c r="B1385" s="23">
        <f>L1364-C1359</f>
        <v>1772</v>
      </c>
      <c r="C1385" s="5"/>
      <c r="D1385" s="106" t="s">
        <v>18</v>
      </c>
      <c r="E1385" s="107"/>
      <c r="F1385" s="24" t="s">
        <v>19</v>
      </c>
      <c r="G1385" s="9" t="s">
        <v>20</v>
      </c>
      <c r="H1385" s="118">
        <f>B1382+H1382</f>
        <v>30000</v>
      </c>
      <c r="I1385" s="119"/>
      <c r="J1385" s="5"/>
      <c r="K1385" s="5"/>
      <c r="L1385" s="5"/>
    </row>
    <row r="1386" spans="1:12" x14ac:dyDescent="0.25">
      <c r="A1386" s="9" t="s">
        <v>41</v>
      </c>
      <c r="B1386" s="40">
        <f>B1385/D1378</f>
        <v>2.3965377332972682</v>
      </c>
      <c r="C1386" s="5"/>
      <c r="D1386" s="102">
        <f>E1378</f>
        <v>16673.5</v>
      </c>
      <c r="E1386" s="103"/>
      <c r="F1386" s="25">
        <f>H1386/B1385</f>
        <v>10.035158013544018</v>
      </c>
      <c r="G1386" s="9" t="s">
        <v>21</v>
      </c>
      <c r="H1386" s="104">
        <f>L1379+D1386+D1388+D1390+D1392+A1389</f>
        <v>17782.3</v>
      </c>
      <c r="I1386" s="105"/>
      <c r="J1386" s="5"/>
      <c r="K1386" s="5"/>
      <c r="L1386" s="5"/>
    </row>
    <row r="1387" spans="1:12" x14ac:dyDescent="0.25">
      <c r="A1387" s="9" t="s">
        <v>43</v>
      </c>
      <c r="B1387" s="23">
        <f>D1378/B1385</f>
        <v>0.4172686230248307</v>
      </c>
      <c r="C1387" s="5"/>
      <c r="D1387" s="106" t="s">
        <v>33</v>
      </c>
      <c r="E1387" s="107"/>
      <c r="F1387" s="5"/>
      <c r="G1387" s="13" t="s">
        <v>22</v>
      </c>
      <c r="H1387" s="6"/>
      <c r="I1387" s="26">
        <f>H1385-H1386</f>
        <v>12217.7</v>
      </c>
      <c r="J1387" s="5"/>
      <c r="K1387" s="5"/>
      <c r="L1387" s="5"/>
    </row>
    <row r="1388" spans="1:12" x14ac:dyDescent="0.25">
      <c r="A1388" s="106" t="s">
        <v>40</v>
      </c>
      <c r="B1388" s="107"/>
      <c r="C1388" s="5"/>
      <c r="D1388" s="108">
        <v>400</v>
      </c>
      <c r="E1388" s="109"/>
      <c r="F1388" s="5"/>
      <c r="G1388" s="5"/>
      <c r="H1388" s="5"/>
      <c r="I1388" s="5"/>
      <c r="J1388" s="5"/>
      <c r="K1388" s="5"/>
      <c r="L1388" s="5"/>
    </row>
    <row r="1389" spans="1:12" x14ac:dyDescent="0.25">
      <c r="A1389" s="108">
        <f>B1385*0.4</f>
        <v>708.80000000000007</v>
      </c>
      <c r="B1389" s="109"/>
      <c r="C1389" s="5"/>
      <c r="D1389" s="106" t="s">
        <v>34</v>
      </c>
      <c r="E1389" s="107"/>
      <c r="F1389" s="5"/>
      <c r="G1389" s="5"/>
      <c r="H1389" s="5"/>
      <c r="I1389" s="5"/>
      <c r="J1389" s="5"/>
      <c r="K1389" s="5"/>
      <c r="L1389" s="5"/>
    </row>
    <row r="1390" spans="1:12" x14ac:dyDescent="0.25">
      <c r="A1390" s="5"/>
      <c r="B1390" s="5"/>
      <c r="C1390" s="5"/>
      <c r="D1390" s="108">
        <v>0</v>
      </c>
      <c r="E1390" s="109"/>
      <c r="F1390" s="5"/>
      <c r="G1390" s="5"/>
      <c r="H1390" s="5"/>
      <c r="I1390" s="5"/>
      <c r="J1390" s="5"/>
      <c r="K1390" s="5"/>
      <c r="L1390" s="5"/>
    </row>
    <row r="1391" spans="1:12" x14ac:dyDescent="0.25">
      <c r="A1391" s="5"/>
      <c r="B1391" s="5"/>
      <c r="C1391" s="5"/>
      <c r="D1391" s="106" t="s">
        <v>37</v>
      </c>
      <c r="E1391" s="107"/>
      <c r="F1391" s="5"/>
      <c r="G1391" s="5"/>
      <c r="H1391" s="5"/>
      <c r="I1391" s="5"/>
      <c r="J1391" s="5"/>
      <c r="K1391" s="5"/>
      <c r="L1391" s="5"/>
    </row>
    <row r="1392" spans="1:12" x14ac:dyDescent="0.25">
      <c r="A1392" s="5"/>
      <c r="B1392" s="5"/>
      <c r="C1392" s="5"/>
      <c r="D1392" s="108">
        <v>0</v>
      </c>
      <c r="E1392" s="109"/>
      <c r="F1392" s="5" t="s">
        <v>153</v>
      </c>
      <c r="G1392" s="5"/>
      <c r="H1392" s="5"/>
      <c r="I1392" s="5"/>
      <c r="J1392" s="5"/>
      <c r="K1392" s="5"/>
      <c r="L1392" s="5"/>
    </row>
    <row r="1393" spans="1:12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</row>
    <row r="1394" spans="1:12" x14ac:dyDescent="0.25">
      <c r="A1394" s="5" t="s">
        <v>23</v>
      </c>
      <c r="B1394" s="5" t="s">
        <v>54</v>
      </c>
      <c r="C1394" s="5"/>
      <c r="D1394" s="5"/>
      <c r="E1394" s="5"/>
      <c r="F1394" s="5"/>
      <c r="G1394" s="5"/>
      <c r="H1394" s="5"/>
      <c r="I1394" s="5"/>
      <c r="J1394" s="5"/>
      <c r="K1394" s="5"/>
      <c r="L1394" s="5"/>
    </row>
    <row r="1395" spans="1:12" s="49" customFormat="1" x14ac:dyDescent="0.25"/>
    <row r="1398" spans="1:12" x14ac:dyDescent="0.25">
      <c r="A1398" s="120" t="s">
        <v>24</v>
      </c>
      <c r="B1398" s="120"/>
      <c r="C1398" s="120"/>
      <c r="D1398" s="120"/>
      <c r="E1398" s="120"/>
      <c r="F1398" s="120"/>
      <c r="G1398" s="120"/>
      <c r="H1398" s="120"/>
    </row>
    <row r="1399" spans="1:12" x14ac:dyDescent="0.25">
      <c r="A1399" s="120"/>
      <c r="B1399" s="120"/>
      <c r="C1399" s="120"/>
      <c r="D1399" s="120"/>
      <c r="E1399" s="120"/>
      <c r="F1399" s="120"/>
      <c r="G1399" s="120"/>
      <c r="H1399" s="120"/>
    </row>
    <row r="1400" spans="1:12" x14ac:dyDescent="0.25">
      <c r="A1400" s="1" t="s">
        <v>4</v>
      </c>
      <c r="B1400" s="2"/>
      <c r="C1400" s="2"/>
      <c r="D1400" s="2"/>
      <c r="E1400" s="2"/>
      <c r="F1400" s="2"/>
      <c r="G1400" s="3" t="s">
        <v>5</v>
      </c>
      <c r="H1400" s="3" t="s">
        <v>6</v>
      </c>
      <c r="I1400" s="4" t="s">
        <v>7</v>
      </c>
      <c r="J1400" s="5"/>
      <c r="K1400" s="5"/>
      <c r="L1400" s="5"/>
    </row>
    <row r="1401" spans="1:12" x14ac:dyDescent="0.25">
      <c r="A1401" s="28" t="s">
        <v>76</v>
      </c>
      <c r="B1401" s="29" t="s">
        <v>185</v>
      </c>
      <c r="C1401" s="67"/>
      <c r="D1401" s="66"/>
      <c r="E1401" s="2"/>
      <c r="F1401" s="2"/>
      <c r="G1401" s="28" t="s">
        <v>155</v>
      </c>
      <c r="H1401" s="66"/>
      <c r="I1401" s="33"/>
      <c r="J1401" s="6"/>
      <c r="K1401" s="33"/>
      <c r="L1401" s="6"/>
    </row>
    <row r="1402" spans="1:12" x14ac:dyDescent="0.25">
      <c r="A1402" s="7" t="s">
        <v>2</v>
      </c>
      <c r="B1402" s="5"/>
      <c r="C1402" s="5"/>
      <c r="D1402" s="5"/>
      <c r="E1402" s="5"/>
      <c r="F1402" s="5"/>
      <c r="G1402" s="8" t="s">
        <v>8</v>
      </c>
      <c r="H1402" s="31"/>
      <c r="I1402" s="5"/>
      <c r="J1402" s="5"/>
      <c r="K1402" s="5"/>
      <c r="L1402" s="5"/>
    </row>
    <row r="1403" spans="1:12" x14ac:dyDescent="0.25">
      <c r="A1403" s="7" t="s">
        <v>25</v>
      </c>
      <c r="B1403" s="5"/>
      <c r="C1403" s="7" t="s">
        <v>0</v>
      </c>
      <c r="D1403" s="5"/>
      <c r="E1403" s="5"/>
      <c r="F1403" s="5"/>
      <c r="G1403" s="7" t="s">
        <v>25</v>
      </c>
      <c r="H1403" s="5"/>
      <c r="I1403" s="7" t="s">
        <v>0</v>
      </c>
      <c r="J1403" s="5"/>
      <c r="K1403" s="5"/>
      <c r="L1403" s="5"/>
    </row>
    <row r="1404" spans="1:12" x14ac:dyDescent="0.25">
      <c r="A1404" s="42" t="s">
        <v>180</v>
      </c>
      <c r="B1404" s="6"/>
      <c r="C1404" s="31">
        <f>L1364</f>
        <v>500522</v>
      </c>
      <c r="D1404" s="5"/>
      <c r="E1404" s="5"/>
      <c r="F1404" s="5"/>
      <c r="G1404" s="42"/>
      <c r="H1404" s="6"/>
      <c r="I1404" s="9"/>
      <c r="J1404" s="5"/>
      <c r="K1404" s="5"/>
      <c r="L1404" s="5"/>
    </row>
    <row r="1405" spans="1:12" ht="16.5" thickBot="1" x14ac:dyDescent="0.3">
      <c r="A1405" s="58"/>
      <c r="B1405" s="5"/>
      <c r="C1405" s="5"/>
      <c r="D1405" s="5"/>
      <c r="E1405" s="5"/>
      <c r="F1405" s="5"/>
      <c r="G1405" s="10"/>
      <c r="H1405" s="5"/>
      <c r="I1405" s="5"/>
      <c r="J1405" s="5"/>
      <c r="K1405" s="5"/>
      <c r="L1405" s="5"/>
    </row>
    <row r="1406" spans="1:12" ht="15.75" thickBot="1" x14ac:dyDescent="0.3">
      <c r="A1406" s="121" t="s">
        <v>9</v>
      </c>
      <c r="B1406" s="122"/>
      <c r="C1406" s="123"/>
      <c r="D1406" s="5"/>
      <c r="E1406" s="5"/>
      <c r="F1406" s="5"/>
      <c r="G1406" s="121" t="s">
        <v>26</v>
      </c>
      <c r="H1406" s="122"/>
      <c r="I1406" s="123"/>
      <c r="J1406" s="5"/>
      <c r="K1406" s="5"/>
      <c r="L1406" s="5"/>
    </row>
    <row r="1407" spans="1:12" x14ac:dyDescent="0.25">
      <c r="A1407" s="30" t="s">
        <v>38</v>
      </c>
      <c r="B1407" s="11"/>
      <c r="C1407" s="11"/>
      <c r="D1407" s="11"/>
      <c r="E1407" s="6"/>
      <c r="F1407" s="5"/>
      <c r="G1407" s="30" t="str">
        <f>A1410</f>
        <v>Katima</v>
      </c>
      <c r="H1407" s="11"/>
      <c r="I1407" s="11"/>
      <c r="J1407" s="11"/>
      <c r="K1407" s="11"/>
      <c r="L1407" s="6"/>
    </row>
    <row r="1408" spans="1:12" ht="15.75" thickBot="1" x14ac:dyDescent="0.3">
      <c r="A1408" s="7"/>
      <c r="B1408" s="7"/>
      <c r="C1408" s="7"/>
      <c r="D1408" s="5"/>
      <c r="E1408" s="5"/>
      <c r="F1408" s="5"/>
      <c r="G1408" s="7" t="s">
        <v>3</v>
      </c>
      <c r="H1408" s="7"/>
      <c r="I1408" s="7"/>
      <c r="J1408" s="5"/>
      <c r="K1408" s="5"/>
      <c r="L1408" s="5"/>
    </row>
    <row r="1409" spans="1:12" ht="15.75" thickBot="1" x14ac:dyDescent="0.3">
      <c r="A1409" s="121" t="s">
        <v>30</v>
      </c>
      <c r="B1409" s="122"/>
      <c r="C1409" s="124"/>
      <c r="D1409" s="12" t="s">
        <v>1</v>
      </c>
      <c r="E1409" s="32"/>
      <c r="F1409" s="5"/>
      <c r="G1409" s="121" t="s">
        <v>27</v>
      </c>
      <c r="H1409" s="122"/>
      <c r="I1409" s="123"/>
      <c r="J1409" s="5"/>
      <c r="K1409" s="12" t="s">
        <v>1</v>
      </c>
      <c r="L1409" s="32">
        <v>503288</v>
      </c>
    </row>
    <row r="1410" spans="1:12" x14ac:dyDescent="0.25">
      <c r="A1410" s="13" t="s">
        <v>48</v>
      </c>
      <c r="B1410" s="14"/>
      <c r="C1410" s="11"/>
      <c r="D1410" s="11"/>
      <c r="E1410" s="6"/>
      <c r="F1410" s="5"/>
      <c r="G1410" s="34" t="str">
        <f>A1407</f>
        <v>Windhoek</v>
      </c>
      <c r="H1410" s="11"/>
      <c r="I1410" s="11"/>
      <c r="J1410" s="11"/>
      <c r="K1410" s="11"/>
      <c r="L1410" s="6"/>
    </row>
    <row r="1411" spans="1:12" x14ac:dyDescent="0.25">
      <c r="A1411" s="13"/>
      <c r="B1411" s="11"/>
      <c r="C1411" s="11"/>
      <c r="D1411" s="11"/>
      <c r="E1411" s="6"/>
      <c r="F1411" s="5"/>
      <c r="G1411" s="13"/>
      <c r="H1411" s="11"/>
      <c r="I1411" s="11"/>
      <c r="J1411" s="11"/>
      <c r="K1411" s="11"/>
      <c r="L1411" s="6"/>
    </row>
    <row r="1412" spans="1:12" x14ac:dyDescent="0.25">
      <c r="A1412" s="13"/>
      <c r="B1412" s="11"/>
      <c r="C1412" s="11"/>
      <c r="D1412" s="11"/>
      <c r="E1412" s="6"/>
      <c r="F1412" s="5"/>
      <c r="G1412" s="13"/>
      <c r="H1412" s="11"/>
      <c r="I1412" s="11"/>
      <c r="J1412" s="11"/>
      <c r="K1412" s="11"/>
      <c r="L1412" s="6"/>
    </row>
    <row r="1413" spans="1:12" x14ac:dyDescent="0.25">
      <c r="A1413" s="13"/>
      <c r="B1413" s="11"/>
      <c r="C1413" s="11"/>
      <c r="D1413" s="11"/>
      <c r="E1413" s="6"/>
      <c r="F1413" s="5"/>
      <c r="G1413" s="13"/>
      <c r="H1413" s="11"/>
      <c r="I1413" s="11"/>
      <c r="J1413" s="11"/>
      <c r="K1413" s="11"/>
      <c r="L1413" s="6"/>
    </row>
    <row r="1414" spans="1:12" ht="15.75" thickBot="1" x14ac:dyDescent="0.3">
      <c r="A1414" s="13"/>
      <c r="B1414" s="11"/>
      <c r="C1414" s="11" t="s">
        <v>29</v>
      </c>
      <c r="D1414" s="43"/>
      <c r="E1414" s="6"/>
      <c r="F1414" s="5"/>
      <c r="G1414" s="13"/>
      <c r="H1414" s="11"/>
      <c r="I1414" s="14" t="s">
        <v>28</v>
      </c>
      <c r="J1414" s="43"/>
      <c r="K1414" s="11"/>
      <c r="L1414" s="6"/>
    </row>
    <row r="1415" spans="1:12" ht="15.75" thickBot="1" x14ac:dyDescent="0.3">
      <c r="A1415" s="15" t="s">
        <v>10</v>
      </c>
      <c r="B1415" s="5"/>
      <c r="C1415" s="5"/>
      <c r="D1415" s="5"/>
      <c r="E1415" s="5"/>
      <c r="F1415" s="5"/>
      <c r="G1415" s="15" t="s">
        <v>14</v>
      </c>
      <c r="H1415" s="5"/>
      <c r="I1415" s="5"/>
      <c r="J1415" s="5"/>
      <c r="K1415" s="5"/>
      <c r="L1415" s="5"/>
    </row>
    <row r="1416" spans="1:12" ht="15.75" thickBot="1" x14ac:dyDescent="0.3">
      <c r="A1416" s="121" t="s">
        <v>11</v>
      </c>
      <c r="B1416" s="122"/>
      <c r="C1416" s="123"/>
      <c r="D1416" s="16" t="s">
        <v>12</v>
      </c>
      <c r="E1416" s="16" t="s">
        <v>13</v>
      </c>
      <c r="F1416" s="5"/>
      <c r="G1416" s="121" t="s">
        <v>15</v>
      </c>
      <c r="H1416" s="122"/>
      <c r="I1416" s="123"/>
      <c r="J1416" s="121" t="s">
        <v>13</v>
      </c>
      <c r="K1416" s="123"/>
      <c r="L1416" s="5"/>
    </row>
    <row r="1417" spans="1:12" x14ac:dyDescent="0.25">
      <c r="A1417" s="41" t="s">
        <v>186</v>
      </c>
      <c r="B1417" s="36" t="s">
        <v>48</v>
      </c>
      <c r="C1417" s="37"/>
      <c r="D1417" s="50">
        <v>500.29500000000002</v>
      </c>
      <c r="E1417" s="51">
        <v>11316.56</v>
      </c>
      <c r="F1417" s="44">
        <f t="shared" ref="F1417:F1422" si="30">E1417/D1417</f>
        <v>22.619774333143443</v>
      </c>
      <c r="G1417" s="125"/>
      <c r="H1417" s="126"/>
      <c r="I1417" s="127"/>
      <c r="J1417" s="128"/>
      <c r="K1417" s="129"/>
      <c r="L1417" s="5"/>
    </row>
    <row r="1418" spans="1:12" x14ac:dyDescent="0.25">
      <c r="A1418" s="48" t="s">
        <v>187</v>
      </c>
      <c r="B1418" s="35" t="s">
        <v>75</v>
      </c>
      <c r="C1418" s="39"/>
      <c r="D1418" s="52">
        <v>440.29</v>
      </c>
      <c r="E1418" s="53">
        <v>9910.93</v>
      </c>
      <c r="F1418" s="44">
        <f t="shared" si="30"/>
        <v>22.510004769583684</v>
      </c>
      <c r="G1418" s="110"/>
      <c r="H1418" s="111"/>
      <c r="I1418" s="112"/>
      <c r="J1418" s="113"/>
      <c r="K1418" s="114"/>
      <c r="L1418" s="5"/>
    </row>
    <row r="1419" spans="1:12" x14ac:dyDescent="0.25">
      <c r="A1419" s="38" t="s">
        <v>181</v>
      </c>
      <c r="B1419" s="35" t="s">
        <v>47</v>
      </c>
      <c r="C1419" s="39"/>
      <c r="D1419" s="52">
        <v>399.11</v>
      </c>
      <c r="E1419" s="53">
        <v>8999.9500000000007</v>
      </c>
      <c r="F1419" s="44">
        <f t="shared" si="30"/>
        <v>22.550048858710632</v>
      </c>
      <c r="G1419" s="110"/>
      <c r="H1419" s="111"/>
      <c r="I1419" s="112"/>
      <c r="J1419" s="113"/>
      <c r="K1419" s="114"/>
      <c r="L1419" s="5"/>
    </row>
    <row r="1420" spans="1:12" x14ac:dyDescent="0.25">
      <c r="A1420" s="48"/>
      <c r="B1420" s="35"/>
      <c r="C1420" s="39"/>
      <c r="D1420" s="52"/>
      <c r="E1420" s="53"/>
      <c r="F1420" s="44" t="e">
        <f t="shared" si="30"/>
        <v>#DIV/0!</v>
      </c>
      <c r="G1420" s="110"/>
      <c r="H1420" s="111"/>
      <c r="I1420" s="112"/>
      <c r="J1420" s="113"/>
      <c r="K1420" s="114"/>
      <c r="L1420" s="5"/>
    </row>
    <row r="1421" spans="1:12" x14ac:dyDescent="0.25">
      <c r="A1421" s="27"/>
      <c r="B1421" s="11"/>
      <c r="C1421" s="6"/>
      <c r="D1421" s="54"/>
      <c r="E1421" s="55"/>
      <c r="F1421" s="44" t="e">
        <f t="shared" si="30"/>
        <v>#DIV/0!</v>
      </c>
      <c r="G1421" s="110"/>
      <c r="H1421" s="111"/>
      <c r="I1421" s="112"/>
      <c r="J1421" s="113"/>
      <c r="K1421" s="114"/>
      <c r="L1421" s="5"/>
    </row>
    <row r="1422" spans="1:12" x14ac:dyDescent="0.25">
      <c r="A1422" s="68"/>
      <c r="B1422" s="11"/>
      <c r="C1422" s="6"/>
      <c r="D1422" s="54"/>
      <c r="E1422" s="55"/>
      <c r="F1422" s="44" t="e">
        <f t="shared" si="30"/>
        <v>#DIV/0!</v>
      </c>
      <c r="G1422" s="110"/>
      <c r="H1422" s="111"/>
      <c r="I1422" s="112"/>
      <c r="J1422" s="113"/>
      <c r="K1422" s="114"/>
      <c r="L1422" s="5"/>
    </row>
    <row r="1423" spans="1:12" ht="15.75" thickBot="1" x14ac:dyDescent="0.3">
      <c r="A1423" s="5"/>
      <c r="B1423" s="5"/>
      <c r="C1423" s="7" t="s">
        <v>35</v>
      </c>
      <c r="D1423" s="17">
        <f>D1417+D1418+D1419+D1420+D1421+D1422</f>
        <v>1339.6950000000002</v>
      </c>
      <c r="E1423" s="17">
        <f>E1417+E1418+E1419+E1420+E1421+E1422</f>
        <v>30227.439999999999</v>
      </c>
      <c r="F1423" s="5"/>
      <c r="G1423" s="110"/>
      <c r="H1423" s="111"/>
      <c r="I1423" s="112"/>
      <c r="J1423" s="113"/>
      <c r="K1423" s="114"/>
      <c r="L1423" s="7" t="s">
        <v>36</v>
      </c>
    </row>
    <row r="1424" spans="1:12" ht="15.75" thickBot="1" x14ac:dyDescent="0.3">
      <c r="A1424" s="5"/>
      <c r="B1424" s="5"/>
      <c r="C1424" s="5"/>
      <c r="D1424" s="5"/>
      <c r="E1424" s="5"/>
      <c r="F1424" s="5"/>
      <c r="G1424" s="130"/>
      <c r="H1424" s="131"/>
      <c r="I1424" s="132"/>
      <c r="J1424" s="133"/>
      <c r="K1424" s="134"/>
      <c r="L1424" s="18">
        <f>J1417+J1418+J1419+J1420+J1421+J1422+J1423+J1424</f>
        <v>0</v>
      </c>
    </row>
    <row r="1425" spans="1:12" ht="15.75" thickBot="1" x14ac:dyDescent="0.3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</row>
    <row r="1426" spans="1:12" ht="15.75" thickBot="1" x14ac:dyDescent="0.3">
      <c r="A1426" s="19"/>
      <c r="B1426" s="20"/>
      <c r="C1426" s="20"/>
      <c r="D1426" s="20"/>
      <c r="E1426" s="21" t="s">
        <v>13</v>
      </c>
      <c r="F1426" s="5"/>
      <c r="G1426" s="19"/>
      <c r="H1426" s="20"/>
      <c r="I1426" s="20"/>
      <c r="J1426" s="20"/>
      <c r="K1426" s="21" t="s">
        <v>13</v>
      </c>
      <c r="L1426" s="5"/>
    </row>
    <row r="1427" spans="1:12" x14ac:dyDescent="0.25">
      <c r="A1427" s="22" t="s">
        <v>31</v>
      </c>
      <c r="B1427" s="115">
        <v>39750</v>
      </c>
      <c r="C1427" s="116"/>
      <c r="D1427" s="116"/>
      <c r="E1427" s="117"/>
      <c r="F1427" s="5"/>
      <c r="G1427" s="22" t="s">
        <v>32</v>
      </c>
      <c r="H1427" s="115">
        <v>4261</v>
      </c>
      <c r="I1427" s="116"/>
      <c r="J1427" s="116"/>
      <c r="K1427" s="117"/>
      <c r="L1427" s="5"/>
    </row>
    <row r="1428" spans="1:12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</row>
    <row r="1429" spans="1:12" x14ac:dyDescent="0.25">
      <c r="A1429" s="7" t="s">
        <v>16</v>
      </c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</row>
    <row r="1430" spans="1:12" x14ac:dyDescent="0.25">
      <c r="A1430" s="9" t="s">
        <v>17</v>
      </c>
      <c r="B1430" s="23">
        <f>L1409-C1404</f>
        <v>2766</v>
      </c>
      <c r="C1430" s="5"/>
      <c r="D1430" s="106" t="s">
        <v>18</v>
      </c>
      <c r="E1430" s="107"/>
      <c r="F1430" s="24" t="s">
        <v>19</v>
      </c>
      <c r="G1430" s="9" t="s">
        <v>20</v>
      </c>
      <c r="H1430" s="118">
        <f>B1427+H1427</f>
        <v>44011</v>
      </c>
      <c r="I1430" s="119"/>
      <c r="J1430" s="5"/>
      <c r="K1430" s="5"/>
      <c r="L1430" s="5"/>
    </row>
    <row r="1431" spans="1:12" x14ac:dyDescent="0.25">
      <c r="A1431" s="9" t="s">
        <v>41</v>
      </c>
      <c r="B1431" s="40">
        <f>B1430/D1423</f>
        <v>2.0646490432523819</v>
      </c>
      <c r="C1431" s="5"/>
      <c r="D1431" s="102">
        <f>E1423</f>
        <v>30227.439999999999</v>
      </c>
      <c r="E1431" s="103"/>
      <c r="F1431" s="25">
        <f>H1431/B1430</f>
        <v>12.786601590744757</v>
      </c>
      <c r="G1431" s="9" t="s">
        <v>21</v>
      </c>
      <c r="H1431" s="104">
        <f>L1424+D1431+D1433+D1435+D1437+A1434</f>
        <v>35367.74</v>
      </c>
      <c r="I1431" s="105"/>
      <c r="J1431" s="5"/>
      <c r="K1431" s="5"/>
      <c r="L1431" s="5"/>
    </row>
    <row r="1432" spans="1:12" x14ac:dyDescent="0.25">
      <c r="A1432" s="9" t="s">
        <v>43</v>
      </c>
      <c r="B1432" s="23">
        <f>D1423/B1430</f>
        <v>0.4843438177874187</v>
      </c>
      <c r="C1432" s="5"/>
      <c r="D1432" s="106" t="s">
        <v>33</v>
      </c>
      <c r="E1432" s="107"/>
      <c r="F1432" s="5"/>
      <c r="G1432" s="13" t="s">
        <v>22</v>
      </c>
      <c r="H1432" s="6"/>
      <c r="I1432" s="26">
        <f>H1430-H1431</f>
        <v>8643.260000000002</v>
      </c>
      <c r="J1432" s="5"/>
      <c r="K1432" s="5"/>
      <c r="L1432" s="5"/>
    </row>
    <row r="1433" spans="1:12" x14ac:dyDescent="0.25">
      <c r="A1433" s="106" t="s">
        <v>40</v>
      </c>
      <c r="B1433" s="107"/>
      <c r="C1433" s="5"/>
      <c r="D1433" s="108">
        <v>800</v>
      </c>
      <c r="E1433" s="109"/>
      <c r="F1433" s="5"/>
      <c r="G1433" s="5"/>
      <c r="H1433" s="5"/>
      <c r="I1433" s="5"/>
      <c r="J1433" s="5"/>
      <c r="K1433" s="5"/>
      <c r="L1433" s="5"/>
    </row>
    <row r="1434" spans="1:12" x14ac:dyDescent="0.25">
      <c r="A1434" s="108">
        <f>B1430*0.4</f>
        <v>1106.4000000000001</v>
      </c>
      <c r="B1434" s="109"/>
      <c r="C1434" s="5"/>
      <c r="D1434" s="106" t="s">
        <v>34</v>
      </c>
      <c r="E1434" s="107"/>
      <c r="F1434" s="5"/>
      <c r="G1434" s="5"/>
      <c r="H1434" s="5"/>
      <c r="I1434" s="5"/>
      <c r="J1434" s="5"/>
      <c r="K1434" s="5"/>
      <c r="L1434" s="5"/>
    </row>
    <row r="1435" spans="1:12" x14ac:dyDescent="0.25">
      <c r="A1435" s="5"/>
      <c r="B1435" s="5"/>
      <c r="C1435" s="5"/>
      <c r="D1435" s="108">
        <v>0</v>
      </c>
      <c r="E1435" s="109"/>
      <c r="F1435" s="5"/>
      <c r="G1435" s="5"/>
      <c r="H1435" s="5"/>
      <c r="I1435" s="5"/>
      <c r="J1435" s="5"/>
      <c r="K1435" s="5"/>
      <c r="L1435" s="5"/>
    </row>
    <row r="1436" spans="1:12" x14ac:dyDescent="0.25">
      <c r="A1436" s="5"/>
      <c r="B1436" s="5"/>
      <c r="C1436" s="5"/>
      <c r="D1436" s="106" t="s">
        <v>37</v>
      </c>
      <c r="E1436" s="107"/>
      <c r="F1436" s="5"/>
      <c r="G1436" s="5"/>
      <c r="H1436" s="5"/>
      <c r="I1436" s="5"/>
      <c r="J1436" s="5"/>
      <c r="K1436" s="5"/>
      <c r="L1436" s="5"/>
    </row>
    <row r="1437" spans="1:12" x14ac:dyDescent="0.25">
      <c r="A1437" s="5"/>
      <c r="B1437" s="5"/>
      <c r="C1437" s="5"/>
      <c r="D1437" s="108">
        <v>3233.9</v>
      </c>
      <c r="E1437" s="109"/>
      <c r="F1437" s="5" t="s">
        <v>153</v>
      </c>
      <c r="G1437" s="5"/>
      <c r="H1437" s="5"/>
      <c r="I1437" s="5"/>
      <c r="J1437" s="5"/>
      <c r="K1437" s="5"/>
      <c r="L1437" s="5"/>
    </row>
    <row r="1438" spans="1:12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</row>
    <row r="1439" spans="1:12" x14ac:dyDescent="0.25">
      <c r="A1439" s="5" t="s">
        <v>23</v>
      </c>
      <c r="B1439" s="5" t="s">
        <v>54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</row>
    <row r="1440" spans="1:12" s="49" customFormat="1" x14ac:dyDescent="0.25"/>
    <row r="1443" spans="1:12" x14ac:dyDescent="0.25">
      <c r="A1443" s="120" t="s">
        <v>24</v>
      </c>
      <c r="B1443" s="120"/>
      <c r="C1443" s="120"/>
      <c r="D1443" s="120"/>
      <c r="E1443" s="120"/>
      <c r="F1443" s="120"/>
      <c r="G1443" s="120"/>
      <c r="H1443" s="120"/>
    </row>
    <row r="1444" spans="1:12" x14ac:dyDescent="0.25">
      <c r="A1444" s="120"/>
      <c r="B1444" s="120"/>
      <c r="C1444" s="120"/>
      <c r="D1444" s="120"/>
      <c r="E1444" s="120"/>
      <c r="F1444" s="120"/>
      <c r="G1444" s="120"/>
      <c r="H1444" s="120"/>
    </row>
    <row r="1445" spans="1:12" x14ac:dyDescent="0.25">
      <c r="A1445" s="1" t="s">
        <v>4</v>
      </c>
      <c r="B1445" s="2"/>
      <c r="C1445" s="2"/>
      <c r="D1445" s="2"/>
      <c r="E1445" s="2"/>
      <c r="F1445" s="2"/>
      <c r="G1445" s="3" t="s">
        <v>5</v>
      </c>
      <c r="H1445" s="3" t="s">
        <v>6</v>
      </c>
      <c r="I1445" s="4" t="s">
        <v>7</v>
      </c>
      <c r="J1445" s="5"/>
      <c r="K1445" s="5"/>
      <c r="L1445" s="5"/>
    </row>
    <row r="1446" spans="1:12" x14ac:dyDescent="0.25">
      <c r="A1446" s="28" t="s">
        <v>195</v>
      </c>
      <c r="B1446" s="29" t="s">
        <v>82</v>
      </c>
      <c r="C1446" s="67" t="s">
        <v>45</v>
      </c>
      <c r="D1446" s="66"/>
      <c r="E1446" s="2"/>
      <c r="F1446" s="2"/>
      <c r="G1446" s="28" t="s">
        <v>155</v>
      </c>
      <c r="H1446" s="66"/>
      <c r="I1446" s="33"/>
      <c r="J1446" s="6"/>
      <c r="K1446" s="33"/>
      <c r="L1446" s="6"/>
    </row>
    <row r="1447" spans="1:12" x14ac:dyDescent="0.25">
      <c r="A1447" s="7" t="s">
        <v>2</v>
      </c>
      <c r="B1447" s="5"/>
      <c r="C1447" s="5"/>
      <c r="D1447" s="5"/>
      <c r="E1447" s="5"/>
      <c r="F1447" s="5"/>
      <c r="G1447" s="8" t="s">
        <v>8</v>
      </c>
      <c r="H1447" s="31"/>
      <c r="I1447" s="5"/>
      <c r="J1447" s="5"/>
      <c r="K1447" s="5"/>
      <c r="L1447" s="5"/>
    </row>
    <row r="1448" spans="1:12" x14ac:dyDescent="0.25">
      <c r="A1448" s="7" t="s">
        <v>25</v>
      </c>
      <c r="B1448" s="5"/>
      <c r="C1448" s="7" t="s">
        <v>0</v>
      </c>
      <c r="D1448" s="5"/>
      <c r="E1448" s="5"/>
      <c r="F1448" s="5"/>
      <c r="G1448" s="7" t="s">
        <v>25</v>
      </c>
      <c r="H1448" s="5"/>
      <c r="I1448" s="7" t="s">
        <v>0</v>
      </c>
      <c r="J1448" s="5"/>
      <c r="K1448" s="5"/>
      <c r="L1448" s="5"/>
    </row>
    <row r="1449" spans="1:12" x14ac:dyDescent="0.25">
      <c r="A1449" s="42" t="s">
        <v>182</v>
      </c>
      <c r="B1449" s="6"/>
      <c r="C1449" s="31">
        <f>L1409</f>
        <v>503288</v>
      </c>
      <c r="D1449" s="5"/>
      <c r="E1449" s="5"/>
      <c r="F1449" s="5"/>
      <c r="G1449" s="42" t="s">
        <v>194</v>
      </c>
      <c r="H1449" s="6"/>
      <c r="I1449" s="9"/>
      <c r="J1449" s="5"/>
      <c r="K1449" s="5"/>
      <c r="L1449" s="5"/>
    </row>
    <row r="1450" spans="1:12" ht="16.5" thickBot="1" x14ac:dyDescent="0.3">
      <c r="A1450" s="58"/>
      <c r="B1450" s="5"/>
      <c r="C1450" s="5"/>
      <c r="D1450" s="5"/>
      <c r="E1450" s="5"/>
      <c r="F1450" s="5"/>
      <c r="G1450" s="10"/>
      <c r="H1450" s="5"/>
      <c r="I1450" s="5"/>
      <c r="J1450" s="5"/>
      <c r="K1450" s="5"/>
      <c r="L1450" s="5"/>
    </row>
    <row r="1451" spans="1:12" ht="15.75" thickBot="1" x14ac:dyDescent="0.3">
      <c r="A1451" s="121" t="s">
        <v>9</v>
      </c>
      <c r="B1451" s="122"/>
      <c r="C1451" s="123"/>
      <c r="D1451" s="5"/>
      <c r="E1451" s="5"/>
      <c r="F1451" s="5"/>
      <c r="G1451" s="121" t="s">
        <v>26</v>
      </c>
      <c r="H1451" s="122"/>
      <c r="I1451" s="123"/>
      <c r="J1451" s="5"/>
      <c r="K1451" s="5"/>
      <c r="L1451" s="5"/>
    </row>
    <row r="1452" spans="1:12" x14ac:dyDescent="0.25">
      <c r="A1452" s="30" t="s">
        <v>38</v>
      </c>
      <c r="B1452" s="11"/>
      <c r="C1452" s="11"/>
      <c r="D1452" s="11"/>
      <c r="E1452" s="6"/>
      <c r="F1452" s="5"/>
      <c r="G1452" s="30" t="str">
        <f>A1455</f>
        <v>Johannesburg</v>
      </c>
      <c r="H1452" s="11"/>
      <c r="I1452" s="11"/>
      <c r="J1452" s="11"/>
      <c r="K1452" s="11"/>
      <c r="L1452" s="6"/>
    </row>
    <row r="1453" spans="1:12" ht="15.75" thickBot="1" x14ac:dyDescent="0.3">
      <c r="A1453" s="7"/>
      <c r="B1453" s="7"/>
      <c r="C1453" s="7"/>
      <c r="D1453" s="5"/>
      <c r="E1453" s="5"/>
      <c r="F1453" s="5"/>
      <c r="G1453" s="7" t="s">
        <v>3</v>
      </c>
      <c r="H1453" s="7"/>
      <c r="I1453" s="7"/>
      <c r="J1453" s="5"/>
      <c r="K1453" s="5"/>
      <c r="L1453" s="5"/>
    </row>
    <row r="1454" spans="1:12" ht="15.75" thickBot="1" x14ac:dyDescent="0.3">
      <c r="A1454" s="121" t="s">
        <v>30</v>
      </c>
      <c r="B1454" s="122"/>
      <c r="C1454" s="124"/>
      <c r="D1454" s="12" t="s">
        <v>1</v>
      </c>
      <c r="E1454" s="32"/>
      <c r="F1454" s="5"/>
      <c r="G1454" s="121" t="s">
        <v>27</v>
      </c>
      <c r="H1454" s="122"/>
      <c r="I1454" s="123"/>
      <c r="J1454" s="5"/>
      <c r="K1454" s="12" t="s">
        <v>1</v>
      </c>
      <c r="L1454" s="32">
        <v>504804</v>
      </c>
    </row>
    <row r="1455" spans="1:12" x14ac:dyDescent="0.25">
      <c r="A1455" s="34" t="s">
        <v>68</v>
      </c>
      <c r="B1455" s="14"/>
      <c r="C1455" s="11"/>
      <c r="D1455" s="11"/>
      <c r="E1455" s="6"/>
      <c r="F1455" s="5"/>
      <c r="G1455" s="34" t="str">
        <f>A1452</f>
        <v>Windhoek</v>
      </c>
      <c r="H1455" s="11"/>
      <c r="I1455" s="11"/>
      <c r="J1455" s="11"/>
      <c r="K1455" s="11"/>
      <c r="L1455" s="6"/>
    </row>
    <row r="1456" spans="1:12" x14ac:dyDescent="0.25">
      <c r="A1456" s="13"/>
      <c r="B1456" s="11"/>
      <c r="C1456" s="11"/>
      <c r="D1456" s="11"/>
      <c r="E1456" s="6"/>
      <c r="F1456" s="5"/>
      <c r="G1456" s="13"/>
      <c r="H1456" s="11"/>
      <c r="I1456" s="11"/>
      <c r="J1456" s="11"/>
      <c r="K1456" s="11"/>
      <c r="L1456" s="6"/>
    </row>
    <row r="1457" spans="1:12" x14ac:dyDescent="0.25">
      <c r="A1457" s="13"/>
      <c r="B1457" s="11"/>
      <c r="C1457" s="11"/>
      <c r="D1457" s="11"/>
      <c r="E1457" s="6"/>
      <c r="F1457" s="5"/>
      <c r="G1457" s="13"/>
      <c r="H1457" s="11"/>
      <c r="I1457" s="11"/>
      <c r="J1457" s="11"/>
      <c r="K1457" s="11"/>
      <c r="L1457" s="6"/>
    </row>
    <row r="1458" spans="1:12" x14ac:dyDescent="0.25">
      <c r="A1458" s="13"/>
      <c r="B1458" s="11"/>
      <c r="C1458" s="11"/>
      <c r="D1458" s="11"/>
      <c r="E1458" s="6"/>
      <c r="F1458" s="5"/>
      <c r="G1458" s="13"/>
      <c r="H1458" s="11"/>
      <c r="I1458" s="11"/>
      <c r="J1458" s="11"/>
      <c r="K1458" s="11"/>
      <c r="L1458" s="6"/>
    </row>
    <row r="1459" spans="1:12" ht="15.75" thickBot="1" x14ac:dyDescent="0.3">
      <c r="A1459" s="13"/>
      <c r="B1459" s="11"/>
      <c r="C1459" s="11" t="s">
        <v>29</v>
      </c>
      <c r="D1459" s="43"/>
      <c r="E1459" s="6"/>
      <c r="F1459" s="5"/>
      <c r="G1459" s="13"/>
      <c r="H1459" s="11"/>
      <c r="I1459" s="14" t="s">
        <v>28</v>
      </c>
      <c r="J1459" s="43"/>
      <c r="K1459" s="11"/>
      <c r="L1459" s="6"/>
    </row>
    <row r="1460" spans="1:12" ht="15.75" thickBot="1" x14ac:dyDescent="0.3">
      <c r="A1460" s="15" t="s">
        <v>10</v>
      </c>
      <c r="B1460" s="5"/>
      <c r="C1460" s="5"/>
      <c r="D1460" s="5"/>
      <c r="E1460" s="5"/>
      <c r="F1460" s="5"/>
      <c r="G1460" s="15" t="s">
        <v>14</v>
      </c>
      <c r="H1460" s="5"/>
      <c r="I1460" s="5"/>
      <c r="J1460" s="5"/>
      <c r="K1460" s="5"/>
      <c r="L1460" s="5"/>
    </row>
    <row r="1461" spans="1:12" ht="15.75" thickBot="1" x14ac:dyDescent="0.3">
      <c r="A1461" s="121" t="s">
        <v>11</v>
      </c>
      <c r="B1461" s="122"/>
      <c r="C1461" s="123"/>
      <c r="D1461" s="16" t="s">
        <v>12</v>
      </c>
      <c r="E1461" s="16" t="s">
        <v>13</v>
      </c>
      <c r="F1461" s="5"/>
      <c r="G1461" s="121" t="s">
        <v>15</v>
      </c>
      <c r="H1461" s="122"/>
      <c r="I1461" s="123"/>
      <c r="J1461" s="121" t="s">
        <v>13</v>
      </c>
      <c r="K1461" s="123"/>
      <c r="L1461" s="5"/>
    </row>
    <row r="1462" spans="1:12" x14ac:dyDescent="0.25">
      <c r="A1462" s="41" t="s">
        <v>183</v>
      </c>
      <c r="B1462" s="36" t="s">
        <v>69</v>
      </c>
      <c r="C1462" s="37"/>
      <c r="D1462" s="50">
        <v>653.70000000000005</v>
      </c>
      <c r="E1462" s="51">
        <v>17132.689999999999</v>
      </c>
      <c r="F1462" s="44">
        <f t="shared" ref="F1462:F1467" si="31">E1462/D1462</f>
        <v>26.208796083830499</v>
      </c>
      <c r="G1462" s="125"/>
      <c r="H1462" s="126"/>
      <c r="I1462" s="127"/>
      <c r="J1462" s="128"/>
      <c r="K1462" s="129"/>
      <c r="L1462" s="5"/>
    </row>
    <row r="1463" spans="1:12" x14ac:dyDescent="0.25">
      <c r="A1463" s="48" t="s">
        <v>189</v>
      </c>
      <c r="B1463" s="35" t="s">
        <v>69</v>
      </c>
      <c r="C1463" s="39"/>
      <c r="D1463" s="52">
        <v>315.33</v>
      </c>
      <c r="E1463" s="53">
        <v>8264.7900000000009</v>
      </c>
      <c r="F1463" s="44">
        <f t="shared" si="31"/>
        <v>26.209970507087817</v>
      </c>
      <c r="G1463" s="110"/>
      <c r="H1463" s="111"/>
      <c r="I1463" s="112"/>
      <c r="J1463" s="113"/>
      <c r="K1463" s="114"/>
      <c r="L1463" s="5"/>
    </row>
    <row r="1464" spans="1:12" x14ac:dyDescent="0.25">
      <c r="A1464" s="48">
        <v>44784</v>
      </c>
      <c r="B1464" s="35" t="s">
        <v>47</v>
      </c>
      <c r="C1464" s="39"/>
      <c r="D1464" s="52">
        <v>586.9</v>
      </c>
      <c r="E1464" s="53">
        <v>14396.65</v>
      </c>
      <c r="F1464" s="44">
        <f t="shared" si="31"/>
        <v>24.529988072925541</v>
      </c>
      <c r="G1464" s="110"/>
      <c r="H1464" s="111"/>
      <c r="I1464" s="112"/>
      <c r="J1464" s="113"/>
      <c r="K1464" s="114"/>
      <c r="L1464" s="5"/>
    </row>
    <row r="1465" spans="1:12" x14ac:dyDescent="0.25">
      <c r="A1465" s="48"/>
      <c r="B1465" s="35"/>
      <c r="C1465" s="39"/>
      <c r="D1465" s="52"/>
      <c r="E1465" s="53"/>
      <c r="F1465" s="44" t="e">
        <f t="shared" si="31"/>
        <v>#DIV/0!</v>
      </c>
      <c r="G1465" s="110"/>
      <c r="H1465" s="111"/>
      <c r="I1465" s="112"/>
      <c r="J1465" s="113"/>
      <c r="K1465" s="114"/>
      <c r="L1465" s="5"/>
    </row>
    <row r="1466" spans="1:12" x14ac:dyDescent="0.25">
      <c r="A1466" s="27"/>
      <c r="B1466" s="11"/>
      <c r="C1466" s="6"/>
      <c r="D1466" s="54"/>
      <c r="E1466" s="55"/>
      <c r="F1466" s="44" t="e">
        <f t="shared" si="31"/>
        <v>#DIV/0!</v>
      </c>
      <c r="G1466" s="110"/>
      <c r="H1466" s="111"/>
      <c r="I1466" s="112"/>
      <c r="J1466" s="113"/>
      <c r="K1466" s="114"/>
      <c r="L1466" s="5"/>
    </row>
    <row r="1467" spans="1:12" x14ac:dyDescent="0.25">
      <c r="A1467" s="68"/>
      <c r="B1467" s="11"/>
      <c r="C1467" s="6"/>
      <c r="D1467" s="54"/>
      <c r="E1467" s="55"/>
      <c r="F1467" s="44" t="e">
        <f t="shared" si="31"/>
        <v>#DIV/0!</v>
      </c>
      <c r="G1467" s="110"/>
      <c r="H1467" s="111"/>
      <c r="I1467" s="112"/>
      <c r="J1467" s="113"/>
      <c r="K1467" s="114"/>
      <c r="L1467" s="5"/>
    </row>
    <row r="1468" spans="1:12" ht="15.75" thickBot="1" x14ac:dyDescent="0.3">
      <c r="A1468" s="5"/>
      <c r="B1468" s="5"/>
      <c r="C1468" s="7" t="s">
        <v>35</v>
      </c>
      <c r="D1468" s="17">
        <f>D1462+D1463+D1464+D1465+D1466+D1467</f>
        <v>1555.9299999999998</v>
      </c>
      <c r="E1468" s="17">
        <f>E1462+E1463+E1464+E1465+E1466+E1467</f>
        <v>39794.129999999997</v>
      </c>
      <c r="F1468" s="5"/>
      <c r="G1468" s="110"/>
      <c r="H1468" s="111"/>
      <c r="I1468" s="112"/>
      <c r="J1468" s="113"/>
      <c r="K1468" s="114"/>
      <c r="L1468" s="7" t="s">
        <v>36</v>
      </c>
    </row>
    <row r="1469" spans="1:12" ht="15.75" thickBot="1" x14ac:dyDescent="0.3">
      <c r="A1469" s="5"/>
      <c r="B1469" s="5"/>
      <c r="C1469" s="5"/>
      <c r="D1469" s="5"/>
      <c r="E1469" s="5"/>
      <c r="F1469" s="5"/>
      <c r="G1469" s="130"/>
      <c r="H1469" s="131"/>
      <c r="I1469" s="132"/>
      <c r="J1469" s="133"/>
      <c r="K1469" s="134"/>
      <c r="L1469" s="18">
        <f>J1462+J1463+J1464+J1465+J1466+J1467+J1468+J1469</f>
        <v>0</v>
      </c>
    </row>
    <row r="1470" spans="1:12" ht="15.75" thickBot="1" x14ac:dyDescent="0.3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</row>
    <row r="1471" spans="1:12" ht="15.75" thickBot="1" x14ac:dyDescent="0.3">
      <c r="A1471" s="19"/>
      <c r="B1471" s="20"/>
      <c r="C1471" s="20"/>
      <c r="D1471" s="20"/>
      <c r="E1471" s="21" t="s">
        <v>13</v>
      </c>
      <c r="F1471" s="5"/>
      <c r="G1471" s="19"/>
      <c r="H1471" s="20"/>
      <c r="I1471" s="20"/>
      <c r="J1471" s="20"/>
      <c r="K1471" s="21" t="s">
        <v>13</v>
      </c>
      <c r="L1471" s="5"/>
    </row>
    <row r="1472" spans="1:12" x14ac:dyDescent="0.25">
      <c r="A1472" s="22" t="s">
        <v>31</v>
      </c>
      <c r="B1472" s="115">
        <v>26272</v>
      </c>
      <c r="C1472" s="116"/>
      <c r="D1472" s="116"/>
      <c r="E1472" s="117"/>
      <c r="F1472" s="5"/>
      <c r="G1472" s="22" t="s">
        <v>32</v>
      </c>
      <c r="H1472" s="115">
        <v>51000</v>
      </c>
      <c r="I1472" s="116"/>
      <c r="J1472" s="116"/>
      <c r="K1472" s="117"/>
      <c r="L1472" s="5"/>
    </row>
    <row r="1473" spans="1:12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</row>
    <row r="1474" spans="1:12" x14ac:dyDescent="0.25">
      <c r="A1474" s="7" t="s">
        <v>16</v>
      </c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</row>
    <row r="1475" spans="1:12" x14ac:dyDescent="0.25">
      <c r="A1475" s="9" t="s">
        <v>17</v>
      </c>
      <c r="B1475" s="23">
        <f>L1454-C1449</f>
        <v>1516</v>
      </c>
      <c r="C1475" s="5"/>
      <c r="D1475" s="106" t="s">
        <v>18</v>
      </c>
      <c r="E1475" s="107"/>
      <c r="F1475" s="24" t="s">
        <v>19</v>
      </c>
      <c r="G1475" s="9" t="s">
        <v>20</v>
      </c>
      <c r="H1475" s="118">
        <f>B1472+H1472</f>
        <v>77272</v>
      </c>
      <c r="I1475" s="119"/>
      <c r="J1475" s="5"/>
      <c r="K1475" s="5"/>
      <c r="L1475" s="5"/>
    </row>
    <row r="1476" spans="1:12" x14ac:dyDescent="0.25">
      <c r="A1476" s="9" t="s">
        <v>41</v>
      </c>
      <c r="B1476" s="40">
        <f>B1475/D1468</f>
        <v>0.97433689176248295</v>
      </c>
      <c r="C1476" s="5"/>
      <c r="D1476" s="102">
        <f>E1468</f>
        <v>39794.129999999997</v>
      </c>
      <c r="E1476" s="103"/>
      <c r="F1476" s="25">
        <f>H1476/B1475</f>
        <v>30.673172823218998</v>
      </c>
      <c r="G1476" s="9" t="s">
        <v>21</v>
      </c>
      <c r="H1476" s="104">
        <f>L1469+D1476+D1478+D1480+D1482+A1479</f>
        <v>46500.53</v>
      </c>
      <c r="I1476" s="105"/>
      <c r="J1476" s="5"/>
      <c r="K1476" s="5"/>
      <c r="L1476" s="5"/>
    </row>
    <row r="1477" spans="1:12" x14ac:dyDescent="0.25">
      <c r="A1477" s="9" t="s">
        <v>43</v>
      </c>
      <c r="B1477" s="23">
        <f>D1468/B1475</f>
        <v>1.0263390501319261</v>
      </c>
      <c r="C1477" s="5"/>
      <c r="D1477" s="106" t="s">
        <v>33</v>
      </c>
      <c r="E1477" s="107"/>
      <c r="F1477" s="5"/>
      <c r="G1477" s="13" t="s">
        <v>22</v>
      </c>
      <c r="H1477" s="6"/>
      <c r="I1477" s="26">
        <f>H1475-H1476</f>
        <v>30771.47</v>
      </c>
      <c r="J1477" s="5"/>
      <c r="K1477" s="5"/>
      <c r="L1477" s="5"/>
    </row>
    <row r="1478" spans="1:12" x14ac:dyDescent="0.25">
      <c r="A1478" s="106" t="s">
        <v>40</v>
      </c>
      <c r="B1478" s="107"/>
      <c r="C1478" s="5"/>
      <c r="D1478" s="108">
        <v>1600</v>
      </c>
      <c r="E1478" s="109"/>
      <c r="F1478" s="5"/>
      <c r="G1478" s="5"/>
      <c r="H1478" s="5">
        <v>30771</v>
      </c>
      <c r="I1478" s="5">
        <v>-6152.5</v>
      </c>
      <c r="J1478" s="5"/>
      <c r="K1478" s="5"/>
      <c r="L1478" s="5"/>
    </row>
    <row r="1479" spans="1:12" x14ac:dyDescent="0.25">
      <c r="A1479" s="108">
        <f>B1475*0.4</f>
        <v>606.4</v>
      </c>
      <c r="B1479" s="109"/>
      <c r="C1479" s="5"/>
      <c r="D1479" s="106" t="s">
        <v>34</v>
      </c>
      <c r="E1479" s="107"/>
      <c r="F1479" s="5"/>
      <c r="G1479" s="5"/>
      <c r="H1479" s="5"/>
      <c r="I1479" s="5">
        <v>-8450</v>
      </c>
      <c r="J1479" s="5"/>
      <c r="K1479" s="5"/>
      <c r="L1479" s="5"/>
    </row>
    <row r="1480" spans="1:12" x14ac:dyDescent="0.25">
      <c r="A1480" s="5"/>
      <c r="B1480" s="5"/>
      <c r="C1480" s="5"/>
      <c r="D1480" s="108">
        <v>1000</v>
      </c>
      <c r="E1480" s="109"/>
      <c r="F1480" s="5"/>
      <c r="G1480" s="5"/>
      <c r="H1480" s="5"/>
      <c r="I1480" s="5">
        <v>-3850</v>
      </c>
      <c r="J1480" s="5"/>
      <c r="K1480" s="5"/>
      <c r="L1480" s="5"/>
    </row>
    <row r="1481" spans="1:12" x14ac:dyDescent="0.25">
      <c r="A1481" s="5"/>
      <c r="B1481" s="5"/>
      <c r="C1481" s="5"/>
      <c r="D1481" s="106" t="s">
        <v>37</v>
      </c>
      <c r="E1481" s="107"/>
      <c r="F1481" s="5"/>
      <c r="G1481" s="5"/>
      <c r="H1481" s="5"/>
      <c r="I1481" s="5">
        <v>-1500</v>
      </c>
      <c r="J1481" s="5"/>
      <c r="K1481" s="5"/>
      <c r="L1481" s="5"/>
    </row>
    <row r="1482" spans="1:12" x14ac:dyDescent="0.25">
      <c r="A1482" s="5"/>
      <c r="B1482" s="5"/>
      <c r="C1482" s="5"/>
      <c r="D1482" s="108">
        <v>3500</v>
      </c>
      <c r="E1482" s="109"/>
      <c r="F1482" s="5" t="s">
        <v>78</v>
      </c>
      <c r="G1482" s="5"/>
      <c r="H1482" s="5"/>
      <c r="I1482" s="44">
        <f>H1478+I1478+I1479+I1480+I1481</f>
        <v>10818.5</v>
      </c>
      <c r="J1482" s="5"/>
      <c r="K1482" s="5"/>
      <c r="L1482" s="5"/>
    </row>
    <row r="1483" spans="1:12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</row>
    <row r="1484" spans="1:12" x14ac:dyDescent="0.25">
      <c r="A1484" s="5" t="s">
        <v>23</v>
      </c>
      <c r="B1484" s="5" t="s">
        <v>54</v>
      </c>
      <c r="C1484" s="5"/>
      <c r="D1484" s="5"/>
      <c r="E1484" s="5"/>
      <c r="F1484" s="5"/>
      <c r="G1484" s="5"/>
      <c r="H1484" s="5"/>
      <c r="I1484" s="5"/>
      <c r="J1484" s="5"/>
      <c r="K1484" s="5"/>
      <c r="L1484" s="5"/>
    </row>
    <row r="1485" spans="1:12" s="49" customFormat="1" x14ac:dyDescent="0.25"/>
    <row r="1488" spans="1:12" x14ac:dyDescent="0.25">
      <c r="A1488" s="120" t="s">
        <v>24</v>
      </c>
      <c r="B1488" s="120"/>
      <c r="C1488" s="120"/>
      <c r="D1488" s="120"/>
      <c r="E1488" s="120"/>
      <c r="F1488" s="120"/>
      <c r="G1488" s="120"/>
      <c r="H1488" s="120"/>
    </row>
    <row r="1489" spans="1:12" x14ac:dyDescent="0.25">
      <c r="A1489" s="120"/>
      <c r="B1489" s="120"/>
      <c r="C1489" s="120"/>
      <c r="D1489" s="120"/>
      <c r="E1489" s="120"/>
      <c r="F1489" s="120"/>
      <c r="G1489" s="120"/>
      <c r="H1489" s="120"/>
    </row>
    <row r="1490" spans="1:12" x14ac:dyDescent="0.25">
      <c r="A1490" s="1" t="s">
        <v>4</v>
      </c>
      <c r="B1490" s="2"/>
      <c r="C1490" s="2"/>
      <c r="D1490" s="2"/>
      <c r="E1490" s="2"/>
      <c r="F1490" s="2"/>
      <c r="G1490" s="3" t="s">
        <v>5</v>
      </c>
      <c r="H1490" s="3" t="s">
        <v>6</v>
      </c>
      <c r="I1490" s="4" t="s">
        <v>7</v>
      </c>
      <c r="J1490" s="5"/>
      <c r="K1490" s="5"/>
      <c r="L1490" s="5"/>
    </row>
    <row r="1491" spans="1:12" x14ac:dyDescent="0.25">
      <c r="A1491" s="28" t="s">
        <v>195</v>
      </c>
      <c r="B1491" s="29" t="s">
        <v>82</v>
      </c>
      <c r="C1491" s="67" t="s">
        <v>45</v>
      </c>
      <c r="D1491" s="66"/>
      <c r="E1491" s="2"/>
      <c r="F1491" s="2"/>
      <c r="G1491" s="28" t="s">
        <v>155</v>
      </c>
      <c r="H1491" s="66"/>
      <c r="I1491" s="33"/>
      <c r="J1491" s="6"/>
      <c r="K1491" s="33"/>
      <c r="L1491" s="6"/>
    </row>
    <row r="1492" spans="1:12" x14ac:dyDescent="0.25">
      <c r="A1492" s="7" t="s">
        <v>2</v>
      </c>
      <c r="B1492" s="5"/>
      <c r="C1492" s="5"/>
      <c r="D1492" s="5"/>
      <c r="E1492" s="5"/>
      <c r="F1492" s="5"/>
      <c r="G1492" s="8" t="s">
        <v>8</v>
      </c>
      <c r="H1492" s="31"/>
      <c r="I1492" s="5"/>
      <c r="J1492" s="5"/>
      <c r="K1492" s="5"/>
      <c r="L1492" s="5"/>
    </row>
    <row r="1493" spans="1:12" x14ac:dyDescent="0.25">
      <c r="A1493" s="7" t="s">
        <v>25</v>
      </c>
      <c r="B1493" s="5"/>
      <c r="C1493" s="7" t="s">
        <v>0</v>
      </c>
      <c r="D1493" s="5"/>
      <c r="E1493" s="5"/>
      <c r="F1493" s="5"/>
      <c r="G1493" s="7" t="s">
        <v>25</v>
      </c>
      <c r="H1493" s="5"/>
      <c r="I1493" s="7" t="s">
        <v>0</v>
      </c>
      <c r="J1493" s="5"/>
      <c r="K1493" s="5"/>
      <c r="L1493" s="5"/>
    </row>
    <row r="1494" spans="1:12" x14ac:dyDescent="0.25">
      <c r="A1494" s="42" t="s">
        <v>188</v>
      </c>
      <c r="B1494" s="6"/>
      <c r="C1494" s="31">
        <f>L1454</f>
        <v>504804</v>
      </c>
      <c r="D1494" s="5"/>
      <c r="E1494" s="5"/>
      <c r="F1494" s="5"/>
      <c r="G1494" s="42" t="s">
        <v>191</v>
      </c>
      <c r="H1494" s="6"/>
      <c r="I1494" s="9"/>
      <c r="J1494" s="5"/>
      <c r="K1494" s="5"/>
      <c r="L1494" s="5"/>
    </row>
    <row r="1495" spans="1:12" ht="16.5" thickBot="1" x14ac:dyDescent="0.3">
      <c r="A1495" s="58"/>
      <c r="B1495" s="5"/>
      <c r="C1495" s="5"/>
      <c r="D1495" s="5"/>
      <c r="E1495" s="5"/>
      <c r="F1495" s="5"/>
      <c r="G1495" s="10"/>
      <c r="H1495" s="5"/>
      <c r="I1495" s="5"/>
      <c r="J1495" s="5"/>
      <c r="K1495" s="5"/>
      <c r="L1495" s="5"/>
    </row>
    <row r="1496" spans="1:12" ht="15.75" thickBot="1" x14ac:dyDescent="0.3">
      <c r="A1496" s="121" t="s">
        <v>9</v>
      </c>
      <c r="B1496" s="122"/>
      <c r="C1496" s="123"/>
      <c r="D1496" s="5"/>
      <c r="E1496" s="5"/>
      <c r="F1496" s="5"/>
      <c r="G1496" s="121" t="s">
        <v>26</v>
      </c>
      <c r="H1496" s="122"/>
      <c r="I1496" s="123"/>
      <c r="J1496" s="5"/>
      <c r="K1496" s="5"/>
      <c r="L1496" s="5"/>
    </row>
    <row r="1497" spans="1:12" x14ac:dyDescent="0.25">
      <c r="A1497" s="30" t="s">
        <v>38</v>
      </c>
      <c r="B1497" s="11"/>
      <c r="C1497" s="11"/>
      <c r="D1497" s="11"/>
      <c r="E1497" s="6"/>
      <c r="F1497" s="5"/>
      <c r="G1497" s="30" t="str">
        <f>A1500</f>
        <v>Johannesburg</v>
      </c>
      <c r="H1497" s="11"/>
      <c r="I1497" s="11"/>
      <c r="J1497" s="11"/>
      <c r="K1497" s="11"/>
      <c r="L1497" s="6"/>
    </row>
    <row r="1498" spans="1:12" ht="15.75" thickBot="1" x14ac:dyDescent="0.3">
      <c r="A1498" s="7"/>
      <c r="B1498" s="7"/>
      <c r="C1498" s="7"/>
      <c r="D1498" s="5"/>
      <c r="E1498" s="5"/>
      <c r="F1498" s="5"/>
      <c r="G1498" s="7" t="s">
        <v>3</v>
      </c>
      <c r="H1498" s="7"/>
      <c r="I1498" s="7"/>
      <c r="J1498" s="5"/>
      <c r="K1498" s="5"/>
      <c r="L1498" s="5"/>
    </row>
    <row r="1499" spans="1:12" ht="15.75" thickBot="1" x14ac:dyDescent="0.3">
      <c r="A1499" s="121" t="s">
        <v>30</v>
      </c>
      <c r="B1499" s="122"/>
      <c r="C1499" s="124"/>
      <c r="D1499" s="12" t="s">
        <v>1</v>
      </c>
      <c r="E1499" s="32"/>
      <c r="F1499" s="5"/>
      <c r="G1499" s="121" t="s">
        <v>27</v>
      </c>
      <c r="H1499" s="122"/>
      <c r="I1499" s="123"/>
      <c r="J1499" s="5"/>
      <c r="K1499" s="12" t="s">
        <v>1</v>
      </c>
      <c r="L1499" s="32">
        <v>509525</v>
      </c>
    </row>
    <row r="1500" spans="1:12" x14ac:dyDescent="0.25">
      <c r="A1500" s="34" t="s">
        <v>68</v>
      </c>
      <c r="B1500" s="14"/>
      <c r="C1500" s="11"/>
      <c r="D1500" s="11"/>
      <c r="E1500" s="6"/>
      <c r="F1500" s="5"/>
      <c r="G1500" s="34" t="str">
        <f>A1497</f>
        <v>Windhoek</v>
      </c>
      <c r="H1500" s="11"/>
      <c r="I1500" s="11"/>
      <c r="J1500" s="11"/>
      <c r="K1500" s="11"/>
      <c r="L1500" s="6"/>
    </row>
    <row r="1501" spans="1:12" x14ac:dyDescent="0.25">
      <c r="A1501" s="13" t="s">
        <v>196</v>
      </c>
      <c r="B1501" s="11"/>
      <c r="C1501" s="11"/>
      <c r="D1501" s="11"/>
      <c r="E1501" s="6"/>
      <c r="F1501" s="5"/>
      <c r="G1501" s="13"/>
      <c r="H1501" s="11"/>
      <c r="I1501" s="11"/>
      <c r="J1501" s="11"/>
      <c r="K1501" s="11"/>
      <c r="L1501" s="6"/>
    </row>
    <row r="1502" spans="1:12" x14ac:dyDescent="0.25">
      <c r="A1502" s="13"/>
      <c r="B1502" s="11"/>
      <c r="C1502" s="11"/>
      <c r="D1502" s="11"/>
      <c r="E1502" s="6"/>
      <c r="F1502" s="5"/>
      <c r="G1502" s="13"/>
      <c r="H1502" s="11"/>
      <c r="I1502" s="11"/>
      <c r="J1502" s="11"/>
      <c r="K1502" s="11"/>
      <c r="L1502" s="6"/>
    </row>
    <row r="1503" spans="1:12" x14ac:dyDescent="0.25">
      <c r="A1503" s="13"/>
      <c r="B1503" s="11"/>
      <c r="C1503" s="11"/>
      <c r="D1503" s="11"/>
      <c r="E1503" s="6"/>
      <c r="F1503" s="5"/>
      <c r="G1503" s="13"/>
      <c r="H1503" s="11"/>
      <c r="I1503" s="11"/>
      <c r="J1503" s="11"/>
      <c r="K1503" s="11"/>
      <c r="L1503" s="6"/>
    </row>
    <row r="1504" spans="1:12" ht="15.75" thickBot="1" x14ac:dyDescent="0.3">
      <c r="A1504" s="13"/>
      <c r="B1504" s="11"/>
      <c r="C1504" s="11" t="s">
        <v>29</v>
      </c>
      <c r="D1504" s="43"/>
      <c r="E1504" s="6"/>
      <c r="F1504" s="5"/>
      <c r="G1504" s="13"/>
      <c r="H1504" s="11"/>
      <c r="I1504" s="14" t="s">
        <v>28</v>
      </c>
      <c r="J1504" s="43"/>
      <c r="K1504" s="11"/>
      <c r="L1504" s="6"/>
    </row>
    <row r="1505" spans="1:12" ht="15.75" thickBot="1" x14ac:dyDescent="0.3">
      <c r="A1505" s="15" t="s">
        <v>10</v>
      </c>
      <c r="B1505" s="5"/>
      <c r="C1505" s="5"/>
      <c r="D1505" s="5"/>
      <c r="E1505" s="5"/>
      <c r="F1505" s="5"/>
      <c r="G1505" s="15" t="s">
        <v>14</v>
      </c>
      <c r="H1505" s="5"/>
      <c r="I1505" s="5"/>
      <c r="J1505" s="5"/>
      <c r="K1505" s="5"/>
      <c r="L1505" s="5"/>
    </row>
    <row r="1506" spans="1:12" ht="15.75" thickBot="1" x14ac:dyDescent="0.3">
      <c r="A1506" s="121" t="s">
        <v>11</v>
      </c>
      <c r="B1506" s="122"/>
      <c r="C1506" s="123"/>
      <c r="D1506" s="16" t="s">
        <v>12</v>
      </c>
      <c r="E1506" s="16" t="s">
        <v>13</v>
      </c>
      <c r="F1506" s="5"/>
      <c r="G1506" s="121" t="s">
        <v>15</v>
      </c>
      <c r="H1506" s="122"/>
      <c r="I1506" s="123"/>
      <c r="J1506" s="121" t="s">
        <v>13</v>
      </c>
      <c r="K1506" s="123"/>
      <c r="L1506" s="5"/>
    </row>
    <row r="1507" spans="1:12" x14ac:dyDescent="0.25">
      <c r="A1507" s="41">
        <v>44815</v>
      </c>
      <c r="B1507" s="36" t="s">
        <v>46</v>
      </c>
      <c r="C1507" s="37"/>
      <c r="D1507" s="50">
        <v>306.49</v>
      </c>
      <c r="E1507" s="51">
        <v>7570.3</v>
      </c>
      <c r="F1507" s="44">
        <f t="shared" ref="F1507:F1512" si="32">E1507/D1507</f>
        <v>24.699990211752421</v>
      </c>
      <c r="G1507" s="125" t="s">
        <v>50</v>
      </c>
      <c r="H1507" s="126"/>
      <c r="I1507" s="127"/>
      <c r="J1507" s="128">
        <v>303</v>
      </c>
      <c r="K1507" s="129"/>
      <c r="L1507" s="5"/>
    </row>
    <row r="1508" spans="1:12" x14ac:dyDescent="0.25">
      <c r="A1508" s="48">
        <v>44845</v>
      </c>
      <c r="B1508" s="35" t="s">
        <v>56</v>
      </c>
      <c r="C1508" s="39"/>
      <c r="D1508" s="52">
        <v>460.00700000000001</v>
      </c>
      <c r="E1508" s="53">
        <v>11398.82</v>
      </c>
      <c r="F1508" s="44">
        <f t="shared" si="32"/>
        <v>24.779666396380925</v>
      </c>
      <c r="G1508" s="110" t="s">
        <v>59</v>
      </c>
      <c r="H1508" s="111"/>
      <c r="I1508" s="112"/>
      <c r="J1508" s="113"/>
      <c r="K1508" s="114"/>
      <c r="L1508" s="5"/>
    </row>
    <row r="1509" spans="1:12" x14ac:dyDescent="0.25">
      <c r="A1509" s="48" t="s">
        <v>191</v>
      </c>
      <c r="B1509" s="35" t="s">
        <v>67</v>
      </c>
      <c r="C1509" s="39"/>
      <c r="D1509" s="52">
        <f>331.25+331.25+28.1</f>
        <v>690.6</v>
      </c>
      <c r="E1509" s="53">
        <f>9000.05+9000.05+763.5</f>
        <v>18763.599999999999</v>
      </c>
      <c r="F1509" s="44">
        <f t="shared" si="32"/>
        <v>27.16999710396756</v>
      </c>
      <c r="G1509" s="110" t="s">
        <v>61</v>
      </c>
      <c r="H1509" s="111"/>
      <c r="I1509" s="112"/>
      <c r="J1509" s="113"/>
      <c r="K1509" s="114"/>
      <c r="L1509" s="5"/>
    </row>
    <row r="1510" spans="1:12" x14ac:dyDescent="0.25">
      <c r="A1510" s="48" t="s">
        <v>198</v>
      </c>
      <c r="B1510" s="35" t="s">
        <v>47</v>
      </c>
      <c r="C1510" s="39"/>
      <c r="D1510" s="52">
        <v>300</v>
      </c>
      <c r="E1510" s="53">
        <v>7359</v>
      </c>
      <c r="F1510" s="44">
        <f t="shared" si="32"/>
        <v>24.53</v>
      </c>
      <c r="G1510" s="110" t="s">
        <v>51</v>
      </c>
      <c r="H1510" s="111"/>
      <c r="I1510" s="112"/>
      <c r="J1510" s="113"/>
      <c r="K1510" s="114"/>
      <c r="L1510" s="5"/>
    </row>
    <row r="1511" spans="1:12" x14ac:dyDescent="0.25">
      <c r="A1511" s="27" t="s">
        <v>190</v>
      </c>
      <c r="B1511" s="11" t="s">
        <v>53</v>
      </c>
      <c r="C1511" s="6"/>
      <c r="D1511" s="54">
        <v>535.64</v>
      </c>
      <c r="E1511" s="55">
        <v>12951.8</v>
      </c>
      <c r="F1511" s="44">
        <f t="shared" si="32"/>
        <v>24.180046299753567</v>
      </c>
      <c r="G1511" s="110" t="s">
        <v>58</v>
      </c>
      <c r="H1511" s="111"/>
      <c r="I1511" s="112"/>
      <c r="J1511" s="113"/>
      <c r="K1511" s="114"/>
      <c r="L1511" s="5"/>
    </row>
    <row r="1512" spans="1:12" x14ac:dyDescent="0.25">
      <c r="A1512" s="68"/>
      <c r="B1512" s="11"/>
      <c r="C1512" s="6"/>
      <c r="D1512" s="54"/>
      <c r="E1512" s="55"/>
      <c r="F1512" s="44" t="e">
        <f t="shared" si="32"/>
        <v>#DIV/0!</v>
      </c>
      <c r="G1512" s="110" t="s">
        <v>51</v>
      </c>
      <c r="H1512" s="111"/>
      <c r="I1512" s="112"/>
      <c r="J1512" s="113"/>
      <c r="K1512" s="114"/>
      <c r="L1512" s="5"/>
    </row>
    <row r="1513" spans="1:12" ht="15.75" thickBot="1" x14ac:dyDescent="0.3">
      <c r="A1513" s="5"/>
      <c r="B1513" s="5"/>
      <c r="C1513" s="7" t="s">
        <v>35</v>
      </c>
      <c r="D1513" s="17">
        <f>D1507+D1508+D1509+D1510+D1511+D1512</f>
        <v>2292.7370000000001</v>
      </c>
      <c r="E1513" s="17">
        <f>E1507+E1508+E1509+E1510+E1511+E1512</f>
        <v>58043.520000000004</v>
      </c>
      <c r="F1513" s="5"/>
      <c r="G1513" s="77"/>
      <c r="H1513" s="78" t="s">
        <v>69</v>
      </c>
      <c r="I1513" s="79"/>
      <c r="J1513" s="113"/>
      <c r="K1513" s="114"/>
      <c r="L1513" s="7" t="s">
        <v>36</v>
      </c>
    </row>
    <row r="1514" spans="1:12" ht="15.75" thickBot="1" x14ac:dyDescent="0.3">
      <c r="A1514" s="5"/>
      <c r="B1514" s="5"/>
      <c r="C1514" s="5"/>
      <c r="D1514" s="5"/>
      <c r="E1514" s="5"/>
      <c r="F1514" s="5"/>
      <c r="G1514" s="77"/>
      <c r="H1514" s="78" t="s">
        <v>72</v>
      </c>
      <c r="I1514" s="79"/>
      <c r="J1514" s="113"/>
      <c r="K1514" s="114"/>
      <c r="L1514" s="18">
        <f>J1507+J1508+J1509+J1510+J1511+J1512+J1513+J1514</f>
        <v>303</v>
      </c>
    </row>
    <row r="1515" spans="1:12" ht="15.75" thickBot="1" x14ac:dyDescent="0.3">
      <c r="A1515" s="5"/>
      <c r="B1515" s="5"/>
      <c r="C1515" s="5"/>
      <c r="D1515" s="5"/>
      <c r="E1515" s="5"/>
      <c r="F1515" s="5"/>
      <c r="G1515" s="110" t="s">
        <v>73</v>
      </c>
      <c r="H1515" s="111"/>
      <c r="I1515" s="112"/>
      <c r="J1515" s="113"/>
      <c r="K1515" s="114"/>
      <c r="L1515" s="5"/>
    </row>
    <row r="1516" spans="1:12" ht="15.75" thickBot="1" x14ac:dyDescent="0.3">
      <c r="A1516" s="19"/>
      <c r="B1516" s="20"/>
      <c r="C1516" s="20"/>
      <c r="D1516" s="20"/>
      <c r="E1516" s="21" t="s">
        <v>13</v>
      </c>
      <c r="F1516" s="5"/>
      <c r="G1516" s="19"/>
      <c r="H1516" s="20"/>
      <c r="I1516" s="20"/>
      <c r="J1516" s="20"/>
      <c r="K1516" s="21" t="s">
        <v>13</v>
      </c>
      <c r="L1516" s="5"/>
    </row>
    <row r="1517" spans="1:12" x14ac:dyDescent="0.25">
      <c r="A1517" s="22" t="s">
        <v>31</v>
      </c>
      <c r="B1517" s="115">
        <v>32000</v>
      </c>
      <c r="C1517" s="116"/>
      <c r="D1517" s="116"/>
      <c r="E1517" s="117"/>
      <c r="F1517" s="5"/>
      <c r="G1517" s="22" t="s">
        <v>32</v>
      </c>
      <c r="H1517" s="115">
        <v>53500</v>
      </c>
      <c r="I1517" s="116"/>
      <c r="J1517" s="116"/>
      <c r="K1517" s="117"/>
      <c r="L1517" s="5"/>
    </row>
    <row r="1518" spans="1:12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</row>
    <row r="1519" spans="1:12" x14ac:dyDescent="0.25">
      <c r="A1519" s="7" t="s">
        <v>16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</row>
    <row r="1520" spans="1:12" x14ac:dyDescent="0.25">
      <c r="A1520" s="9" t="s">
        <v>17</v>
      </c>
      <c r="B1520" s="23">
        <f>L1499-C1494</f>
        <v>4721</v>
      </c>
      <c r="C1520" s="5"/>
      <c r="D1520" s="106" t="s">
        <v>18</v>
      </c>
      <c r="E1520" s="107"/>
      <c r="F1520" s="24" t="s">
        <v>19</v>
      </c>
      <c r="G1520" s="9" t="s">
        <v>20</v>
      </c>
      <c r="H1520" s="118">
        <f>B1517+H1517</f>
        <v>85500</v>
      </c>
      <c r="I1520" s="119"/>
      <c r="J1520" s="5"/>
      <c r="K1520" s="5"/>
      <c r="L1520" s="5"/>
    </row>
    <row r="1521" spans="1:12" x14ac:dyDescent="0.25">
      <c r="A1521" s="9" t="s">
        <v>41</v>
      </c>
      <c r="B1521" s="40">
        <f>B1520/D1513</f>
        <v>2.0591110101158572</v>
      </c>
      <c r="C1521" s="5"/>
      <c r="D1521" s="102">
        <f>E1513</f>
        <v>58043.520000000004</v>
      </c>
      <c r="E1521" s="103"/>
      <c r="F1521" s="25">
        <f>H1521/B1520</f>
        <v>14.378123278966322</v>
      </c>
      <c r="G1521" s="9" t="s">
        <v>21</v>
      </c>
      <c r="H1521" s="104">
        <f>L1514+D1521+D1523+D1525+D1527+A1524</f>
        <v>67879.12000000001</v>
      </c>
      <c r="I1521" s="105"/>
      <c r="J1521" s="5"/>
      <c r="K1521" s="5"/>
      <c r="L1521" s="5"/>
    </row>
    <row r="1522" spans="1:12" x14ac:dyDescent="0.25">
      <c r="A1522" s="9" t="s">
        <v>43</v>
      </c>
      <c r="B1522" s="23">
        <f>D1513/B1520</f>
        <v>0.48564647320482951</v>
      </c>
      <c r="C1522" s="5"/>
      <c r="D1522" s="106" t="s">
        <v>33</v>
      </c>
      <c r="E1522" s="107"/>
      <c r="F1522" s="5"/>
      <c r="G1522" s="13" t="s">
        <v>22</v>
      </c>
      <c r="H1522" s="6"/>
      <c r="I1522" s="26">
        <f>H1520-H1521</f>
        <v>17620.87999999999</v>
      </c>
      <c r="J1522" s="5"/>
      <c r="K1522" s="5"/>
      <c r="L1522" s="5"/>
    </row>
    <row r="1523" spans="1:12" x14ac:dyDescent="0.25">
      <c r="A1523" s="106" t="s">
        <v>40</v>
      </c>
      <c r="B1523" s="107"/>
      <c r="C1523" s="5"/>
      <c r="D1523" s="108">
        <f>1600+600</f>
        <v>2200</v>
      </c>
      <c r="E1523" s="109"/>
      <c r="F1523" s="5"/>
      <c r="G1523" s="5"/>
      <c r="H1523" s="5">
        <v>17620</v>
      </c>
      <c r="I1523" s="5">
        <v>6500</v>
      </c>
      <c r="J1523" s="5" t="s">
        <v>197</v>
      </c>
      <c r="K1523" s="5"/>
      <c r="L1523" s="5"/>
    </row>
    <row r="1524" spans="1:12" x14ac:dyDescent="0.25">
      <c r="A1524" s="108">
        <f>B1520*0.6</f>
        <v>2832.6</v>
      </c>
      <c r="B1524" s="109"/>
      <c r="C1524" s="5"/>
      <c r="D1524" s="106" t="s">
        <v>34</v>
      </c>
      <c r="E1524" s="107"/>
      <c r="F1524" s="5"/>
      <c r="G1524" s="5"/>
      <c r="H1524" s="5"/>
      <c r="I1524" s="44">
        <f>H1523-I1523</f>
        <v>11120</v>
      </c>
      <c r="J1524" s="5"/>
      <c r="K1524" s="5"/>
      <c r="L1524" s="5"/>
    </row>
    <row r="1525" spans="1:12" x14ac:dyDescent="0.25">
      <c r="A1525" s="5"/>
      <c r="B1525" s="5"/>
      <c r="C1525" s="5"/>
      <c r="D1525" s="108">
        <v>1000</v>
      </c>
      <c r="E1525" s="109"/>
      <c r="F1525" s="5"/>
      <c r="G1525" s="5"/>
      <c r="H1525" s="5"/>
      <c r="I1525" s="5"/>
      <c r="J1525" s="5"/>
      <c r="K1525" s="5"/>
      <c r="L1525" s="5"/>
    </row>
    <row r="1526" spans="1:12" x14ac:dyDescent="0.25">
      <c r="A1526" s="5"/>
      <c r="B1526" s="5"/>
      <c r="C1526" s="5"/>
      <c r="D1526" s="106" t="s">
        <v>37</v>
      </c>
      <c r="E1526" s="107"/>
      <c r="F1526" s="5"/>
      <c r="G1526" s="5"/>
      <c r="H1526" s="5"/>
      <c r="I1526" s="5"/>
      <c r="J1526" s="5"/>
      <c r="K1526" s="5"/>
      <c r="L1526" s="5"/>
    </row>
    <row r="1527" spans="1:12" x14ac:dyDescent="0.25">
      <c r="A1527" s="5"/>
      <c r="B1527" s="5"/>
      <c r="C1527" s="5"/>
      <c r="D1527" s="108">
        <v>3500</v>
      </c>
      <c r="E1527" s="109"/>
      <c r="F1527" s="5" t="s">
        <v>78</v>
      </c>
      <c r="G1527" s="5"/>
      <c r="H1527" s="5"/>
      <c r="I1527" s="44"/>
      <c r="J1527" s="5"/>
      <c r="K1527" s="5"/>
      <c r="L1527" s="5"/>
    </row>
    <row r="1528" spans="1:12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</row>
    <row r="1529" spans="1:12" x14ac:dyDescent="0.25">
      <c r="A1529" s="5" t="s">
        <v>23</v>
      </c>
      <c r="B1529" s="5" t="s">
        <v>54</v>
      </c>
      <c r="C1529" s="5"/>
      <c r="D1529" s="5"/>
      <c r="E1529" s="5"/>
      <c r="F1529" s="5"/>
      <c r="G1529" s="5"/>
      <c r="H1529" s="5"/>
      <c r="I1529" s="5"/>
      <c r="J1529" s="5"/>
      <c r="K1529" s="5"/>
      <c r="L1529" s="5"/>
    </row>
    <row r="1530" spans="1:12" s="49" customFormat="1" x14ac:dyDescent="0.25"/>
    <row r="1533" spans="1:12" x14ac:dyDescent="0.25">
      <c r="A1533" s="120" t="s">
        <v>24</v>
      </c>
      <c r="B1533" s="120"/>
      <c r="C1533" s="120"/>
      <c r="D1533" s="120"/>
      <c r="E1533" s="120"/>
      <c r="F1533" s="120"/>
      <c r="G1533" s="120"/>
      <c r="H1533" s="120"/>
    </row>
    <row r="1534" spans="1:12" x14ac:dyDescent="0.25">
      <c r="A1534" s="120"/>
      <c r="B1534" s="120"/>
      <c r="C1534" s="120"/>
      <c r="D1534" s="120"/>
      <c r="E1534" s="120"/>
      <c r="F1534" s="120"/>
      <c r="G1534" s="120"/>
      <c r="H1534" s="120"/>
    </row>
    <row r="1535" spans="1:12" x14ac:dyDescent="0.25">
      <c r="A1535" s="1" t="s">
        <v>4</v>
      </c>
      <c r="B1535" s="2"/>
      <c r="C1535" s="2"/>
      <c r="D1535" s="2"/>
      <c r="E1535" s="2"/>
      <c r="F1535" s="2"/>
      <c r="G1535" s="3" t="s">
        <v>5</v>
      </c>
      <c r="H1535" s="3" t="s">
        <v>6</v>
      </c>
      <c r="I1535" s="4" t="s">
        <v>7</v>
      </c>
      <c r="J1535" s="5"/>
      <c r="K1535" s="5"/>
      <c r="L1535" s="5"/>
    </row>
    <row r="1536" spans="1:12" x14ac:dyDescent="0.25">
      <c r="A1536" s="28" t="s">
        <v>195</v>
      </c>
      <c r="B1536" s="29" t="s">
        <v>82</v>
      </c>
      <c r="C1536" s="67" t="s">
        <v>45</v>
      </c>
      <c r="D1536" s="66"/>
      <c r="E1536" s="2"/>
      <c r="F1536" s="2"/>
      <c r="G1536" s="28" t="s">
        <v>155</v>
      </c>
      <c r="H1536" s="66"/>
      <c r="I1536" s="33"/>
      <c r="J1536" s="6"/>
      <c r="K1536" s="33"/>
      <c r="L1536" s="6"/>
    </row>
    <row r="1537" spans="1:12" x14ac:dyDescent="0.25">
      <c r="A1537" s="7" t="s">
        <v>2</v>
      </c>
      <c r="B1537" s="5"/>
      <c r="C1537" s="5"/>
      <c r="D1537" s="5"/>
      <c r="E1537" s="5"/>
      <c r="F1537" s="5"/>
      <c r="G1537" s="8" t="s">
        <v>8</v>
      </c>
      <c r="H1537" s="31"/>
      <c r="I1537" s="5"/>
      <c r="J1537" s="5"/>
      <c r="K1537" s="5"/>
      <c r="L1537" s="5"/>
    </row>
    <row r="1538" spans="1:12" x14ac:dyDescent="0.25">
      <c r="A1538" s="7" t="s">
        <v>25</v>
      </c>
      <c r="B1538" s="5"/>
      <c r="C1538" s="7" t="s">
        <v>0</v>
      </c>
      <c r="D1538" s="5"/>
      <c r="E1538" s="5"/>
      <c r="F1538" s="5"/>
      <c r="G1538" s="7" t="s">
        <v>25</v>
      </c>
      <c r="H1538" s="5"/>
      <c r="I1538" s="7" t="s">
        <v>0</v>
      </c>
      <c r="J1538" s="5"/>
      <c r="K1538" s="5"/>
      <c r="L1538" s="5"/>
    </row>
    <row r="1539" spans="1:12" x14ac:dyDescent="0.25">
      <c r="A1539" s="42" t="s">
        <v>199</v>
      </c>
      <c r="B1539" s="6"/>
      <c r="C1539" s="31">
        <f>L1499</f>
        <v>509525</v>
      </c>
      <c r="D1539" s="5"/>
      <c r="E1539" s="5"/>
      <c r="F1539" s="5"/>
      <c r="G1539" s="42" t="s">
        <v>191</v>
      </c>
      <c r="H1539" s="6"/>
      <c r="I1539" s="9"/>
      <c r="J1539" s="5"/>
      <c r="K1539" s="5"/>
      <c r="L1539" s="5"/>
    </row>
    <row r="1540" spans="1:12" ht="16.5" thickBot="1" x14ac:dyDescent="0.3">
      <c r="A1540" s="58"/>
      <c r="B1540" s="5"/>
      <c r="C1540" s="5"/>
      <c r="D1540" s="5"/>
      <c r="E1540" s="5"/>
      <c r="F1540" s="5"/>
      <c r="G1540" s="10"/>
      <c r="H1540" s="5"/>
      <c r="I1540" s="5"/>
      <c r="J1540" s="5"/>
      <c r="K1540" s="5"/>
      <c r="L1540" s="5"/>
    </row>
    <row r="1541" spans="1:12" ht="15.75" thickBot="1" x14ac:dyDescent="0.3">
      <c r="A1541" s="121" t="s">
        <v>9</v>
      </c>
      <c r="B1541" s="122"/>
      <c r="C1541" s="123"/>
      <c r="D1541" s="5"/>
      <c r="E1541" s="5"/>
      <c r="F1541" s="5"/>
      <c r="G1541" s="121" t="s">
        <v>26</v>
      </c>
      <c r="H1541" s="122"/>
      <c r="I1541" s="123"/>
      <c r="J1541" s="5"/>
      <c r="K1541" s="5"/>
      <c r="L1541" s="5"/>
    </row>
    <row r="1542" spans="1:12" x14ac:dyDescent="0.25">
      <c r="A1542" s="30" t="s">
        <v>38</v>
      </c>
      <c r="B1542" s="11"/>
      <c r="C1542" s="11"/>
      <c r="D1542" s="11"/>
      <c r="E1542" s="6"/>
      <c r="F1542" s="5"/>
      <c r="G1542" s="30" t="str">
        <f>A1545</f>
        <v>Johannesburg</v>
      </c>
      <c r="H1542" s="11"/>
      <c r="I1542" s="11"/>
      <c r="J1542" s="11"/>
      <c r="K1542" s="11"/>
      <c r="L1542" s="6"/>
    </row>
    <row r="1543" spans="1:12" ht="15.75" thickBot="1" x14ac:dyDescent="0.3">
      <c r="A1543" s="7"/>
      <c r="B1543" s="7"/>
      <c r="C1543" s="7"/>
      <c r="D1543" s="5"/>
      <c r="E1543" s="5"/>
      <c r="F1543" s="5"/>
      <c r="G1543" s="7" t="s">
        <v>3</v>
      </c>
      <c r="H1543" s="7"/>
      <c r="I1543" s="7"/>
      <c r="J1543" s="5"/>
      <c r="K1543" s="5"/>
      <c r="L1543" s="5"/>
    </row>
    <row r="1544" spans="1:12" ht="15.75" thickBot="1" x14ac:dyDescent="0.3">
      <c r="A1544" s="121" t="s">
        <v>30</v>
      </c>
      <c r="B1544" s="122"/>
      <c r="C1544" s="124"/>
      <c r="D1544" s="12" t="s">
        <v>1</v>
      </c>
      <c r="E1544" s="32"/>
      <c r="F1544" s="5"/>
      <c r="G1544" s="121" t="s">
        <v>27</v>
      </c>
      <c r="H1544" s="122"/>
      <c r="I1544" s="123"/>
      <c r="J1544" s="5"/>
      <c r="K1544" s="12" t="s">
        <v>1</v>
      </c>
      <c r="L1544" s="32">
        <v>515192</v>
      </c>
    </row>
    <row r="1545" spans="1:12" x14ac:dyDescent="0.25">
      <c r="A1545" s="34" t="s">
        <v>68</v>
      </c>
      <c r="B1545" s="14"/>
      <c r="C1545" s="11"/>
      <c r="D1545" s="11"/>
      <c r="E1545" s="6"/>
      <c r="F1545" s="5"/>
      <c r="G1545" s="34" t="s">
        <v>208</v>
      </c>
      <c r="H1545" s="11"/>
      <c r="I1545" s="11"/>
      <c r="J1545" s="11"/>
      <c r="K1545" s="11"/>
      <c r="L1545" s="6"/>
    </row>
    <row r="1546" spans="1:12" x14ac:dyDescent="0.25">
      <c r="A1546" s="13" t="s">
        <v>206</v>
      </c>
      <c r="B1546" s="11"/>
      <c r="C1546" s="11"/>
      <c r="D1546" s="11"/>
      <c r="E1546" s="6"/>
      <c r="F1546" s="5"/>
      <c r="G1546" s="13"/>
      <c r="H1546" s="11"/>
      <c r="I1546" s="11"/>
      <c r="J1546" s="11"/>
      <c r="K1546" s="11"/>
      <c r="L1546" s="6"/>
    </row>
    <row r="1547" spans="1:12" x14ac:dyDescent="0.25">
      <c r="A1547" s="13" t="s">
        <v>207</v>
      </c>
      <c r="B1547" s="11"/>
      <c r="C1547" s="11"/>
      <c r="D1547" s="11"/>
      <c r="E1547" s="6"/>
      <c r="F1547" s="5"/>
      <c r="G1547" s="13"/>
      <c r="H1547" s="11"/>
      <c r="I1547" s="11"/>
      <c r="J1547" s="11"/>
      <c r="K1547" s="11"/>
      <c r="L1547" s="6"/>
    </row>
    <row r="1548" spans="1:12" x14ac:dyDescent="0.25">
      <c r="A1548" s="13"/>
      <c r="B1548" s="11"/>
      <c r="C1548" s="11"/>
      <c r="D1548" s="11"/>
      <c r="E1548" s="6"/>
      <c r="F1548" s="5"/>
      <c r="G1548" s="13"/>
      <c r="H1548" s="11"/>
      <c r="I1548" s="11"/>
      <c r="J1548" s="11"/>
      <c r="K1548" s="11"/>
      <c r="L1548" s="6"/>
    </row>
    <row r="1549" spans="1:12" ht="15.75" thickBot="1" x14ac:dyDescent="0.3">
      <c r="A1549" s="13"/>
      <c r="B1549" s="11"/>
      <c r="C1549" s="11" t="s">
        <v>29</v>
      </c>
      <c r="D1549" s="43"/>
      <c r="E1549" s="6"/>
      <c r="F1549" s="5"/>
      <c r="G1549" s="13"/>
      <c r="H1549" s="11"/>
      <c r="I1549" s="14" t="s">
        <v>28</v>
      </c>
      <c r="J1549" s="43"/>
      <c r="K1549" s="11"/>
      <c r="L1549" s="6"/>
    </row>
    <row r="1550" spans="1:12" ht="15.75" thickBot="1" x14ac:dyDescent="0.3">
      <c r="A1550" s="15" t="s">
        <v>10</v>
      </c>
      <c r="B1550" s="5"/>
      <c r="C1550" s="5"/>
      <c r="D1550" s="5"/>
      <c r="E1550" s="5"/>
      <c r="F1550" s="5"/>
      <c r="G1550" s="15" t="s">
        <v>14</v>
      </c>
      <c r="H1550" s="5"/>
      <c r="I1550" s="5"/>
      <c r="J1550" s="5"/>
      <c r="K1550" s="5"/>
      <c r="L1550" s="5"/>
    </row>
    <row r="1551" spans="1:12" ht="15.75" thickBot="1" x14ac:dyDescent="0.3">
      <c r="A1551" s="121" t="s">
        <v>11</v>
      </c>
      <c r="B1551" s="122"/>
      <c r="C1551" s="123"/>
      <c r="D1551" s="16" t="s">
        <v>12</v>
      </c>
      <c r="E1551" s="16" t="s">
        <v>13</v>
      </c>
      <c r="F1551" s="5"/>
      <c r="G1551" s="121" t="s">
        <v>15</v>
      </c>
      <c r="H1551" s="122"/>
      <c r="I1551" s="123"/>
      <c r="J1551" s="121" t="s">
        <v>13</v>
      </c>
      <c r="K1551" s="123"/>
      <c r="L1551" s="5"/>
    </row>
    <row r="1552" spans="1:12" x14ac:dyDescent="0.25">
      <c r="A1552" s="41" t="s">
        <v>199</v>
      </c>
      <c r="B1552" s="36" t="s">
        <v>56</v>
      </c>
      <c r="C1552" s="37"/>
      <c r="D1552" s="50">
        <v>607.00900000000001</v>
      </c>
      <c r="E1552" s="51">
        <v>15041.48</v>
      </c>
      <c r="F1552" s="44">
        <f t="shared" ref="F1552:F1557" si="33">E1552/D1552</f>
        <v>24.779665540379135</v>
      </c>
      <c r="G1552" s="125" t="s">
        <v>50</v>
      </c>
      <c r="H1552" s="126"/>
      <c r="I1552" s="127"/>
      <c r="J1552" s="128">
        <v>35</v>
      </c>
      <c r="K1552" s="129"/>
      <c r="L1552" s="5"/>
    </row>
    <row r="1553" spans="1:12" x14ac:dyDescent="0.25">
      <c r="A1553" s="48" t="s">
        <v>192</v>
      </c>
      <c r="B1553" s="35" t="s">
        <v>79</v>
      </c>
      <c r="C1553" s="39"/>
      <c r="D1553" s="52">
        <v>609.47900000000004</v>
      </c>
      <c r="E1553" s="53">
        <v>16559.55</v>
      </c>
      <c r="F1553" s="44">
        <f t="shared" si="33"/>
        <v>27.170009138953102</v>
      </c>
      <c r="G1553" s="110" t="s">
        <v>59</v>
      </c>
      <c r="H1553" s="111"/>
      <c r="I1553" s="112"/>
      <c r="J1553" s="113">
        <v>35</v>
      </c>
      <c r="K1553" s="114"/>
      <c r="L1553" s="5"/>
    </row>
    <row r="1554" spans="1:12" x14ac:dyDescent="0.25">
      <c r="A1554" s="48" t="s">
        <v>193</v>
      </c>
      <c r="B1554" s="35" t="s">
        <v>49</v>
      </c>
      <c r="C1554" s="39"/>
      <c r="D1554" s="52">
        <v>817.5</v>
      </c>
      <c r="E1554" s="53">
        <v>20110.5</v>
      </c>
      <c r="F1554" s="44">
        <f t="shared" si="33"/>
        <v>24.6</v>
      </c>
      <c r="G1554" s="110" t="s">
        <v>61</v>
      </c>
      <c r="H1554" s="111"/>
      <c r="I1554" s="112"/>
      <c r="J1554" s="113">
        <v>303</v>
      </c>
      <c r="K1554" s="114"/>
      <c r="L1554" s="5"/>
    </row>
    <row r="1555" spans="1:12" x14ac:dyDescent="0.25">
      <c r="A1555" s="48">
        <v>44604</v>
      </c>
      <c r="B1555" s="35" t="s">
        <v>47</v>
      </c>
      <c r="C1555" s="39"/>
      <c r="D1555" s="52">
        <v>733.8</v>
      </c>
      <c r="E1555" s="53">
        <v>18000.12</v>
      </c>
      <c r="F1555" s="44">
        <f t="shared" si="33"/>
        <v>24.530008176614881</v>
      </c>
      <c r="G1555" s="110" t="s">
        <v>51</v>
      </c>
      <c r="H1555" s="111"/>
      <c r="I1555" s="112"/>
      <c r="J1555" s="113"/>
      <c r="K1555" s="114"/>
      <c r="L1555" s="5"/>
    </row>
    <row r="1556" spans="1:12" x14ac:dyDescent="0.25">
      <c r="A1556" s="27"/>
      <c r="B1556" s="11"/>
      <c r="C1556" s="6"/>
      <c r="D1556" s="54"/>
      <c r="E1556" s="55"/>
      <c r="F1556" s="44" t="e">
        <f t="shared" si="33"/>
        <v>#DIV/0!</v>
      </c>
      <c r="G1556" s="110" t="s">
        <v>58</v>
      </c>
      <c r="H1556" s="111"/>
      <c r="I1556" s="112"/>
      <c r="J1556" s="113"/>
      <c r="K1556" s="114"/>
      <c r="L1556" s="5"/>
    </row>
    <row r="1557" spans="1:12" x14ac:dyDescent="0.25">
      <c r="A1557" s="68"/>
      <c r="B1557" s="11"/>
      <c r="C1557" s="6"/>
      <c r="D1557" s="54"/>
      <c r="E1557" s="55"/>
      <c r="F1557" s="44" t="e">
        <f t="shared" si="33"/>
        <v>#DIV/0!</v>
      </c>
      <c r="G1557" s="110" t="s">
        <v>51</v>
      </c>
      <c r="H1557" s="111"/>
      <c r="I1557" s="112"/>
      <c r="J1557" s="113"/>
      <c r="K1557" s="114"/>
      <c r="L1557" s="5"/>
    </row>
    <row r="1558" spans="1:12" ht="15.75" thickBot="1" x14ac:dyDescent="0.3">
      <c r="A1558" s="5"/>
      <c r="B1558" s="5"/>
      <c r="C1558" s="7" t="s">
        <v>35</v>
      </c>
      <c r="D1558" s="17">
        <f>SUM(D1552:D1557)</f>
        <v>2767.788</v>
      </c>
      <c r="E1558" s="17">
        <f>SUM(E1552:E1557)</f>
        <v>69711.649999999994</v>
      </c>
      <c r="F1558" s="5"/>
      <c r="G1558" s="77"/>
      <c r="H1558" s="78" t="s">
        <v>69</v>
      </c>
      <c r="I1558" s="79"/>
      <c r="J1558" s="113"/>
      <c r="K1558" s="114"/>
      <c r="L1558" s="7" t="s">
        <v>36</v>
      </c>
    </row>
    <row r="1559" spans="1:12" ht="15.75" thickBot="1" x14ac:dyDescent="0.3">
      <c r="A1559" s="5"/>
      <c r="B1559" s="5"/>
      <c r="C1559" s="5"/>
      <c r="D1559" s="5"/>
      <c r="E1559" s="5"/>
      <c r="F1559" s="5"/>
      <c r="G1559" s="77"/>
      <c r="H1559" s="78" t="s">
        <v>72</v>
      </c>
      <c r="I1559" s="79"/>
      <c r="J1559" s="113"/>
      <c r="K1559" s="114"/>
      <c r="L1559" s="18">
        <f>J1552+J1553+J1554+J1555+J1556+J1557+J1558+J1559</f>
        <v>373</v>
      </c>
    </row>
    <row r="1560" spans="1:12" ht="15.75" thickBot="1" x14ac:dyDescent="0.3">
      <c r="A1560" s="5"/>
      <c r="B1560" s="5"/>
      <c r="C1560" s="5"/>
      <c r="D1560" s="5"/>
      <c r="E1560" s="5"/>
      <c r="F1560" s="5"/>
      <c r="G1560" s="110" t="s">
        <v>73</v>
      </c>
      <c r="H1560" s="111"/>
      <c r="I1560" s="112"/>
      <c r="J1560" s="113"/>
      <c r="K1560" s="114"/>
      <c r="L1560" s="5"/>
    </row>
    <row r="1561" spans="1:12" ht="15.75" thickBot="1" x14ac:dyDescent="0.3">
      <c r="A1561" s="19"/>
      <c r="B1561" s="20"/>
      <c r="C1561" s="20"/>
      <c r="D1561" s="20"/>
      <c r="E1561" s="21" t="s">
        <v>13</v>
      </c>
      <c r="F1561" s="5"/>
      <c r="G1561" s="19"/>
      <c r="H1561" s="20"/>
      <c r="I1561" s="20"/>
      <c r="J1561" s="20"/>
      <c r="K1561" s="21" t="s">
        <v>13</v>
      </c>
      <c r="L1561" s="5"/>
    </row>
    <row r="1562" spans="1:12" x14ac:dyDescent="0.25">
      <c r="A1562" s="22" t="s">
        <v>31</v>
      </c>
      <c r="B1562" s="115">
        <v>25000</v>
      </c>
      <c r="C1562" s="116"/>
      <c r="D1562" s="116"/>
      <c r="E1562" s="117"/>
      <c r="F1562" s="5"/>
      <c r="G1562" s="22" t="s">
        <v>32</v>
      </c>
      <c r="H1562" s="115">
        <v>70500</v>
      </c>
      <c r="I1562" s="116"/>
      <c r="J1562" s="116"/>
      <c r="K1562" s="117"/>
      <c r="L1562" s="5"/>
    </row>
    <row r="1563" spans="1:12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</row>
    <row r="1564" spans="1:12" x14ac:dyDescent="0.25">
      <c r="A1564" s="7" t="s">
        <v>16</v>
      </c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</row>
    <row r="1565" spans="1:12" x14ac:dyDescent="0.25">
      <c r="A1565" s="9" t="s">
        <v>17</v>
      </c>
      <c r="B1565" s="23">
        <f>L1544-C1539</f>
        <v>5667</v>
      </c>
      <c r="C1565" s="5"/>
      <c r="D1565" s="106" t="s">
        <v>18</v>
      </c>
      <c r="E1565" s="107"/>
      <c r="F1565" s="24" t="s">
        <v>19</v>
      </c>
      <c r="G1565" s="9" t="s">
        <v>20</v>
      </c>
      <c r="H1565" s="118">
        <f>B1562+H1562</f>
        <v>95500</v>
      </c>
      <c r="I1565" s="119"/>
      <c r="J1565" s="5"/>
      <c r="K1565" s="5"/>
      <c r="L1565" s="5"/>
    </row>
    <row r="1566" spans="1:12" x14ac:dyDescent="0.25">
      <c r="A1566" s="9" t="s">
        <v>41</v>
      </c>
      <c r="B1566" s="40">
        <f>B1565/D1558</f>
        <v>2.0474834055209432</v>
      </c>
      <c r="C1566" s="5"/>
      <c r="D1566" s="102">
        <f>E1558</f>
        <v>69711.649999999994</v>
      </c>
      <c r="E1566" s="103"/>
      <c r="F1566" s="25">
        <f>H1566/B1565</f>
        <v>13.867098994176812</v>
      </c>
      <c r="G1566" s="9" t="s">
        <v>21</v>
      </c>
      <c r="H1566" s="104">
        <f>L1559+D1566+D1568+D1570+D1572+A1569</f>
        <v>78584.849999999991</v>
      </c>
      <c r="I1566" s="105"/>
      <c r="J1566" s="5"/>
      <c r="K1566" s="5"/>
      <c r="L1566" s="5"/>
    </row>
    <row r="1567" spans="1:12" x14ac:dyDescent="0.25">
      <c r="A1567" s="9" t="s">
        <v>43</v>
      </c>
      <c r="B1567" s="23">
        <f>D1558/B1565</f>
        <v>0.4884044467972472</v>
      </c>
      <c r="C1567" s="5"/>
      <c r="D1567" s="106" t="s">
        <v>33</v>
      </c>
      <c r="E1567" s="107"/>
      <c r="F1567" s="5"/>
      <c r="G1567" s="13" t="s">
        <v>22</v>
      </c>
      <c r="H1567" s="6"/>
      <c r="I1567" s="26">
        <f>H1565-H1566</f>
        <v>16915.150000000009</v>
      </c>
      <c r="J1567" s="5"/>
      <c r="K1567" s="5"/>
      <c r="L1567" s="5"/>
    </row>
    <row r="1568" spans="1:12" x14ac:dyDescent="0.25">
      <c r="A1568" s="106" t="s">
        <v>40</v>
      </c>
      <c r="B1568" s="107"/>
      <c r="C1568" s="5"/>
      <c r="D1568" s="108">
        <v>1600</v>
      </c>
      <c r="E1568" s="109"/>
      <c r="F1568" s="5"/>
      <c r="G1568" s="5"/>
      <c r="H1568" s="5"/>
      <c r="I1568" s="5"/>
      <c r="J1568" s="5"/>
      <c r="K1568" s="5"/>
      <c r="L1568" s="5"/>
    </row>
    <row r="1569" spans="1:12" x14ac:dyDescent="0.25">
      <c r="A1569" s="108">
        <f>B1565*0.6</f>
        <v>3400.2</v>
      </c>
      <c r="B1569" s="109"/>
      <c r="C1569" s="5"/>
      <c r="D1569" s="106" t="s">
        <v>34</v>
      </c>
      <c r="E1569" s="107"/>
      <c r="F1569" s="5"/>
      <c r="G1569" s="5"/>
      <c r="H1569" s="5"/>
      <c r="I1569" s="44"/>
      <c r="J1569" s="5"/>
      <c r="K1569" s="5"/>
      <c r="L1569" s="5"/>
    </row>
    <row r="1570" spans="1:12" x14ac:dyDescent="0.25">
      <c r="A1570" s="5"/>
      <c r="B1570" s="5"/>
      <c r="C1570" s="5"/>
      <c r="D1570" s="108">
        <v>1500</v>
      </c>
      <c r="E1570" s="109"/>
      <c r="F1570" s="5"/>
      <c r="G1570" s="5"/>
      <c r="H1570" s="5"/>
      <c r="I1570" s="5"/>
      <c r="J1570" s="5"/>
      <c r="K1570" s="5"/>
      <c r="L1570" s="5"/>
    </row>
    <row r="1571" spans="1:12" x14ac:dyDescent="0.25">
      <c r="A1571" s="5"/>
      <c r="B1571" s="5"/>
      <c r="C1571" s="5"/>
      <c r="D1571" s="106" t="s">
        <v>37</v>
      </c>
      <c r="E1571" s="107"/>
      <c r="F1571" s="5"/>
      <c r="G1571" s="5"/>
      <c r="H1571" s="5"/>
      <c r="I1571" s="5"/>
      <c r="J1571" s="5"/>
      <c r="K1571" s="5"/>
      <c r="L1571" s="5"/>
    </row>
    <row r="1572" spans="1:12" x14ac:dyDescent="0.25">
      <c r="A1572" s="5"/>
      <c r="B1572" s="5"/>
      <c r="C1572" s="5"/>
      <c r="D1572" s="108">
        <v>2000</v>
      </c>
      <c r="E1572" s="109"/>
      <c r="F1572" s="5" t="s">
        <v>78</v>
      </c>
      <c r="G1572" s="5"/>
      <c r="H1572" s="5"/>
      <c r="I1572" s="44"/>
      <c r="J1572" s="5"/>
      <c r="K1572" s="5"/>
      <c r="L1572" s="5"/>
    </row>
    <row r="1573" spans="1:12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</row>
    <row r="1574" spans="1:12" x14ac:dyDescent="0.25">
      <c r="A1574" s="5" t="s">
        <v>23</v>
      </c>
      <c r="B1574" s="5" t="s">
        <v>54</v>
      </c>
      <c r="C1574" s="5"/>
      <c r="D1574" s="5"/>
      <c r="E1574" s="5"/>
      <c r="F1574" s="5"/>
      <c r="G1574" s="5"/>
      <c r="H1574" s="5"/>
      <c r="I1574" s="5"/>
      <c r="J1574" s="5"/>
      <c r="K1574" s="5"/>
      <c r="L1574" s="5"/>
    </row>
    <row r="1575" spans="1:12" s="49" customFormat="1" x14ac:dyDescent="0.25"/>
    <row r="1578" spans="1:12" x14ac:dyDescent="0.25">
      <c r="A1578" s="120" t="s">
        <v>24</v>
      </c>
      <c r="B1578" s="120"/>
      <c r="C1578" s="120"/>
      <c r="D1578" s="120"/>
      <c r="E1578" s="120"/>
      <c r="F1578" s="120"/>
      <c r="G1578" s="120"/>
      <c r="H1578" s="120"/>
    </row>
    <row r="1579" spans="1:12" x14ac:dyDescent="0.25">
      <c r="A1579" s="120"/>
      <c r="B1579" s="120"/>
      <c r="C1579" s="120"/>
      <c r="D1579" s="120"/>
      <c r="E1579" s="120"/>
      <c r="F1579" s="120"/>
      <c r="G1579" s="120"/>
      <c r="H1579" s="120"/>
    </row>
    <row r="1580" spans="1:12" x14ac:dyDescent="0.25">
      <c r="A1580" s="1" t="s">
        <v>4</v>
      </c>
      <c r="B1580" s="2"/>
      <c r="C1580" s="2"/>
      <c r="D1580" s="2"/>
      <c r="E1580" s="2"/>
      <c r="F1580" s="2"/>
      <c r="G1580" s="3" t="s">
        <v>5</v>
      </c>
      <c r="H1580" s="3" t="s">
        <v>6</v>
      </c>
      <c r="I1580" s="4" t="s">
        <v>7</v>
      </c>
      <c r="J1580" s="5"/>
      <c r="K1580" s="5"/>
      <c r="L1580" s="5"/>
    </row>
    <row r="1581" spans="1:12" x14ac:dyDescent="0.25">
      <c r="A1581" s="28" t="s">
        <v>195</v>
      </c>
      <c r="B1581" s="29" t="s">
        <v>82</v>
      </c>
      <c r="C1581" s="67" t="s">
        <v>45</v>
      </c>
      <c r="D1581" s="66"/>
      <c r="E1581" s="2"/>
      <c r="F1581" s="2"/>
      <c r="G1581" s="28" t="s">
        <v>155</v>
      </c>
      <c r="H1581" s="66"/>
      <c r="I1581" s="33"/>
      <c r="J1581" s="6"/>
      <c r="K1581" s="33"/>
      <c r="L1581" s="6"/>
    </row>
    <row r="1582" spans="1:12" x14ac:dyDescent="0.25">
      <c r="A1582" s="7" t="s">
        <v>2</v>
      </c>
      <c r="B1582" s="5"/>
      <c r="C1582" s="5"/>
      <c r="D1582" s="5"/>
      <c r="E1582" s="5"/>
      <c r="F1582" s="5"/>
      <c r="G1582" s="8" t="s">
        <v>8</v>
      </c>
      <c r="H1582" s="31"/>
      <c r="I1582" s="5"/>
      <c r="J1582" s="5"/>
      <c r="K1582" s="5"/>
      <c r="L1582" s="5"/>
    </row>
    <row r="1583" spans="1:12" x14ac:dyDescent="0.25">
      <c r="A1583" s="7" t="s">
        <v>25</v>
      </c>
      <c r="B1583" s="5"/>
      <c r="C1583" s="7" t="s">
        <v>0</v>
      </c>
      <c r="D1583" s="5"/>
      <c r="E1583" s="5"/>
      <c r="F1583" s="5"/>
      <c r="G1583" s="7" t="s">
        <v>25</v>
      </c>
      <c r="H1583" s="5"/>
      <c r="I1583" s="7" t="s">
        <v>0</v>
      </c>
      <c r="J1583" s="5"/>
      <c r="K1583" s="5"/>
      <c r="L1583" s="5"/>
    </row>
    <row r="1584" spans="1:12" x14ac:dyDescent="0.25">
      <c r="A1584" s="42">
        <v>44604</v>
      </c>
      <c r="B1584" s="6"/>
      <c r="C1584" s="31">
        <f>L1544</f>
        <v>515192</v>
      </c>
      <c r="D1584" s="5"/>
      <c r="E1584" s="5"/>
      <c r="F1584" s="5"/>
      <c r="G1584" s="42" t="s">
        <v>191</v>
      </c>
      <c r="H1584" s="6"/>
      <c r="I1584" s="9"/>
      <c r="J1584" s="5"/>
      <c r="K1584" s="5"/>
      <c r="L1584" s="5"/>
    </row>
    <row r="1585" spans="1:12" ht="16.5" thickBot="1" x14ac:dyDescent="0.3">
      <c r="A1585" s="58"/>
      <c r="B1585" s="5"/>
      <c r="C1585" s="5"/>
      <c r="D1585" s="5"/>
      <c r="E1585" s="5"/>
      <c r="F1585" s="5"/>
      <c r="G1585" s="10"/>
      <c r="H1585" s="5"/>
      <c r="I1585" s="5"/>
      <c r="J1585" s="5"/>
      <c r="K1585" s="5"/>
      <c r="L1585" s="5"/>
    </row>
    <row r="1586" spans="1:12" ht="15.75" thickBot="1" x14ac:dyDescent="0.3">
      <c r="A1586" s="121" t="s">
        <v>9</v>
      </c>
      <c r="B1586" s="122"/>
      <c r="C1586" s="123"/>
      <c r="D1586" s="5"/>
      <c r="E1586" s="5"/>
      <c r="F1586" s="5"/>
      <c r="G1586" s="121" t="s">
        <v>26</v>
      </c>
      <c r="H1586" s="122"/>
      <c r="I1586" s="123"/>
      <c r="J1586" s="5"/>
      <c r="K1586" s="5"/>
      <c r="L1586" s="5"/>
    </row>
    <row r="1587" spans="1:12" x14ac:dyDescent="0.25">
      <c r="A1587" s="30" t="s">
        <v>38</v>
      </c>
      <c r="B1587" s="11"/>
      <c r="C1587" s="11"/>
      <c r="D1587" s="11"/>
      <c r="E1587" s="6"/>
      <c r="F1587" s="5"/>
      <c r="G1587" s="30" t="str">
        <f>A1590</f>
        <v>Johannesburg</v>
      </c>
      <c r="H1587" s="11"/>
      <c r="I1587" s="11"/>
      <c r="J1587" s="11"/>
      <c r="K1587" s="11"/>
      <c r="L1587" s="6"/>
    </row>
    <row r="1588" spans="1:12" ht="15.75" thickBot="1" x14ac:dyDescent="0.3">
      <c r="A1588" s="7"/>
      <c r="B1588" s="7"/>
      <c r="C1588" s="7"/>
      <c r="D1588" s="5"/>
      <c r="E1588" s="5"/>
      <c r="F1588" s="5"/>
      <c r="G1588" s="7" t="s">
        <v>3</v>
      </c>
      <c r="H1588" s="7"/>
      <c r="I1588" s="7"/>
      <c r="J1588" s="5"/>
      <c r="K1588" s="5"/>
      <c r="L1588" s="5"/>
    </row>
    <row r="1589" spans="1:12" ht="15.75" thickBot="1" x14ac:dyDescent="0.3">
      <c r="A1589" s="121" t="s">
        <v>30</v>
      </c>
      <c r="B1589" s="122"/>
      <c r="C1589" s="124"/>
      <c r="D1589" s="12" t="s">
        <v>1</v>
      </c>
      <c r="E1589" s="32"/>
      <c r="F1589" s="5"/>
      <c r="G1589" s="121" t="s">
        <v>27</v>
      </c>
      <c r="H1589" s="122"/>
      <c r="I1589" s="123"/>
      <c r="J1589" s="5"/>
      <c r="K1589" s="12" t="s">
        <v>1</v>
      </c>
      <c r="L1589" s="32">
        <v>518733</v>
      </c>
    </row>
    <row r="1590" spans="1:12" x14ac:dyDescent="0.25">
      <c r="A1590" s="34" t="s">
        <v>68</v>
      </c>
      <c r="B1590" s="14"/>
      <c r="C1590" s="11"/>
      <c r="D1590" s="11"/>
      <c r="E1590" s="6"/>
      <c r="F1590" s="5"/>
      <c r="G1590" s="34" t="s">
        <v>205</v>
      </c>
      <c r="H1590" s="11"/>
      <c r="I1590" s="11"/>
      <c r="J1590" s="11"/>
      <c r="K1590" s="11"/>
      <c r="L1590" s="6"/>
    </row>
    <row r="1591" spans="1:12" x14ac:dyDescent="0.25">
      <c r="A1591" s="13" t="s">
        <v>209</v>
      </c>
      <c r="B1591" s="11"/>
      <c r="C1591" s="11"/>
      <c r="D1591" s="11"/>
      <c r="E1591" s="6"/>
      <c r="F1591" s="5"/>
      <c r="G1591" s="13"/>
      <c r="H1591" s="11"/>
      <c r="I1591" s="11"/>
      <c r="J1591" s="11"/>
      <c r="K1591" s="11"/>
      <c r="L1591" s="6"/>
    </row>
    <row r="1592" spans="1:12" x14ac:dyDescent="0.25">
      <c r="A1592" s="13"/>
      <c r="B1592" s="11"/>
      <c r="C1592" s="11"/>
      <c r="D1592" s="11"/>
      <c r="E1592" s="6"/>
      <c r="F1592" s="5"/>
      <c r="G1592" s="13"/>
      <c r="H1592" s="11"/>
      <c r="I1592" s="11"/>
      <c r="J1592" s="11"/>
      <c r="K1592" s="11"/>
      <c r="L1592" s="6"/>
    </row>
    <row r="1593" spans="1:12" x14ac:dyDescent="0.25">
      <c r="A1593" s="13"/>
      <c r="B1593" s="11"/>
      <c r="C1593" s="11"/>
      <c r="D1593" s="11"/>
      <c r="E1593" s="6"/>
      <c r="F1593" s="5"/>
      <c r="G1593" s="13"/>
      <c r="H1593" s="11"/>
      <c r="I1593" s="11"/>
      <c r="J1593" s="11"/>
      <c r="K1593" s="11"/>
      <c r="L1593" s="6"/>
    </row>
    <row r="1594" spans="1:12" ht="15.75" thickBot="1" x14ac:dyDescent="0.3">
      <c r="A1594" s="13"/>
      <c r="B1594" s="11"/>
      <c r="C1594" s="11" t="s">
        <v>29</v>
      </c>
      <c r="D1594" s="43"/>
      <c r="E1594" s="6"/>
      <c r="F1594" s="5"/>
      <c r="G1594" s="13"/>
      <c r="H1594" s="11"/>
      <c r="I1594" s="14" t="s">
        <v>28</v>
      </c>
      <c r="J1594" s="43"/>
      <c r="K1594" s="11"/>
      <c r="L1594" s="6"/>
    </row>
    <row r="1595" spans="1:12" ht="15.75" thickBot="1" x14ac:dyDescent="0.3">
      <c r="A1595" s="15" t="s">
        <v>10</v>
      </c>
      <c r="B1595" s="5"/>
      <c r="C1595" s="5"/>
      <c r="D1595" s="5"/>
      <c r="E1595" s="5"/>
      <c r="F1595" s="5"/>
      <c r="G1595" s="15" t="s">
        <v>14</v>
      </c>
      <c r="H1595" s="5"/>
      <c r="I1595" s="5"/>
      <c r="J1595" s="5"/>
      <c r="K1595" s="5"/>
      <c r="L1595" s="5"/>
    </row>
    <row r="1596" spans="1:12" ht="15.75" thickBot="1" x14ac:dyDescent="0.3">
      <c r="A1596" s="121" t="s">
        <v>11</v>
      </c>
      <c r="B1596" s="122"/>
      <c r="C1596" s="123"/>
      <c r="D1596" s="16" t="s">
        <v>12</v>
      </c>
      <c r="E1596" s="16" t="s">
        <v>13</v>
      </c>
      <c r="F1596" s="5"/>
      <c r="G1596" s="121" t="s">
        <v>15</v>
      </c>
      <c r="H1596" s="122"/>
      <c r="I1596" s="123"/>
      <c r="J1596" s="121" t="s">
        <v>13</v>
      </c>
      <c r="K1596" s="123"/>
      <c r="L1596" s="5"/>
    </row>
    <row r="1597" spans="1:12" x14ac:dyDescent="0.25">
      <c r="A1597" s="41">
        <v>44632</v>
      </c>
      <c r="B1597" s="36" t="s">
        <v>69</v>
      </c>
      <c r="C1597" s="37"/>
      <c r="D1597" s="50">
        <v>662.5</v>
      </c>
      <c r="E1597" s="51">
        <v>18318.12</v>
      </c>
      <c r="F1597" s="44">
        <f t="shared" ref="F1597:F1602" si="34">E1597/D1597</f>
        <v>27.649992452830187</v>
      </c>
      <c r="G1597" s="125" t="s">
        <v>50</v>
      </c>
      <c r="H1597" s="126"/>
      <c r="I1597" s="127"/>
      <c r="J1597" s="128">
        <v>303</v>
      </c>
      <c r="K1597" s="129"/>
      <c r="L1597" s="5"/>
    </row>
    <row r="1598" spans="1:12" x14ac:dyDescent="0.25">
      <c r="A1598" s="48">
        <v>44785</v>
      </c>
      <c r="B1598" s="35" t="s">
        <v>56</v>
      </c>
      <c r="C1598" s="39"/>
      <c r="D1598" s="52">
        <v>810.99699999999996</v>
      </c>
      <c r="E1598" s="53">
        <v>19082.759999999998</v>
      </c>
      <c r="F1598" s="44">
        <f t="shared" si="34"/>
        <v>23.530000727499608</v>
      </c>
      <c r="G1598" s="110" t="s">
        <v>59</v>
      </c>
      <c r="H1598" s="111"/>
      <c r="I1598" s="112"/>
      <c r="J1598" s="113">
        <v>35</v>
      </c>
      <c r="K1598" s="114"/>
      <c r="L1598" s="5"/>
    </row>
    <row r="1599" spans="1:12" x14ac:dyDescent="0.25">
      <c r="A1599" s="48">
        <v>44846</v>
      </c>
      <c r="B1599" s="35" t="s">
        <v>47</v>
      </c>
      <c r="C1599" s="39"/>
      <c r="D1599" s="52">
        <v>360.83</v>
      </c>
      <c r="E1599" s="53">
        <v>8400.1</v>
      </c>
      <c r="F1599" s="44">
        <f t="shared" si="34"/>
        <v>23.279937920904583</v>
      </c>
      <c r="G1599" s="110" t="s">
        <v>61</v>
      </c>
      <c r="H1599" s="111"/>
      <c r="I1599" s="112"/>
      <c r="J1599" s="113"/>
      <c r="K1599" s="114"/>
      <c r="L1599" s="5"/>
    </row>
    <row r="1600" spans="1:12" x14ac:dyDescent="0.25">
      <c r="A1600" s="48"/>
      <c r="B1600" s="35"/>
      <c r="C1600" s="39"/>
      <c r="D1600" s="52"/>
      <c r="E1600" s="53"/>
      <c r="F1600" s="44" t="e">
        <f t="shared" si="34"/>
        <v>#DIV/0!</v>
      </c>
      <c r="G1600" s="110" t="s">
        <v>51</v>
      </c>
      <c r="H1600" s="111"/>
      <c r="I1600" s="112"/>
      <c r="J1600" s="113"/>
      <c r="K1600" s="114"/>
      <c r="L1600" s="5"/>
    </row>
    <row r="1601" spans="1:12" x14ac:dyDescent="0.25">
      <c r="A1601" s="27"/>
      <c r="B1601" s="11"/>
      <c r="C1601" s="6"/>
      <c r="D1601" s="54"/>
      <c r="E1601" s="55"/>
      <c r="F1601" s="44" t="e">
        <f t="shared" si="34"/>
        <v>#DIV/0!</v>
      </c>
      <c r="G1601" s="110" t="s">
        <v>58</v>
      </c>
      <c r="H1601" s="111"/>
      <c r="I1601" s="112"/>
      <c r="J1601" s="113"/>
      <c r="K1601" s="114"/>
      <c r="L1601" s="5"/>
    </row>
    <row r="1602" spans="1:12" x14ac:dyDescent="0.25">
      <c r="A1602" s="68"/>
      <c r="B1602" s="11"/>
      <c r="C1602" s="6"/>
      <c r="D1602" s="54"/>
      <c r="E1602" s="55"/>
      <c r="F1602" s="44" t="e">
        <f t="shared" si="34"/>
        <v>#DIV/0!</v>
      </c>
      <c r="G1602" s="110" t="s">
        <v>51</v>
      </c>
      <c r="H1602" s="111"/>
      <c r="I1602" s="112"/>
      <c r="J1602" s="113"/>
      <c r="K1602" s="114"/>
      <c r="L1602" s="5"/>
    </row>
    <row r="1603" spans="1:12" ht="15.75" thickBot="1" x14ac:dyDescent="0.3">
      <c r="A1603" s="5"/>
      <c r="B1603" s="5"/>
      <c r="C1603" s="7" t="s">
        <v>35</v>
      </c>
      <c r="D1603" s="17">
        <f>SUM(D1597:D1602)</f>
        <v>1834.3269999999998</v>
      </c>
      <c r="E1603" s="17">
        <f>SUM(E1597:E1602)</f>
        <v>45800.979999999996</v>
      </c>
      <c r="F1603" s="5"/>
      <c r="G1603" s="77"/>
      <c r="H1603" s="78" t="s">
        <v>69</v>
      </c>
      <c r="I1603" s="79"/>
      <c r="J1603" s="113"/>
      <c r="K1603" s="114"/>
      <c r="L1603" s="7" t="s">
        <v>36</v>
      </c>
    </row>
    <row r="1604" spans="1:12" ht="15.75" thickBot="1" x14ac:dyDescent="0.3">
      <c r="A1604" s="5"/>
      <c r="B1604" s="5"/>
      <c r="C1604" s="5"/>
      <c r="D1604" s="5"/>
      <c r="E1604" s="5"/>
      <c r="F1604" s="5"/>
      <c r="G1604" s="77"/>
      <c r="H1604" s="78" t="s">
        <v>72</v>
      </c>
      <c r="I1604" s="79"/>
      <c r="J1604" s="113"/>
      <c r="K1604" s="114"/>
      <c r="L1604" s="18">
        <f>J1597+J1598+J1599+J1600+J1601+J1602+J1603+J1604</f>
        <v>338</v>
      </c>
    </row>
    <row r="1605" spans="1:12" ht="15.75" thickBot="1" x14ac:dyDescent="0.3">
      <c r="A1605" s="5"/>
      <c r="B1605" s="5"/>
      <c r="C1605" s="5"/>
      <c r="D1605" s="5"/>
      <c r="E1605" s="5"/>
      <c r="F1605" s="5"/>
      <c r="G1605" s="110" t="s">
        <v>73</v>
      </c>
      <c r="H1605" s="111"/>
      <c r="I1605" s="112"/>
      <c r="J1605" s="113"/>
      <c r="K1605" s="114"/>
      <c r="L1605" s="5"/>
    </row>
    <row r="1606" spans="1:12" ht="15.75" thickBot="1" x14ac:dyDescent="0.3">
      <c r="A1606" s="19"/>
      <c r="B1606" s="20"/>
      <c r="C1606" s="20"/>
      <c r="D1606" s="20"/>
      <c r="E1606" s="21" t="s">
        <v>13</v>
      </c>
      <c r="F1606" s="5"/>
      <c r="G1606" s="19"/>
      <c r="H1606" s="20"/>
      <c r="I1606" s="20"/>
      <c r="J1606" s="20"/>
      <c r="K1606" s="21" t="s">
        <v>13</v>
      </c>
      <c r="L1606" s="5"/>
    </row>
    <row r="1607" spans="1:12" x14ac:dyDescent="0.25">
      <c r="A1607" s="22" t="s">
        <v>31</v>
      </c>
      <c r="B1607" s="115">
        <v>24960</v>
      </c>
      <c r="C1607" s="116"/>
      <c r="D1607" s="116"/>
      <c r="E1607" s="117"/>
      <c r="F1607" s="5"/>
      <c r="G1607" s="22" t="s">
        <v>32</v>
      </c>
      <c r="H1607" s="115">
        <v>51000</v>
      </c>
      <c r="I1607" s="116"/>
      <c r="J1607" s="116"/>
      <c r="K1607" s="117"/>
      <c r="L1607" s="5"/>
    </row>
    <row r="1608" spans="1:12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</row>
    <row r="1609" spans="1:12" x14ac:dyDescent="0.25">
      <c r="A1609" s="7" t="s">
        <v>16</v>
      </c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</row>
    <row r="1610" spans="1:12" x14ac:dyDescent="0.25">
      <c r="A1610" s="9" t="s">
        <v>17</v>
      </c>
      <c r="B1610" s="23">
        <f>L1589-C1584</f>
        <v>3541</v>
      </c>
      <c r="C1610" s="5"/>
      <c r="D1610" s="106" t="s">
        <v>18</v>
      </c>
      <c r="E1610" s="107"/>
      <c r="F1610" s="24" t="s">
        <v>19</v>
      </c>
      <c r="G1610" s="9" t="s">
        <v>20</v>
      </c>
      <c r="H1610" s="118">
        <f>B1607+H1607</f>
        <v>75960</v>
      </c>
      <c r="I1610" s="119"/>
      <c r="J1610" s="5"/>
      <c r="K1610" s="5"/>
      <c r="L1610" s="5"/>
    </row>
    <row r="1611" spans="1:12" x14ac:dyDescent="0.25">
      <c r="A1611" s="9" t="s">
        <v>41</v>
      </c>
      <c r="B1611" s="40">
        <f>B1610/D1603</f>
        <v>1.9304082641753626</v>
      </c>
      <c r="C1611" s="5"/>
      <c r="D1611" s="102">
        <f>E1603</f>
        <v>45800.979999999996</v>
      </c>
      <c r="E1611" s="103"/>
      <c r="F1611" s="25">
        <f>H1611/B1610</f>
        <v>15.293809658288618</v>
      </c>
      <c r="G1611" s="9" t="s">
        <v>21</v>
      </c>
      <c r="H1611" s="104">
        <f>L1604+D1611+D1613+D1615+D1617+A1614</f>
        <v>54155.38</v>
      </c>
      <c r="I1611" s="105"/>
      <c r="J1611" s="5"/>
      <c r="K1611" s="5"/>
      <c r="L1611" s="5"/>
    </row>
    <row r="1612" spans="1:12" x14ac:dyDescent="0.25">
      <c r="A1612" s="9" t="s">
        <v>43</v>
      </c>
      <c r="B1612" s="23">
        <f>D1603/B1610</f>
        <v>0.51802513414289741</v>
      </c>
      <c r="C1612" s="5"/>
      <c r="D1612" s="106" t="s">
        <v>33</v>
      </c>
      <c r="E1612" s="107"/>
      <c r="F1612" s="5"/>
      <c r="G1612" s="13" t="s">
        <v>22</v>
      </c>
      <c r="H1612" s="6"/>
      <c r="I1612" s="26">
        <f>H1610-H1611</f>
        <v>21804.620000000003</v>
      </c>
      <c r="J1612" s="5"/>
      <c r="K1612" s="5"/>
      <c r="L1612" s="5"/>
    </row>
    <row r="1613" spans="1:12" x14ac:dyDescent="0.25">
      <c r="A1613" s="106" t="s">
        <v>40</v>
      </c>
      <c r="B1613" s="107"/>
      <c r="C1613" s="5"/>
      <c r="D1613" s="108">
        <v>1600</v>
      </c>
      <c r="E1613" s="109"/>
      <c r="F1613" s="5"/>
      <c r="G1613" s="5"/>
      <c r="H1613" s="5"/>
      <c r="I1613" s="5"/>
      <c r="J1613" s="5"/>
      <c r="K1613" s="5"/>
      <c r="L1613" s="5"/>
    </row>
    <row r="1614" spans="1:12" x14ac:dyDescent="0.25">
      <c r="A1614" s="108">
        <f>B1610*0.4</f>
        <v>1416.4</v>
      </c>
      <c r="B1614" s="109"/>
      <c r="C1614" s="5"/>
      <c r="D1614" s="106" t="s">
        <v>34</v>
      </c>
      <c r="E1614" s="107"/>
      <c r="F1614" s="5"/>
      <c r="G1614" s="5"/>
      <c r="H1614" s="5"/>
      <c r="I1614" s="44"/>
      <c r="J1614" s="5"/>
      <c r="K1614" s="5"/>
      <c r="L1614" s="5"/>
    </row>
    <row r="1615" spans="1:12" x14ac:dyDescent="0.25">
      <c r="A1615" s="5"/>
      <c r="B1615" s="5"/>
      <c r="C1615" s="5"/>
      <c r="D1615" s="108">
        <v>1500</v>
      </c>
      <c r="E1615" s="109"/>
      <c r="F1615" s="5"/>
      <c r="G1615" s="5"/>
      <c r="H1615" s="5"/>
      <c r="I1615" s="5"/>
      <c r="J1615" s="5"/>
      <c r="K1615" s="5"/>
      <c r="L1615" s="5"/>
    </row>
    <row r="1616" spans="1:12" x14ac:dyDescent="0.25">
      <c r="A1616" s="5"/>
      <c r="B1616" s="5"/>
      <c r="C1616" s="5"/>
      <c r="D1616" s="106" t="s">
        <v>37</v>
      </c>
      <c r="E1616" s="107"/>
      <c r="F1616" s="5"/>
      <c r="G1616" s="5"/>
      <c r="H1616" s="5"/>
      <c r="I1616" s="5"/>
      <c r="J1616" s="5"/>
      <c r="K1616" s="5"/>
      <c r="L1616" s="5"/>
    </row>
    <row r="1617" spans="1:12" x14ac:dyDescent="0.25">
      <c r="A1617" s="5"/>
      <c r="B1617" s="5"/>
      <c r="C1617" s="5"/>
      <c r="D1617" s="108">
        <v>3500</v>
      </c>
      <c r="E1617" s="109"/>
      <c r="F1617" s="5" t="s">
        <v>78</v>
      </c>
      <c r="G1617" s="5"/>
      <c r="H1617" s="5"/>
      <c r="I1617" s="44"/>
      <c r="J1617" s="5"/>
      <c r="K1617" s="5"/>
      <c r="L1617" s="5"/>
    </row>
    <row r="1618" spans="1:12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</row>
    <row r="1619" spans="1:12" x14ac:dyDescent="0.25">
      <c r="A1619" s="5" t="s">
        <v>23</v>
      </c>
      <c r="B1619" s="5" t="s">
        <v>54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5"/>
    </row>
    <row r="1620" spans="1:12" s="49" customFormat="1" x14ac:dyDescent="0.25"/>
    <row r="1623" spans="1:12" x14ac:dyDescent="0.25">
      <c r="A1623" s="120" t="s">
        <v>24</v>
      </c>
      <c r="B1623" s="120"/>
      <c r="C1623" s="120"/>
      <c r="D1623" s="120"/>
      <c r="E1623" s="120"/>
      <c r="F1623" s="120"/>
      <c r="G1623" s="120"/>
      <c r="H1623" s="120"/>
    </row>
    <row r="1624" spans="1:12" x14ac:dyDescent="0.25">
      <c r="A1624" s="120"/>
      <c r="B1624" s="120"/>
      <c r="C1624" s="120"/>
      <c r="D1624" s="120"/>
      <c r="E1624" s="120"/>
      <c r="F1624" s="120"/>
      <c r="G1624" s="120"/>
      <c r="H1624" s="120"/>
    </row>
    <row r="1625" spans="1:12" x14ac:dyDescent="0.25">
      <c r="A1625" s="1" t="s">
        <v>4</v>
      </c>
      <c r="B1625" s="2"/>
      <c r="C1625" s="2"/>
      <c r="D1625" s="2"/>
      <c r="E1625" s="2"/>
      <c r="F1625" s="2"/>
      <c r="G1625" s="3" t="s">
        <v>5</v>
      </c>
      <c r="H1625" s="3" t="s">
        <v>6</v>
      </c>
      <c r="I1625" s="4" t="s">
        <v>7</v>
      </c>
      <c r="J1625" s="5"/>
      <c r="K1625" s="5"/>
      <c r="L1625" s="5"/>
    </row>
    <row r="1626" spans="1:12" x14ac:dyDescent="0.25">
      <c r="A1626" s="28" t="s">
        <v>195</v>
      </c>
      <c r="B1626" s="29" t="s">
        <v>82</v>
      </c>
      <c r="C1626" s="67" t="s">
        <v>45</v>
      </c>
      <c r="D1626" s="66"/>
      <c r="E1626" s="2"/>
      <c r="F1626" s="2"/>
      <c r="G1626" s="28" t="s">
        <v>155</v>
      </c>
      <c r="H1626" s="66"/>
      <c r="I1626" s="33"/>
      <c r="J1626" s="6"/>
      <c r="K1626" s="33"/>
      <c r="L1626" s="6"/>
    </row>
    <row r="1627" spans="1:12" x14ac:dyDescent="0.25">
      <c r="A1627" s="7" t="s">
        <v>2</v>
      </c>
      <c r="B1627" s="5"/>
      <c r="C1627" s="5"/>
      <c r="D1627" s="5"/>
      <c r="E1627" s="5"/>
      <c r="F1627" s="5"/>
      <c r="G1627" s="8" t="s">
        <v>8</v>
      </c>
      <c r="H1627" s="31"/>
      <c r="I1627" s="5"/>
      <c r="J1627" s="5"/>
      <c r="K1627" s="5"/>
      <c r="L1627" s="5"/>
    </row>
    <row r="1628" spans="1:12" x14ac:dyDescent="0.25">
      <c r="A1628" s="7" t="s">
        <v>25</v>
      </c>
      <c r="B1628" s="5"/>
      <c r="C1628" s="7" t="s">
        <v>0</v>
      </c>
      <c r="D1628" s="5"/>
      <c r="E1628" s="5"/>
      <c r="F1628" s="5"/>
      <c r="G1628" s="7" t="s">
        <v>25</v>
      </c>
      <c r="H1628" s="5"/>
      <c r="I1628" s="7" t="s">
        <v>0</v>
      </c>
      <c r="J1628" s="5"/>
      <c r="K1628" s="5"/>
      <c r="L1628" s="5"/>
    </row>
    <row r="1629" spans="1:12" x14ac:dyDescent="0.25">
      <c r="A1629" s="42">
        <v>44907</v>
      </c>
      <c r="B1629" s="6"/>
      <c r="C1629" s="31">
        <f>L1589</f>
        <v>518733</v>
      </c>
      <c r="D1629" s="5"/>
      <c r="E1629" s="5"/>
      <c r="F1629" s="5"/>
      <c r="G1629" s="42" t="s">
        <v>191</v>
      </c>
      <c r="H1629" s="6"/>
      <c r="I1629" s="9"/>
      <c r="J1629" s="5"/>
      <c r="K1629" s="5"/>
      <c r="L1629" s="5"/>
    </row>
    <row r="1630" spans="1:12" ht="16.5" thickBot="1" x14ac:dyDescent="0.3">
      <c r="A1630" s="58"/>
      <c r="B1630" s="5"/>
      <c r="C1630" s="5"/>
      <c r="D1630" s="5"/>
      <c r="E1630" s="5"/>
      <c r="F1630" s="5"/>
      <c r="G1630" s="10"/>
      <c r="H1630" s="5"/>
      <c r="I1630" s="5"/>
      <c r="J1630" s="5"/>
      <c r="K1630" s="5"/>
      <c r="L1630" s="5"/>
    </row>
    <row r="1631" spans="1:12" ht="15.75" thickBot="1" x14ac:dyDescent="0.3">
      <c r="A1631" s="121" t="s">
        <v>9</v>
      </c>
      <c r="B1631" s="122"/>
      <c r="C1631" s="123"/>
      <c r="D1631" s="5"/>
      <c r="E1631" s="5"/>
      <c r="F1631" s="5"/>
      <c r="G1631" s="121" t="s">
        <v>26</v>
      </c>
      <c r="H1631" s="122"/>
      <c r="I1631" s="123"/>
      <c r="J1631" s="5"/>
      <c r="K1631" s="5"/>
      <c r="L1631" s="5"/>
    </row>
    <row r="1632" spans="1:12" x14ac:dyDescent="0.25">
      <c r="A1632" s="30" t="s">
        <v>38</v>
      </c>
      <c r="B1632" s="11"/>
      <c r="C1632" s="11"/>
      <c r="D1632" s="11"/>
      <c r="E1632" s="6"/>
      <c r="F1632" s="5"/>
      <c r="G1632" s="30" t="str">
        <f>A1635</f>
        <v>Johannesburg</v>
      </c>
      <c r="H1632" s="11"/>
      <c r="I1632" s="11"/>
      <c r="J1632" s="11"/>
      <c r="K1632" s="11"/>
      <c r="L1632" s="6"/>
    </row>
    <row r="1633" spans="1:12" ht="15.75" thickBot="1" x14ac:dyDescent="0.3">
      <c r="A1633" s="7"/>
      <c r="B1633" s="7"/>
      <c r="C1633" s="7"/>
      <c r="D1633" s="5"/>
      <c r="E1633" s="5"/>
      <c r="F1633" s="5"/>
      <c r="G1633" s="7" t="s">
        <v>3</v>
      </c>
      <c r="H1633" s="7"/>
      <c r="I1633" s="7"/>
      <c r="J1633" s="5"/>
      <c r="K1633" s="5"/>
      <c r="L1633" s="5"/>
    </row>
    <row r="1634" spans="1:12" ht="15.75" thickBot="1" x14ac:dyDescent="0.3">
      <c r="A1634" s="121" t="s">
        <v>30</v>
      </c>
      <c r="B1634" s="122"/>
      <c r="C1634" s="124"/>
      <c r="D1634" s="12" t="s">
        <v>1</v>
      </c>
      <c r="E1634" s="32"/>
      <c r="F1634" s="5"/>
      <c r="G1634" s="121" t="s">
        <v>27</v>
      </c>
      <c r="H1634" s="122"/>
      <c r="I1634" s="123"/>
      <c r="J1634" s="5"/>
      <c r="K1634" s="12" t="s">
        <v>1</v>
      </c>
      <c r="L1634" s="32">
        <v>522618</v>
      </c>
    </row>
    <row r="1635" spans="1:12" x14ac:dyDescent="0.25">
      <c r="A1635" s="34" t="s">
        <v>68</v>
      </c>
      <c r="B1635" s="14"/>
      <c r="C1635" s="11"/>
      <c r="D1635" s="11"/>
      <c r="E1635" s="6"/>
      <c r="F1635" s="5"/>
      <c r="G1635" s="34" t="s">
        <v>83</v>
      </c>
      <c r="H1635" s="11"/>
      <c r="I1635" s="11"/>
      <c r="J1635" s="11"/>
      <c r="K1635" s="11"/>
      <c r="L1635" s="6"/>
    </row>
    <row r="1636" spans="1:12" x14ac:dyDescent="0.25">
      <c r="A1636" s="13"/>
      <c r="B1636" s="11"/>
      <c r="C1636" s="11"/>
      <c r="D1636" s="11"/>
      <c r="E1636" s="6"/>
      <c r="F1636" s="5"/>
      <c r="G1636" s="13"/>
      <c r="H1636" s="11"/>
      <c r="I1636" s="11"/>
      <c r="J1636" s="11"/>
      <c r="K1636" s="11"/>
      <c r="L1636" s="6"/>
    </row>
    <row r="1637" spans="1:12" x14ac:dyDescent="0.25">
      <c r="A1637" s="13"/>
      <c r="B1637" s="11"/>
      <c r="C1637" s="11"/>
      <c r="D1637" s="11"/>
      <c r="E1637" s="6"/>
      <c r="F1637" s="5"/>
      <c r="G1637" s="13"/>
      <c r="H1637" s="11"/>
      <c r="I1637" s="11"/>
      <c r="J1637" s="11"/>
      <c r="K1637" s="11"/>
      <c r="L1637" s="6"/>
    </row>
    <row r="1638" spans="1:12" x14ac:dyDescent="0.25">
      <c r="A1638" s="13"/>
      <c r="B1638" s="11"/>
      <c r="C1638" s="11"/>
      <c r="D1638" s="11"/>
      <c r="E1638" s="6"/>
      <c r="F1638" s="5"/>
      <c r="G1638" s="13"/>
      <c r="H1638" s="11"/>
      <c r="I1638" s="11"/>
      <c r="J1638" s="11"/>
      <c r="K1638" s="11"/>
      <c r="L1638" s="6"/>
    </row>
    <row r="1639" spans="1:12" ht="15.75" thickBot="1" x14ac:dyDescent="0.3">
      <c r="A1639" s="13"/>
      <c r="B1639" s="11"/>
      <c r="C1639" s="11" t="s">
        <v>29</v>
      </c>
      <c r="D1639" s="43"/>
      <c r="E1639" s="6"/>
      <c r="F1639" s="5"/>
      <c r="G1639" s="13"/>
      <c r="H1639" s="11"/>
      <c r="I1639" s="14" t="s">
        <v>28</v>
      </c>
      <c r="J1639" s="43"/>
      <c r="K1639" s="11"/>
      <c r="L1639" s="6"/>
    </row>
    <row r="1640" spans="1:12" ht="15.75" thickBot="1" x14ac:dyDescent="0.3">
      <c r="A1640" s="15" t="s">
        <v>10</v>
      </c>
      <c r="B1640" s="5"/>
      <c r="C1640" s="5"/>
      <c r="D1640" s="5"/>
      <c r="E1640" s="5"/>
      <c r="F1640" s="5"/>
      <c r="G1640" s="15" t="s">
        <v>14</v>
      </c>
      <c r="H1640" s="5"/>
      <c r="I1640" s="5"/>
      <c r="J1640" s="5"/>
      <c r="K1640" s="5"/>
      <c r="L1640" s="5"/>
    </row>
    <row r="1641" spans="1:12" ht="15.75" thickBot="1" x14ac:dyDescent="0.3">
      <c r="A1641" s="121" t="s">
        <v>11</v>
      </c>
      <c r="B1641" s="122"/>
      <c r="C1641" s="123"/>
      <c r="D1641" s="16" t="s">
        <v>12</v>
      </c>
      <c r="E1641" s="16" t="s">
        <v>13</v>
      </c>
      <c r="F1641" s="5"/>
      <c r="G1641" s="121" t="s">
        <v>15</v>
      </c>
      <c r="H1641" s="122"/>
      <c r="I1641" s="123"/>
      <c r="J1641" s="121" t="s">
        <v>13</v>
      </c>
      <c r="K1641" s="123"/>
      <c r="L1641" s="5"/>
    </row>
    <row r="1642" spans="1:12" x14ac:dyDescent="0.25">
      <c r="A1642" s="41">
        <v>44907</v>
      </c>
      <c r="B1642" s="36" t="s">
        <v>69</v>
      </c>
      <c r="C1642" s="37"/>
      <c r="D1642" s="50">
        <f>380+379.675</f>
        <v>759.67499999999995</v>
      </c>
      <c r="E1642" s="51">
        <f>9978.8+9970.26</f>
        <v>19949.059999999998</v>
      </c>
      <c r="F1642" s="44">
        <f>E1642/D1642</f>
        <v>26.259992760061866</v>
      </c>
      <c r="G1642" s="125" t="s">
        <v>50</v>
      </c>
      <c r="H1642" s="126"/>
      <c r="I1642" s="127"/>
      <c r="J1642" s="128">
        <v>303</v>
      </c>
      <c r="K1642" s="129"/>
      <c r="L1642" s="5"/>
    </row>
    <row r="1643" spans="1:12" x14ac:dyDescent="0.25">
      <c r="A1643" s="48">
        <v>44907</v>
      </c>
      <c r="B1643" s="35" t="s">
        <v>69</v>
      </c>
      <c r="C1643" s="39"/>
      <c r="D1643" s="52">
        <v>139.05500000000001</v>
      </c>
      <c r="E1643" s="53">
        <v>3651.58</v>
      </c>
      <c r="F1643" s="44">
        <f>E1643/D1643</f>
        <v>26.259969076983925</v>
      </c>
      <c r="G1643" s="110" t="s">
        <v>59</v>
      </c>
      <c r="H1643" s="111"/>
      <c r="I1643" s="112"/>
      <c r="J1643" s="113">
        <v>35</v>
      </c>
      <c r="K1643" s="114"/>
      <c r="L1643" s="5"/>
    </row>
    <row r="1644" spans="1:12" x14ac:dyDescent="0.25">
      <c r="A1644" s="48" t="s">
        <v>204</v>
      </c>
      <c r="B1644" s="35" t="s">
        <v>69</v>
      </c>
      <c r="C1644" s="39"/>
      <c r="D1644" s="52">
        <v>442.46</v>
      </c>
      <c r="E1644" s="53">
        <v>11618.99</v>
      </c>
      <c r="F1644" s="44">
        <f>E1644/D1644</f>
        <v>26.259978303123447</v>
      </c>
      <c r="G1644" s="110" t="s">
        <v>61</v>
      </c>
      <c r="H1644" s="111"/>
      <c r="I1644" s="112"/>
      <c r="J1644" s="113">
        <v>303</v>
      </c>
      <c r="K1644" s="114"/>
      <c r="L1644" s="5"/>
    </row>
    <row r="1645" spans="1:12" x14ac:dyDescent="0.25">
      <c r="A1645" s="48" t="s">
        <v>200</v>
      </c>
      <c r="B1645" s="35" t="s">
        <v>74</v>
      </c>
      <c r="C1645" s="39"/>
      <c r="D1645" s="52">
        <v>200</v>
      </c>
      <c r="E1645" s="53">
        <v>4586</v>
      </c>
      <c r="F1645" s="44">
        <f>E1645/D1645</f>
        <v>22.93</v>
      </c>
      <c r="G1645" s="110" t="s">
        <v>51</v>
      </c>
      <c r="H1645" s="111"/>
      <c r="I1645" s="112"/>
      <c r="J1645" s="113"/>
      <c r="K1645" s="114"/>
      <c r="L1645" s="5"/>
    </row>
    <row r="1646" spans="1:12" x14ac:dyDescent="0.25">
      <c r="A1646" s="27" t="s">
        <v>200</v>
      </c>
      <c r="B1646" s="11" t="s">
        <v>47</v>
      </c>
      <c r="C1646" s="6"/>
      <c r="D1646" s="54">
        <v>578.26</v>
      </c>
      <c r="E1646" s="55">
        <v>13461.9</v>
      </c>
      <c r="F1646" s="44">
        <f>E1646/D1646</f>
        <v>23.280012451146543</v>
      </c>
      <c r="G1646" s="110" t="s">
        <v>58</v>
      </c>
      <c r="H1646" s="111"/>
      <c r="I1646" s="112"/>
      <c r="J1646" s="113"/>
      <c r="K1646" s="114"/>
      <c r="L1646" s="5"/>
    </row>
    <row r="1647" spans="1:12" x14ac:dyDescent="0.25">
      <c r="A1647" s="48" t="s">
        <v>201</v>
      </c>
      <c r="B1647" s="35" t="s">
        <v>47</v>
      </c>
      <c r="C1647" s="39"/>
      <c r="D1647" s="52">
        <v>293.81</v>
      </c>
      <c r="E1647" s="53">
        <v>6839.9</v>
      </c>
      <c r="F1647" s="44" t="e">
        <f>#REF!/#REF!</f>
        <v>#REF!</v>
      </c>
      <c r="G1647" s="110" t="s">
        <v>51</v>
      </c>
      <c r="H1647" s="111"/>
      <c r="I1647" s="112"/>
      <c r="J1647" s="113"/>
      <c r="K1647" s="114"/>
      <c r="L1647" s="5"/>
    </row>
    <row r="1648" spans="1:12" ht="15.75" thickBot="1" x14ac:dyDescent="0.3">
      <c r="A1648" s="5"/>
      <c r="B1648" s="5"/>
      <c r="C1648" s="7" t="s">
        <v>35</v>
      </c>
      <c r="D1648" s="17">
        <f>SUM(D1642:D1647)</f>
        <v>2413.2599999999998</v>
      </c>
      <c r="E1648" s="17">
        <f>SUM(E1642:E1647)</f>
        <v>60107.43</v>
      </c>
      <c r="F1648" s="5"/>
      <c r="G1648" s="77"/>
      <c r="H1648" s="78" t="s">
        <v>69</v>
      </c>
      <c r="I1648" s="79"/>
      <c r="J1648" s="113"/>
      <c r="K1648" s="114"/>
      <c r="L1648" s="7" t="s">
        <v>36</v>
      </c>
    </row>
    <row r="1649" spans="1:12" ht="15.75" thickBot="1" x14ac:dyDescent="0.3">
      <c r="A1649" s="5"/>
      <c r="B1649" s="5"/>
      <c r="C1649" s="5"/>
      <c r="D1649" s="5"/>
      <c r="E1649" s="5"/>
      <c r="F1649" s="5"/>
      <c r="G1649" s="77"/>
      <c r="H1649" s="78" t="s">
        <v>72</v>
      </c>
      <c r="I1649" s="79"/>
      <c r="J1649" s="113"/>
      <c r="K1649" s="114"/>
      <c r="L1649" s="18">
        <f>J1642+J1643+J1644+J1645+J1646+J1647+J1648+J1649</f>
        <v>641</v>
      </c>
    </row>
    <row r="1650" spans="1:12" ht="15.75" thickBot="1" x14ac:dyDescent="0.3">
      <c r="A1650" s="5"/>
      <c r="B1650" s="5"/>
      <c r="C1650" s="5"/>
      <c r="D1650" s="5"/>
      <c r="E1650" s="5"/>
      <c r="F1650" s="5"/>
      <c r="G1650" s="110" t="s">
        <v>73</v>
      </c>
      <c r="H1650" s="111"/>
      <c r="I1650" s="112"/>
      <c r="J1650" s="113"/>
      <c r="K1650" s="114"/>
      <c r="L1650" s="5"/>
    </row>
    <row r="1651" spans="1:12" ht="15.75" thickBot="1" x14ac:dyDescent="0.3">
      <c r="A1651" s="19"/>
      <c r="B1651" s="20"/>
      <c r="C1651" s="20"/>
      <c r="D1651" s="20"/>
      <c r="E1651" s="21" t="s">
        <v>13</v>
      </c>
      <c r="F1651" s="5"/>
      <c r="G1651" s="19"/>
      <c r="H1651" s="20"/>
      <c r="I1651" s="20"/>
      <c r="J1651" s="20"/>
      <c r="K1651" s="21" t="s">
        <v>13</v>
      </c>
      <c r="L1651" s="5"/>
    </row>
    <row r="1652" spans="1:12" x14ac:dyDescent="0.25">
      <c r="A1652" s="22" t="s">
        <v>31</v>
      </c>
      <c r="B1652" s="115">
        <v>28953.599999999999</v>
      </c>
      <c r="C1652" s="116"/>
      <c r="D1652" s="116"/>
      <c r="E1652" s="117"/>
      <c r="F1652" s="5"/>
      <c r="G1652" s="22" t="s">
        <v>32</v>
      </c>
      <c r="H1652" s="115">
        <v>54500</v>
      </c>
      <c r="I1652" s="116"/>
      <c r="J1652" s="116"/>
      <c r="K1652" s="117"/>
      <c r="L1652" s="5"/>
    </row>
    <row r="1653" spans="1:12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</row>
    <row r="1654" spans="1:12" x14ac:dyDescent="0.25">
      <c r="A1654" s="7" t="s">
        <v>16</v>
      </c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</row>
    <row r="1655" spans="1:12" x14ac:dyDescent="0.25">
      <c r="A1655" s="9" t="s">
        <v>17</v>
      </c>
      <c r="B1655" s="23">
        <f>L1634-C1629</f>
        <v>3885</v>
      </c>
      <c r="C1655" s="5"/>
      <c r="D1655" s="106" t="s">
        <v>18</v>
      </c>
      <c r="E1655" s="107"/>
      <c r="F1655" s="24" t="s">
        <v>19</v>
      </c>
      <c r="G1655" s="9" t="s">
        <v>20</v>
      </c>
      <c r="H1655" s="118">
        <f>B1652+H1652</f>
        <v>83453.600000000006</v>
      </c>
      <c r="I1655" s="119"/>
      <c r="J1655" s="5"/>
      <c r="K1655" s="5"/>
      <c r="L1655" s="5"/>
    </row>
    <row r="1656" spans="1:12" x14ac:dyDescent="0.25">
      <c r="A1656" s="9" t="s">
        <v>41</v>
      </c>
      <c r="B1656" s="40">
        <f>B1655/D1648</f>
        <v>1.6098555480967656</v>
      </c>
      <c r="C1656" s="5"/>
      <c r="D1656" s="102">
        <f>E1648</f>
        <v>60107.43</v>
      </c>
      <c r="E1656" s="103"/>
      <c r="F1656" s="25">
        <f>H1656/B1655</f>
        <v>17.735503217503215</v>
      </c>
      <c r="G1656" s="9" t="s">
        <v>21</v>
      </c>
      <c r="H1656" s="104">
        <f>L1649+D1656+D1658+D1660+D1662+A1659</f>
        <v>68902.429999999993</v>
      </c>
      <c r="I1656" s="105"/>
      <c r="J1656" s="5"/>
      <c r="K1656" s="5"/>
      <c r="L1656" s="5"/>
    </row>
    <row r="1657" spans="1:12" x14ac:dyDescent="0.25">
      <c r="A1657" s="9" t="s">
        <v>43</v>
      </c>
      <c r="B1657" s="23">
        <f>D1648/B1655</f>
        <v>0.62117374517374513</v>
      </c>
      <c r="C1657" s="5"/>
      <c r="D1657" s="106" t="s">
        <v>33</v>
      </c>
      <c r="E1657" s="107"/>
      <c r="F1657" s="5"/>
      <c r="G1657" s="13" t="s">
        <v>22</v>
      </c>
      <c r="H1657" s="6"/>
      <c r="I1657" s="26">
        <f>H1655-H1656</f>
        <v>14551.170000000013</v>
      </c>
      <c r="J1657" s="5"/>
      <c r="K1657" s="5"/>
      <c r="L1657" s="5"/>
    </row>
    <row r="1658" spans="1:12" x14ac:dyDescent="0.25">
      <c r="A1658" s="106" t="s">
        <v>40</v>
      </c>
      <c r="B1658" s="107"/>
      <c r="C1658" s="5"/>
      <c r="D1658" s="108">
        <v>1600</v>
      </c>
      <c r="E1658" s="109"/>
      <c r="F1658" s="5"/>
      <c r="G1658" s="5"/>
      <c r="H1658" s="5"/>
      <c r="I1658" s="5"/>
      <c r="J1658" s="5"/>
      <c r="K1658" s="5"/>
      <c r="L1658" s="5"/>
    </row>
    <row r="1659" spans="1:12" x14ac:dyDescent="0.25">
      <c r="A1659" s="108">
        <f>B1655*0.4</f>
        <v>1554</v>
      </c>
      <c r="B1659" s="109"/>
      <c r="C1659" s="5"/>
      <c r="D1659" s="106" t="s">
        <v>34</v>
      </c>
      <c r="E1659" s="107"/>
      <c r="F1659" s="5"/>
      <c r="G1659" s="5"/>
      <c r="H1659" s="5"/>
      <c r="I1659" s="44"/>
      <c r="J1659" s="5"/>
      <c r="K1659" s="5"/>
      <c r="L1659" s="5"/>
    </row>
    <row r="1660" spans="1:12" x14ac:dyDescent="0.25">
      <c r="A1660" s="5"/>
      <c r="B1660" s="5"/>
      <c r="C1660" s="5"/>
      <c r="D1660" s="108">
        <v>1500</v>
      </c>
      <c r="E1660" s="109"/>
      <c r="F1660" s="5"/>
      <c r="G1660" s="5"/>
      <c r="H1660" s="5"/>
      <c r="I1660" s="5"/>
      <c r="J1660" s="5"/>
      <c r="K1660" s="5"/>
      <c r="L1660" s="5"/>
    </row>
    <row r="1661" spans="1:12" x14ac:dyDescent="0.25">
      <c r="A1661" s="5"/>
      <c r="B1661" s="5"/>
      <c r="C1661" s="5"/>
      <c r="D1661" s="106" t="s">
        <v>37</v>
      </c>
      <c r="E1661" s="107"/>
      <c r="F1661" s="5"/>
      <c r="G1661" s="5"/>
      <c r="H1661" s="5"/>
      <c r="I1661" s="5"/>
      <c r="J1661" s="5"/>
      <c r="K1661" s="5"/>
      <c r="L1661" s="5"/>
    </row>
    <row r="1662" spans="1:12" x14ac:dyDescent="0.25">
      <c r="A1662" s="5"/>
      <c r="B1662" s="5"/>
      <c r="C1662" s="5"/>
      <c r="D1662" s="108">
        <v>3500</v>
      </c>
      <c r="E1662" s="109"/>
      <c r="F1662" s="5" t="s">
        <v>78</v>
      </c>
      <c r="G1662" s="5"/>
      <c r="H1662" s="5"/>
      <c r="I1662" s="44"/>
      <c r="J1662" s="5"/>
      <c r="K1662" s="5"/>
      <c r="L1662" s="5"/>
    </row>
    <row r="1663" spans="1:12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</row>
    <row r="1664" spans="1:12" x14ac:dyDescent="0.25">
      <c r="A1664" s="5" t="s">
        <v>23</v>
      </c>
      <c r="B1664" s="5" t="s">
        <v>54</v>
      </c>
      <c r="C1664" s="5"/>
      <c r="D1664" s="5"/>
      <c r="E1664" s="5"/>
      <c r="F1664" s="5"/>
      <c r="G1664" s="5"/>
      <c r="H1664" s="5"/>
      <c r="I1664" s="5"/>
      <c r="J1664" s="5"/>
      <c r="K1664" s="5"/>
      <c r="L1664" s="5"/>
    </row>
    <row r="1665" spans="1:13" s="49" customFormat="1" x14ac:dyDescent="0.25"/>
    <row r="1666" spans="1:13" x14ac:dyDescent="0.25">
      <c r="A1666" t="s">
        <v>212</v>
      </c>
    </row>
    <row r="1668" spans="1:13" x14ac:dyDescent="0.25">
      <c r="A1668" s="120" t="s">
        <v>24</v>
      </c>
      <c r="B1668" s="120"/>
      <c r="C1668" s="120"/>
      <c r="D1668" s="120"/>
      <c r="E1668" s="120"/>
      <c r="F1668" s="120"/>
      <c r="G1668" s="120"/>
      <c r="H1668" s="120"/>
    </row>
    <row r="1669" spans="1:13" x14ac:dyDescent="0.25">
      <c r="A1669" s="120"/>
      <c r="B1669" s="120"/>
      <c r="C1669" s="120"/>
      <c r="D1669" s="120"/>
      <c r="E1669" s="120"/>
      <c r="F1669" s="120"/>
      <c r="G1669" s="120"/>
      <c r="H1669" s="120"/>
    </row>
    <row r="1670" spans="1:13" x14ac:dyDescent="0.25">
      <c r="A1670" s="1" t="s">
        <v>4</v>
      </c>
      <c r="B1670" s="2"/>
      <c r="C1670" s="2"/>
      <c r="D1670" s="2"/>
      <c r="E1670" s="2"/>
      <c r="F1670" s="2"/>
      <c r="G1670" s="3" t="s">
        <v>5</v>
      </c>
      <c r="H1670" s="3" t="s">
        <v>6</v>
      </c>
      <c r="I1670" s="4" t="s">
        <v>7</v>
      </c>
      <c r="J1670" s="5"/>
      <c r="K1670" s="5"/>
      <c r="L1670" s="5"/>
    </row>
    <row r="1671" spans="1:13" x14ac:dyDescent="0.25">
      <c r="A1671" s="28" t="s">
        <v>195</v>
      </c>
      <c r="B1671" s="29" t="s">
        <v>82</v>
      </c>
      <c r="C1671" s="67" t="s">
        <v>45</v>
      </c>
      <c r="D1671" s="66"/>
      <c r="E1671" s="2"/>
      <c r="F1671" s="2"/>
      <c r="G1671" s="28" t="s">
        <v>155</v>
      </c>
      <c r="H1671" s="66"/>
      <c r="I1671" s="33"/>
      <c r="J1671" s="6"/>
      <c r="K1671" s="33"/>
      <c r="L1671" s="6"/>
    </row>
    <row r="1672" spans="1:13" x14ac:dyDescent="0.25">
      <c r="A1672" s="7" t="s">
        <v>2</v>
      </c>
      <c r="B1672" s="5"/>
      <c r="C1672" s="5"/>
      <c r="D1672" s="5"/>
      <c r="E1672" s="5"/>
      <c r="F1672" s="5"/>
      <c r="G1672" s="8" t="s">
        <v>8</v>
      </c>
      <c r="H1672" s="31"/>
      <c r="I1672" s="5"/>
      <c r="J1672" s="5"/>
      <c r="K1672" s="5"/>
      <c r="L1672" s="5"/>
    </row>
    <row r="1673" spans="1:13" x14ac:dyDescent="0.25">
      <c r="A1673" s="7" t="s">
        <v>25</v>
      </c>
      <c r="B1673" s="5"/>
      <c r="C1673" s="7" t="s">
        <v>0</v>
      </c>
      <c r="D1673" s="5"/>
      <c r="E1673" s="5"/>
      <c r="F1673" s="5"/>
      <c r="G1673" s="7" t="s">
        <v>25</v>
      </c>
      <c r="H1673" s="5"/>
      <c r="I1673" s="7" t="s">
        <v>0</v>
      </c>
      <c r="J1673" s="5"/>
      <c r="K1673" s="5"/>
      <c r="L1673" s="5"/>
    </row>
    <row r="1674" spans="1:13" x14ac:dyDescent="0.25">
      <c r="A1674" s="42" t="s">
        <v>203</v>
      </c>
      <c r="B1674" s="6"/>
      <c r="C1674" s="31">
        <f>L1634</f>
        <v>522618</v>
      </c>
      <c r="D1674" s="5"/>
      <c r="E1674" s="5"/>
      <c r="F1674" s="5"/>
      <c r="G1674" s="42"/>
      <c r="H1674" s="6"/>
      <c r="I1674" s="9"/>
      <c r="J1674" s="5"/>
      <c r="K1674" s="5"/>
      <c r="L1674" s="5"/>
    </row>
    <row r="1675" spans="1:13" ht="16.5" thickBot="1" x14ac:dyDescent="0.3">
      <c r="A1675" s="58"/>
      <c r="B1675" s="5"/>
      <c r="C1675" s="5"/>
      <c r="D1675" s="5"/>
      <c r="E1675" s="5"/>
      <c r="F1675" s="5"/>
      <c r="G1675" s="10"/>
      <c r="H1675" s="5"/>
      <c r="I1675" s="5"/>
      <c r="J1675" s="5"/>
      <c r="K1675" s="5"/>
      <c r="L1675" s="5"/>
    </row>
    <row r="1676" spans="1:13" ht="15.75" thickBot="1" x14ac:dyDescent="0.3">
      <c r="A1676" s="121" t="s">
        <v>9</v>
      </c>
      <c r="B1676" s="122"/>
      <c r="C1676" s="123"/>
      <c r="D1676" s="5"/>
      <c r="E1676" s="5"/>
      <c r="F1676" s="5"/>
      <c r="G1676" s="121" t="s">
        <v>26</v>
      </c>
      <c r="H1676" s="122"/>
      <c r="I1676" s="123"/>
      <c r="J1676" s="5"/>
      <c r="K1676" s="5"/>
      <c r="L1676" s="5"/>
    </row>
    <row r="1677" spans="1:13" x14ac:dyDescent="0.25">
      <c r="A1677" s="30" t="s">
        <v>38</v>
      </c>
      <c r="B1677" s="11"/>
      <c r="C1677" s="11"/>
      <c r="D1677" s="11"/>
      <c r="E1677" s="6"/>
      <c r="F1677" s="5"/>
      <c r="G1677" s="30" t="str">
        <f>A1680</f>
        <v>Johannesburg</v>
      </c>
      <c r="H1677" s="11"/>
      <c r="I1677" s="11"/>
      <c r="J1677" s="11"/>
      <c r="K1677" s="11"/>
      <c r="L1677" s="6"/>
    </row>
    <row r="1678" spans="1:13" ht="15.75" thickBot="1" x14ac:dyDescent="0.3">
      <c r="A1678" s="7"/>
      <c r="B1678" s="7"/>
      <c r="C1678" s="7"/>
      <c r="D1678" s="5"/>
      <c r="E1678" s="5"/>
      <c r="F1678" s="5"/>
      <c r="G1678" s="7" t="s">
        <v>3</v>
      </c>
      <c r="H1678" s="7"/>
      <c r="I1678" s="7"/>
      <c r="J1678" s="5"/>
      <c r="K1678" s="5"/>
      <c r="L1678" s="5"/>
    </row>
    <row r="1679" spans="1:13" ht="15.75" thickBot="1" x14ac:dyDescent="0.3">
      <c r="A1679" s="121" t="s">
        <v>30</v>
      </c>
      <c r="B1679" s="122"/>
      <c r="C1679" s="124"/>
      <c r="D1679" s="12" t="s">
        <v>1</v>
      </c>
      <c r="E1679" s="32"/>
      <c r="F1679" s="5"/>
      <c r="G1679" s="121" t="s">
        <v>27</v>
      </c>
      <c r="H1679" s="122"/>
      <c r="I1679" s="123"/>
      <c r="J1679" s="5"/>
      <c r="K1679" s="12" t="s">
        <v>1</v>
      </c>
      <c r="L1679" s="32">
        <v>524507</v>
      </c>
    </row>
    <row r="1680" spans="1:13" x14ac:dyDescent="0.25">
      <c r="A1680" s="34" t="s">
        <v>68</v>
      </c>
      <c r="B1680" s="14"/>
      <c r="C1680" s="11"/>
      <c r="D1680" s="11"/>
      <c r="E1680" s="6"/>
      <c r="F1680" s="5"/>
      <c r="G1680" s="34" t="s">
        <v>142</v>
      </c>
      <c r="H1680" s="11"/>
      <c r="I1680" s="11"/>
      <c r="J1680" s="11"/>
      <c r="K1680" s="11"/>
      <c r="L1680" s="6"/>
      <c r="M1680">
        <v>523279</v>
      </c>
    </row>
    <row r="1681" spans="1:13" x14ac:dyDescent="0.25">
      <c r="A1681" s="13" t="s">
        <v>210</v>
      </c>
      <c r="B1681" s="11"/>
      <c r="C1681" s="11"/>
      <c r="D1681" s="11"/>
      <c r="E1681" s="6"/>
      <c r="F1681" s="5"/>
      <c r="G1681" s="13" t="s">
        <v>46</v>
      </c>
      <c r="H1681" s="11"/>
      <c r="I1681" s="11"/>
      <c r="J1681" s="11"/>
      <c r="K1681" s="11"/>
      <c r="L1681" s="6"/>
      <c r="M1681">
        <f>L1679-M1680</f>
        <v>1228</v>
      </c>
    </row>
    <row r="1682" spans="1:13" x14ac:dyDescent="0.25">
      <c r="A1682" s="13" t="s">
        <v>211</v>
      </c>
      <c r="B1682" s="11"/>
      <c r="C1682" s="11"/>
      <c r="D1682" s="11"/>
      <c r="E1682" s="6"/>
      <c r="F1682" s="5"/>
      <c r="G1682" s="13"/>
      <c r="H1682" s="11"/>
      <c r="I1682" s="11"/>
      <c r="J1682" s="11"/>
      <c r="K1682" s="11"/>
      <c r="L1682" s="6"/>
    </row>
    <row r="1683" spans="1:13" x14ac:dyDescent="0.25">
      <c r="A1683" s="13"/>
      <c r="B1683" s="11"/>
      <c r="C1683" s="11"/>
      <c r="D1683" s="11"/>
      <c r="E1683" s="6"/>
      <c r="F1683" s="5"/>
      <c r="G1683" s="13"/>
      <c r="H1683" s="11"/>
      <c r="I1683" s="11"/>
      <c r="J1683" s="11"/>
      <c r="K1683" s="11"/>
      <c r="L1683" s="6"/>
    </row>
    <row r="1684" spans="1:13" ht="15.75" thickBot="1" x14ac:dyDescent="0.3">
      <c r="A1684" s="13"/>
      <c r="B1684" s="11"/>
      <c r="C1684" s="11" t="s">
        <v>29</v>
      </c>
      <c r="D1684" s="43"/>
      <c r="E1684" s="6"/>
      <c r="F1684" s="5"/>
      <c r="G1684" s="13"/>
      <c r="H1684" s="11"/>
      <c r="I1684" s="14" t="s">
        <v>28</v>
      </c>
      <c r="J1684" s="43"/>
      <c r="K1684" s="11"/>
      <c r="L1684" s="6"/>
    </row>
    <row r="1685" spans="1:13" ht="15.75" thickBot="1" x14ac:dyDescent="0.3">
      <c r="A1685" s="15" t="s">
        <v>10</v>
      </c>
      <c r="B1685" s="5"/>
      <c r="C1685" s="5"/>
      <c r="D1685" s="5"/>
      <c r="E1685" s="5"/>
      <c r="F1685" s="5"/>
      <c r="G1685" s="15" t="s">
        <v>14</v>
      </c>
      <c r="H1685" s="5"/>
      <c r="I1685" s="5"/>
      <c r="J1685" s="5"/>
      <c r="K1685" s="5"/>
      <c r="L1685" s="5"/>
    </row>
    <row r="1686" spans="1:13" ht="15.75" thickBot="1" x14ac:dyDescent="0.3">
      <c r="A1686" s="121"/>
      <c r="B1686" s="122"/>
      <c r="C1686" s="123"/>
      <c r="D1686" s="16"/>
      <c r="E1686" s="16"/>
      <c r="F1686" s="5"/>
      <c r="G1686" s="121" t="s">
        <v>15</v>
      </c>
      <c r="H1686" s="122"/>
      <c r="I1686" s="123"/>
      <c r="J1686" s="121" t="s">
        <v>13</v>
      </c>
      <c r="K1686" s="123"/>
      <c r="L1686" s="5"/>
    </row>
    <row r="1687" spans="1:13" x14ac:dyDescent="0.25">
      <c r="A1687" s="41" t="s">
        <v>202</v>
      </c>
      <c r="B1687" s="36" t="s">
        <v>69</v>
      </c>
      <c r="C1687" s="37"/>
      <c r="D1687" s="50">
        <v>699.52</v>
      </c>
      <c r="E1687" s="51">
        <v>18369.52</v>
      </c>
      <c r="F1687" s="44">
        <f t="shared" ref="F1687:F1692" si="35">E1687/D1687</f>
        <v>26.260178408051235</v>
      </c>
      <c r="G1687" s="125" t="s">
        <v>50</v>
      </c>
      <c r="H1687" s="126"/>
      <c r="I1687" s="127"/>
      <c r="J1687" s="128"/>
      <c r="K1687" s="129"/>
      <c r="L1687" s="5"/>
    </row>
    <row r="1688" spans="1:13" x14ac:dyDescent="0.25">
      <c r="A1688" s="48"/>
      <c r="B1688" s="35" t="s">
        <v>213</v>
      </c>
      <c r="C1688" s="39"/>
      <c r="D1688" s="52"/>
      <c r="E1688" s="57">
        <v>14927.02</v>
      </c>
      <c r="F1688" s="44" t="e">
        <f t="shared" si="35"/>
        <v>#DIV/0!</v>
      </c>
      <c r="G1688" s="110" t="s">
        <v>59</v>
      </c>
      <c r="H1688" s="111"/>
      <c r="I1688" s="112"/>
      <c r="J1688" s="113"/>
      <c r="K1688" s="114"/>
      <c r="L1688" s="5"/>
    </row>
    <row r="1689" spans="1:13" x14ac:dyDescent="0.25">
      <c r="A1689" s="63">
        <v>44835</v>
      </c>
      <c r="B1689" t="s">
        <v>47</v>
      </c>
      <c r="D1689">
        <v>426.94</v>
      </c>
      <c r="E1689">
        <v>8999.9</v>
      </c>
      <c r="F1689" s="44">
        <f>E1647/D1647</f>
        <v>23.280010891392394</v>
      </c>
      <c r="G1689" s="110" t="s">
        <v>61</v>
      </c>
      <c r="H1689" s="111"/>
      <c r="I1689" s="112"/>
      <c r="J1689" s="113"/>
      <c r="K1689" s="114"/>
      <c r="L1689" s="5"/>
    </row>
    <row r="1690" spans="1:13" x14ac:dyDescent="0.25">
      <c r="A1690" s="48"/>
      <c r="B1690" s="35"/>
      <c r="C1690" s="39"/>
      <c r="D1690" s="52"/>
      <c r="E1690" s="53"/>
      <c r="F1690" s="44" t="e">
        <f t="shared" si="35"/>
        <v>#DIV/0!</v>
      </c>
      <c r="G1690" s="110" t="s">
        <v>51</v>
      </c>
      <c r="H1690" s="111"/>
      <c r="I1690" s="112"/>
      <c r="J1690" s="113"/>
      <c r="K1690" s="114"/>
      <c r="L1690" s="5"/>
    </row>
    <row r="1691" spans="1:13" x14ac:dyDescent="0.25">
      <c r="A1691" s="27"/>
      <c r="B1691" s="11"/>
      <c r="C1691" s="6"/>
      <c r="D1691" s="54"/>
      <c r="E1691" s="55"/>
      <c r="F1691" s="44" t="e">
        <f t="shared" si="35"/>
        <v>#DIV/0!</v>
      </c>
      <c r="G1691" s="110" t="s">
        <v>58</v>
      </c>
      <c r="H1691" s="111"/>
      <c r="I1691" s="112"/>
      <c r="J1691" s="113"/>
      <c r="K1691" s="114"/>
      <c r="L1691" s="5"/>
    </row>
    <row r="1692" spans="1:13" x14ac:dyDescent="0.25">
      <c r="A1692" s="68"/>
      <c r="B1692" s="11"/>
      <c r="C1692" s="6"/>
      <c r="D1692" s="54"/>
      <c r="E1692" s="55"/>
      <c r="F1692" s="44" t="e">
        <f t="shared" si="35"/>
        <v>#DIV/0!</v>
      </c>
      <c r="G1692" s="110" t="s">
        <v>51</v>
      </c>
      <c r="H1692" s="111"/>
      <c r="I1692" s="112"/>
      <c r="J1692" s="113"/>
      <c r="K1692" s="114"/>
      <c r="L1692" s="5"/>
    </row>
    <row r="1693" spans="1:13" ht="15.75" thickBot="1" x14ac:dyDescent="0.3">
      <c r="A1693" s="5"/>
      <c r="B1693" s="5"/>
      <c r="C1693" s="7" t="s">
        <v>35</v>
      </c>
      <c r="D1693" s="17">
        <f>SUM(D1687:D1692)</f>
        <v>1126.46</v>
      </c>
      <c r="E1693" s="17">
        <f>SUM(E1687:E1692)</f>
        <v>42296.44</v>
      </c>
      <c r="F1693" s="5"/>
      <c r="G1693" s="77"/>
      <c r="H1693" s="78" t="s">
        <v>69</v>
      </c>
      <c r="I1693" s="79"/>
      <c r="J1693" s="113"/>
      <c r="K1693" s="114"/>
      <c r="L1693" s="7" t="s">
        <v>36</v>
      </c>
    </row>
    <row r="1694" spans="1:13" ht="15.75" thickBot="1" x14ac:dyDescent="0.3">
      <c r="A1694" s="5"/>
      <c r="B1694" s="5"/>
      <c r="C1694" s="5"/>
      <c r="D1694" s="5"/>
      <c r="E1694" s="5"/>
      <c r="F1694" s="5"/>
      <c r="G1694" s="77"/>
      <c r="H1694" s="78" t="s">
        <v>72</v>
      </c>
      <c r="I1694" s="79"/>
      <c r="J1694" s="113"/>
      <c r="K1694" s="114"/>
      <c r="L1694" s="18">
        <f>J1687+J1688+J1689+J1690+J1691+J1692+J1693+J1694</f>
        <v>0</v>
      </c>
    </row>
    <row r="1695" spans="1:13" ht="15.75" thickBot="1" x14ac:dyDescent="0.3">
      <c r="A1695" s="5"/>
      <c r="B1695" s="5"/>
      <c r="C1695" s="5"/>
      <c r="D1695" s="5"/>
      <c r="E1695" s="5"/>
      <c r="F1695" s="5"/>
      <c r="G1695" s="110" t="s">
        <v>73</v>
      </c>
      <c r="H1695" s="111"/>
      <c r="I1695" s="112"/>
      <c r="J1695" s="113"/>
      <c r="K1695" s="114"/>
      <c r="L1695" s="5"/>
    </row>
    <row r="1696" spans="1:13" ht="15.75" thickBot="1" x14ac:dyDescent="0.3">
      <c r="A1696" s="19"/>
      <c r="B1696" s="20"/>
      <c r="C1696" s="20"/>
      <c r="D1696" s="20"/>
      <c r="E1696" s="21" t="s">
        <v>13</v>
      </c>
      <c r="F1696" s="5"/>
      <c r="G1696" s="19"/>
      <c r="H1696" s="20"/>
      <c r="I1696" s="20"/>
      <c r="J1696" s="20"/>
      <c r="K1696" s="21" t="s">
        <v>13</v>
      </c>
      <c r="L1696" s="5"/>
    </row>
    <row r="1697" spans="1:12" x14ac:dyDescent="0.25">
      <c r="A1697" s="22" t="s">
        <v>31</v>
      </c>
      <c r="B1697" s="115">
        <v>24700</v>
      </c>
      <c r="C1697" s="116"/>
      <c r="D1697" s="116"/>
      <c r="E1697" s="117"/>
      <c r="F1697" s="5"/>
      <c r="G1697" s="22" t="s">
        <v>32</v>
      </c>
      <c r="H1697" s="115">
        <v>56000</v>
      </c>
      <c r="I1697" s="116"/>
      <c r="J1697" s="116"/>
      <c r="K1697" s="117"/>
      <c r="L1697" s="5"/>
    </row>
    <row r="1698" spans="1:12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</row>
    <row r="1699" spans="1:12" x14ac:dyDescent="0.25">
      <c r="A1699" s="7" t="s">
        <v>16</v>
      </c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</row>
    <row r="1700" spans="1:12" x14ac:dyDescent="0.25">
      <c r="A1700" s="9" t="s">
        <v>17</v>
      </c>
      <c r="B1700" s="23">
        <f>L1679-C1674</f>
        <v>1889</v>
      </c>
      <c r="C1700" s="5"/>
      <c r="D1700" s="106" t="s">
        <v>18</v>
      </c>
      <c r="E1700" s="107"/>
      <c r="F1700" s="24" t="s">
        <v>19</v>
      </c>
      <c r="G1700" s="9" t="s">
        <v>20</v>
      </c>
      <c r="H1700" s="118">
        <f>B1697+H1697</f>
        <v>80700</v>
      </c>
      <c r="I1700" s="119"/>
      <c r="J1700" s="5"/>
      <c r="K1700" s="5"/>
      <c r="L1700" s="5"/>
    </row>
    <row r="1701" spans="1:12" x14ac:dyDescent="0.25">
      <c r="A1701" s="9" t="s">
        <v>41</v>
      </c>
      <c r="B1701" s="40">
        <f>B1700/D1693</f>
        <v>1.6769348223638656</v>
      </c>
      <c r="C1701" s="5"/>
      <c r="D1701" s="102">
        <f>E1693</f>
        <v>42296.44</v>
      </c>
      <c r="E1701" s="103"/>
      <c r="F1701" s="25">
        <f>H1701/B1700</f>
        <v>27.078898888300689</v>
      </c>
      <c r="G1701" s="9" t="s">
        <v>21</v>
      </c>
      <c r="H1701" s="104">
        <f>L1694+D1701+D1703+D1705+D1707+A1704</f>
        <v>51152.04</v>
      </c>
      <c r="I1701" s="105"/>
      <c r="J1701" s="5"/>
      <c r="K1701" s="5"/>
      <c r="L1701" s="5"/>
    </row>
    <row r="1702" spans="1:12" x14ac:dyDescent="0.25">
      <c r="A1702" s="9" t="s">
        <v>43</v>
      </c>
      <c r="B1702" s="23">
        <f>D1693/B1700</f>
        <v>0.59632609846479623</v>
      </c>
      <c r="C1702" s="5"/>
      <c r="D1702" s="106" t="s">
        <v>33</v>
      </c>
      <c r="E1702" s="107"/>
      <c r="F1702" s="5"/>
      <c r="G1702" s="13" t="s">
        <v>22</v>
      </c>
      <c r="H1702" s="6"/>
      <c r="I1702" s="26">
        <f>H1700-H1701</f>
        <v>29547.96</v>
      </c>
      <c r="J1702" s="5"/>
      <c r="K1702" s="5"/>
      <c r="L1702" s="5"/>
    </row>
    <row r="1703" spans="1:12" x14ac:dyDescent="0.25">
      <c r="A1703" s="106" t="s">
        <v>40</v>
      </c>
      <c r="B1703" s="107"/>
      <c r="C1703" s="5"/>
      <c r="D1703" s="108">
        <v>1600</v>
      </c>
      <c r="E1703" s="109"/>
      <c r="F1703" s="5"/>
      <c r="G1703" s="5"/>
      <c r="H1703" s="5"/>
      <c r="I1703" s="5"/>
      <c r="J1703" s="5"/>
      <c r="K1703" s="5"/>
      <c r="L1703" s="5"/>
    </row>
    <row r="1704" spans="1:12" x14ac:dyDescent="0.25">
      <c r="A1704" s="108">
        <f>B1700*0.4</f>
        <v>755.6</v>
      </c>
      <c r="B1704" s="109"/>
      <c r="C1704" s="5"/>
      <c r="D1704" s="106" t="s">
        <v>34</v>
      </c>
      <c r="E1704" s="107"/>
      <c r="F1704" s="5"/>
      <c r="G1704" s="5"/>
      <c r="H1704" s="5"/>
      <c r="I1704" s="44"/>
      <c r="J1704" s="5"/>
      <c r="K1704" s="5"/>
      <c r="L1704" s="5"/>
    </row>
    <row r="1705" spans="1:12" x14ac:dyDescent="0.25">
      <c r="A1705" s="5"/>
      <c r="B1705" s="5"/>
      <c r="C1705" s="5"/>
      <c r="D1705" s="108">
        <v>3000</v>
      </c>
      <c r="E1705" s="109"/>
      <c r="F1705" s="5"/>
      <c r="G1705" s="5"/>
      <c r="H1705" s="5"/>
      <c r="I1705" s="5"/>
      <c r="J1705" s="5"/>
      <c r="K1705" s="5"/>
      <c r="L1705" s="5"/>
    </row>
    <row r="1706" spans="1:12" x14ac:dyDescent="0.25">
      <c r="A1706" s="5"/>
      <c r="B1706" s="5"/>
      <c r="C1706" s="5"/>
      <c r="D1706" s="106" t="s">
        <v>37</v>
      </c>
      <c r="E1706" s="107"/>
      <c r="F1706" s="5"/>
      <c r="G1706" s="5"/>
      <c r="H1706" s="5"/>
      <c r="I1706" s="5"/>
      <c r="J1706" s="5"/>
      <c r="K1706" s="5"/>
      <c r="L1706" s="5"/>
    </row>
    <row r="1707" spans="1:12" x14ac:dyDescent="0.25">
      <c r="A1707" s="5"/>
      <c r="B1707" s="5"/>
      <c r="C1707" s="5"/>
      <c r="D1707" s="108">
        <v>3500</v>
      </c>
      <c r="E1707" s="109"/>
      <c r="F1707" s="5" t="s">
        <v>78</v>
      </c>
      <c r="G1707" s="5"/>
      <c r="H1707" s="5"/>
      <c r="I1707" s="44"/>
      <c r="J1707" s="5"/>
      <c r="K1707" s="5"/>
      <c r="L1707" s="5"/>
    </row>
    <row r="1708" spans="1:12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</row>
    <row r="1709" spans="1:12" x14ac:dyDescent="0.25">
      <c r="A1709" s="5" t="s">
        <v>23</v>
      </c>
      <c r="B1709" s="5" t="s">
        <v>54</v>
      </c>
      <c r="C1709" s="5"/>
      <c r="D1709" s="5"/>
      <c r="E1709" s="5"/>
      <c r="F1709" s="5"/>
      <c r="G1709" s="5"/>
      <c r="H1709" s="5"/>
      <c r="I1709" s="5"/>
      <c r="J1709" s="5"/>
      <c r="K1709" s="5"/>
      <c r="L1709" s="5"/>
    </row>
    <row r="1710" spans="1:12" s="49" customFormat="1" x14ac:dyDescent="0.25"/>
    <row r="1713" spans="1:12" x14ac:dyDescent="0.25">
      <c r="A1713" s="120" t="s">
        <v>24</v>
      </c>
      <c r="B1713" s="120"/>
      <c r="C1713" s="120"/>
      <c r="D1713" s="120"/>
      <c r="E1713" s="120"/>
      <c r="F1713" s="120"/>
      <c r="G1713" s="120"/>
      <c r="H1713" s="120"/>
    </row>
    <row r="1714" spans="1:12" x14ac:dyDescent="0.25">
      <c r="A1714" s="120"/>
      <c r="B1714" s="120"/>
      <c r="C1714" s="120"/>
      <c r="D1714" s="120"/>
      <c r="E1714" s="120"/>
      <c r="F1714" s="120"/>
      <c r="G1714" s="120"/>
      <c r="H1714" s="120"/>
    </row>
    <row r="1715" spans="1:12" x14ac:dyDescent="0.25">
      <c r="A1715" s="1" t="s">
        <v>4</v>
      </c>
      <c r="B1715" s="2"/>
      <c r="C1715" s="2"/>
      <c r="D1715" s="2"/>
      <c r="E1715" s="2"/>
      <c r="F1715" s="2"/>
      <c r="G1715" s="3" t="s">
        <v>5</v>
      </c>
      <c r="H1715" s="3" t="s">
        <v>6</v>
      </c>
      <c r="I1715" s="4" t="s">
        <v>7</v>
      </c>
      <c r="J1715" s="5"/>
      <c r="K1715" s="5"/>
      <c r="L1715" s="5"/>
    </row>
    <row r="1716" spans="1:12" x14ac:dyDescent="0.25">
      <c r="A1716" s="28" t="s">
        <v>44</v>
      </c>
      <c r="B1716" s="29" t="s">
        <v>82</v>
      </c>
      <c r="C1716" s="67" t="s">
        <v>45</v>
      </c>
      <c r="D1716" s="66"/>
      <c r="E1716" s="2"/>
      <c r="F1716" s="2"/>
      <c r="G1716" s="28" t="s">
        <v>155</v>
      </c>
      <c r="H1716" s="66"/>
      <c r="I1716" s="33"/>
      <c r="J1716" s="6"/>
      <c r="K1716" s="33"/>
      <c r="L1716" s="6"/>
    </row>
    <row r="1717" spans="1:12" x14ac:dyDescent="0.25">
      <c r="A1717" s="7" t="s">
        <v>2</v>
      </c>
      <c r="B1717" s="5"/>
      <c r="C1717" s="5"/>
      <c r="D1717" s="5"/>
      <c r="E1717" s="5"/>
      <c r="F1717" s="5"/>
      <c r="G1717" s="8" t="s">
        <v>8</v>
      </c>
      <c r="H1717" s="31"/>
      <c r="I1717" s="5"/>
      <c r="J1717" s="5"/>
      <c r="K1717" s="5"/>
      <c r="L1717" s="5"/>
    </row>
    <row r="1718" spans="1:12" x14ac:dyDescent="0.25">
      <c r="A1718" s="7" t="s">
        <v>25</v>
      </c>
      <c r="B1718" s="5"/>
      <c r="C1718" s="7" t="s">
        <v>0</v>
      </c>
      <c r="D1718" s="5"/>
      <c r="E1718" s="5"/>
      <c r="F1718" s="5"/>
      <c r="G1718" s="7" t="s">
        <v>25</v>
      </c>
      <c r="H1718" s="5"/>
      <c r="I1718" s="7" t="s">
        <v>0</v>
      </c>
      <c r="J1718" s="5"/>
      <c r="K1718" s="5"/>
      <c r="L1718" s="5"/>
    </row>
    <row r="1719" spans="1:12" x14ac:dyDescent="0.25">
      <c r="A1719" s="42">
        <v>45200</v>
      </c>
      <c r="B1719" s="6"/>
      <c r="C1719" s="31">
        <f>L1679</f>
        <v>524507</v>
      </c>
      <c r="D1719" s="5"/>
      <c r="E1719" s="5"/>
      <c r="F1719" s="5"/>
      <c r="G1719" s="42"/>
      <c r="H1719" s="6"/>
      <c r="I1719" s="9"/>
      <c r="J1719" s="5"/>
      <c r="K1719" s="5"/>
      <c r="L1719" s="5"/>
    </row>
    <row r="1720" spans="1:12" ht="16.5" thickBot="1" x14ac:dyDescent="0.3">
      <c r="A1720" s="58"/>
      <c r="B1720" s="5"/>
      <c r="C1720" s="5"/>
      <c r="D1720" s="5"/>
      <c r="E1720" s="5"/>
      <c r="F1720" s="5"/>
      <c r="G1720" s="10"/>
      <c r="H1720" s="5"/>
      <c r="I1720" s="5"/>
      <c r="J1720" s="5"/>
      <c r="K1720" s="5"/>
      <c r="L1720" s="5"/>
    </row>
    <row r="1721" spans="1:12" ht="15.75" thickBot="1" x14ac:dyDescent="0.3">
      <c r="A1721" s="121" t="s">
        <v>9</v>
      </c>
      <c r="B1721" s="122"/>
      <c r="C1721" s="123"/>
      <c r="D1721" s="5"/>
      <c r="E1721" s="5"/>
      <c r="F1721" s="5"/>
      <c r="G1721" s="121" t="s">
        <v>26</v>
      </c>
      <c r="H1721" s="122"/>
      <c r="I1721" s="123"/>
      <c r="J1721" s="5"/>
      <c r="K1721" s="5"/>
      <c r="L1721" s="5"/>
    </row>
    <row r="1722" spans="1:12" x14ac:dyDescent="0.25">
      <c r="A1722" s="30" t="s">
        <v>38</v>
      </c>
      <c r="B1722" s="11"/>
      <c r="C1722" s="11"/>
      <c r="D1722" s="11"/>
      <c r="E1722" s="6"/>
      <c r="F1722" s="5"/>
      <c r="G1722" s="30" t="str">
        <f>A1725</f>
        <v>Okahandja Kole Ojire 14000</v>
      </c>
      <c r="H1722" s="11"/>
      <c r="I1722" s="11"/>
      <c r="J1722" s="11"/>
      <c r="K1722" s="11"/>
      <c r="L1722" s="6"/>
    </row>
    <row r="1723" spans="1:12" ht="15.75" thickBot="1" x14ac:dyDescent="0.3">
      <c r="A1723" s="7"/>
      <c r="B1723" s="7"/>
      <c r="C1723" s="7"/>
      <c r="D1723" s="5"/>
      <c r="E1723" s="5"/>
      <c r="F1723" s="5"/>
      <c r="G1723" s="7" t="s">
        <v>3</v>
      </c>
      <c r="H1723" s="7"/>
      <c r="I1723" s="7"/>
      <c r="J1723" s="5"/>
      <c r="K1723" s="5"/>
      <c r="L1723" s="5"/>
    </row>
    <row r="1724" spans="1:12" ht="15.75" thickBot="1" x14ac:dyDescent="0.3">
      <c r="A1724" s="121" t="s">
        <v>30</v>
      </c>
      <c r="B1724" s="122"/>
      <c r="C1724" s="124"/>
      <c r="D1724" s="12" t="s">
        <v>1</v>
      </c>
      <c r="E1724" s="32"/>
      <c r="F1724" s="5"/>
      <c r="G1724" s="121" t="s">
        <v>27</v>
      </c>
      <c r="H1724" s="122"/>
      <c r="I1724" s="123"/>
      <c r="J1724" s="5"/>
      <c r="K1724" s="12" t="s">
        <v>1</v>
      </c>
      <c r="L1724" s="32">
        <v>528603</v>
      </c>
    </row>
    <row r="1725" spans="1:12" x14ac:dyDescent="0.25">
      <c r="A1725" s="34" t="s">
        <v>270</v>
      </c>
      <c r="B1725" s="14"/>
      <c r="C1725" s="11"/>
      <c r="D1725" s="11"/>
      <c r="E1725" s="6"/>
      <c r="F1725" s="5"/>
      <c r="G1725" s="34" t="s">
        <v>142</v>
      </c>
      <c r="H1725" s="11"/>
      <c r="I1725" s="11"/>
      <c r="J1725" s="11"/>
      <c r="K1725" s="11"/>
      <c r="L1725" s="6"/>
    </row>
    <row r="1726" spans="1:12" x14ac:dyDescent="0.25">
      <c r="A1726" s="13" t="s">
        <v>271</v>
      </c>
      <c r="B1726" s="11"/>
      <c r="C1726" s="11"/>
      <c r="D1726" s="11"/>
      <c r="E1726" s="6"/>
      <c r="F1726" s="5"/>
      <c r="G1726" s="13" t="s">
        <v>46</v>
      </c>
      <c r="H1726" s="11"/>
      <c r="I1726" s="11"/>
      <c r="J1726" s="11"/>
      <c r="K1726" s="11"/>
      <c r="L1726" s="6"/>
    </row>
    <row r="1727" spans="1:12" x14ac:dyDescent="0.25">
      <c r="A1727" s="13" t="s">
        <v>272</v>
      </c>
      <c r="B1727" s="11"/>
      <c r="C1727" s="11"/>
      <c r="D1727" s="11"/>
      <c r="E1727" s="6"/>
      <c r="F1727" s="5"/>
      <c r="G1727" s="13"/>
      <c r="H1727" s="11"/>
      <c r="I1727" s="11"/>
      <c r="J1727" s="11"/>
      <c r="K1727" s="11"/>
      <c r="L1727" s="6"/>
    </row>
    <row r="1728" spans="1:12" x14ac:dyDescent="0.25">
      <c r="A1728" s="13" t="s">
        <v>273</v>
      </c>
      <c r="B1728" s="11"/>
      <c r="C1728" s="11"/>
      <c r="D1728" s="11"/>
      <c r="E1728" s="6"/>
      <c r="F1728" s="5"/>
      <c r="G1728" s="13"/>
      <c r="H1728" s="11"/>
      <c r="I1728" s="11"/>
      <c r="J1728" s="11"/>
      <c r="K1728" s="11"/>
      <c r="L1728" s="6"/>
    </row>
    <row r="1729" spans="1:12" ht="15.75" thickBot="1" x14ac:dyDescent="0.3">
      <c r="A1729" s="13" t="s">
        <v>275</v>
      </c>
      <c r="B1729" s="11"/>
      <c r="C1729" s="11" t="s">
        <v>29</v>
      </c>
      <c r="D1729" s="43"/>
      <c r="E1729" s="6"/>
      <c r="F1729" s="5"/>
      <c r="G1729" s="13"/>
      <c r="H1729" s="11"/>
      <c r="I1729" s="14" t="s">
        <v>28</v>
      </c>
      <c r="J1729" s="43"/>
      <c r="K1729" s="11"/>
      <c r="L1729" s="6"/>
    </row>
    <row r="1730" spans="1:12" ht="15.75" thickBot="1" x14ac:dyDescent="0.3">
      <c r="A1730" s="15" t="s">
        <v>10</v>
      </c>
      <c r="B1730" s="5"/>
      <c r="C1730" s="5"/>
      <c r="D1730" s="5"/>
      <c r="E1730" s="5"/>
      <c r="F1730" s="5"/>
      <c r="G1730" s="15" t="s">
        <v>14</v>
      </c>
      <c r="H1730" s="5"/>
      <c r="I1730" s="5"/>
      <c r="J1730" s="5"/>
      <c r="K1730" s="5"/>
      <c r="L1730" s="5"/>
    </row>
    <row r="1731" spans="1:12" ht="15.75" thickBot="1" x14ac:dyDescent="0.3">
      <c r="A1731" s="121" t="s">
        <v>11</v>
      </c>
      <c r="B1731" s="122"/>
      <c r="C1731" s="123"/>
      <c r="D1731" s="16" t="s">
        <v>12</v>
      </c>
      <c r="E1731" s="16" t="s">
        <v>13</v>
      </c>
      <c r="F1731" s="5"/>
      <c r="G1731" s="121" t="s">
        <v>15</v>
      </c>
      <c r="H1731" s="122"/>
      <c r="I1731" s="123"/>
      <c r="J1731" s="121" t="s">
        <v>13</v>
      </c>
      <c r="K1731" s="123"/>
      <c r="L1731" s="5"/>
    </row>
    <row r="1732" spans="1:12" x14ac:dyDescent="0.25">
      <c r="A1732" s="41">
        <v>45231</v>
      </c>
      <c r="B1732" s="36" t="s">
        <v>52</v>
      </c>
      <c r="C1732" s="37"/>
      <c r="D1732" s="50">
        <v>436.01</v>
      </c>
      <c r="E1732" s="51">
        <v>9003.61</v>
      </c>
      <c r="F1732" s="44">
        <f t="shared" ref="F1732:F1737" si="36">E1732/D1732</f>
        <v>20.650008027338824</v>
      </c>
      <c r="G1732" s="125" t="s">
        <v>50</v>
      </c>
      <c r="H1732" s="126"/>
      <c r="I1732" s="127"/>
      <c r="J1732" s="128"/>
      <c r="K1732" s="129"/>
      <c r="L1732" s="5"/>
    </row>
    <row r="1733" spans="1:12" x14ac:dyDescent="0.25">
      <c r="A1733" s="48" t="s">
        <v>268</v>
      </c>
      <c r="B1733" s="35" t="s">
        <v>52</v>
      </c>
      <c r="C1733" s="39"/>
      <c r="D1733" s="52">
        <v>672.17</v>
      </c>
      <c r="E1733" s="57">
        <v>13880.31</v>
      </c>
      <c r="F1733" s="44">
        <f t="shared" si="36"/>
        <v>20.649999256140561</v>
      </c>
      <c r="G1733" s="110" t="s">
        <v>59</v>
      </c>
      <c r="H1733" s="111"/>
      <c r="I1733" s="112"/>
      <c r="J1733" s="113"/>
      <c r="K1733" s="114"/>
      <c r="L1733" s="5"/>
    </row>
    <row r="1734" spans="1:12" x14ac:dyDescent="0.25">
      <c r="A1734" s="48" t="s">
        <v>274</v>
      </c>
      <c r="B1734" s="35" t="s">
        <v>52</v>
      </c>
      <c r="C1734" s="39"/>
      <c r="D1734" s="52">
        <v>733.22</v>
      </c>
      <c r="E1734" s="53">
        <v>15141.01</v>
      </c>
      <c r="F1734" s="44">
        <f t="shared" si="36"/>
        <v>20.65002318540138</v>
      </c>
      <c r="G1734" s="110" t="s">
        <v>61</v>
      </c>
      <c r="H1734" s="111"/>
      <c r="I1734" s="112"/>
      <c r="J1734" s="113"/>
      <c r="K1734" s="114"/>
      <c r="L1734" s="5"/>
    </row>
    <row r="1735" spans="1:12" x14ac:dyDescent="0.25">
      <c r="A1735" s="48" t="s">
        <v>276</v>
      </c>
      <c r="B1735" s="35" t="s">
        <v>47</v>
      </c>
      <c r="C1735" s="39"/>
      <c r="D1735" s="52">
        <v>290.45999999999998</v>
      </c>
      <c r="E1735" s="53">
        <v>6122.9</v>
      </c>
      <c r="F1735" s="44">
        <f t="shared" si="36"/>
        <v>21.080011017007507</v>
      </c>
      <c r="G1735" s="110" t="s">
        <v>51</v>
      </c>
      <c r="H1735" s="111"/>
      <c r="I1735" s="112"/>
      <c r="J1735" s="113"/>
      <c r="K1735" s="114"/>
      <c r="L1735" s="5"/>
    </row>
    <row r="1736" spans="1:12" x14ac:dyDescent="0.25">
      <c r="A1736" s="27"/>
      <c r="B1736" s="11"/>
      <c r="C1736" s="6"/>
      <c r="D1736" s="54"/>
      <c r="E1736" s="55"/>
      <c r="F1736" s="44" t="e">
        <f t="shared" si="36"/>
        <v>#DIV/0!</v>
      </c>
      <c r="G1736" s="110" t="s">
        <v>58</v>
      </c>
      <c r="H1736" s="111"/>
      <c r="I1736" s="112"/>
      <c r="J1736" s="113"/>
      <c r="K1736" s="114"/>
      <c r="L1736" s="5"/>
    </row>
    <row r="1737" spans="1:12" x14ac:dyDescent="0.25">
      <c r="A1737" s="68"/>
      <c r="B1737" s="11"/>
      <c r="C1737" s="6"/>
      <c r="D1737" s="54"/>
      <c r="E1737" s="55"/>
      <c r="F1737" s="44" t="e">
        <f t="shared" si="36"/>
        <v>#DIV/0!</v>
      </c>
      <c r="G1737" s="110" t="s">
        <v>51</v>
      </c>
      <c r="H1737" s="111"/>
      <c r="I1737" s="112"/>
      <c r="J1737" s="113"/>
      <c r="K1737" s="114"/>
      <c r="L1737" s="5"/>
    </row>
    <row r="1738" spans="1:12" ht="15.75" thickBot="1" x14ac:dyDescent="0.3">
      <c r="A1738" s="5"/>
      <c r="B1738" s="5"/>
      <c r="C1738" s="7" t="s">
        <v>35</v>
      </c>
      <c r="D1738" s="17">
        <f>SUM(D1732:D1737)</f>
        <v>2131.8599999999997</v>
      </c>
      <c r="E1738" s="17">
        <f>SUM(E1732:E1737)</f>
        <v>44147.83</v>
      </c>
      <c r="F1738" s="5"/>
      <c r="G1738" s="77"/>
      <c r="H1738" s="78" t="s">
        <v>69</v>
      </c>
      <c r="I1738" s="79"/>
      <c r="J1738" s="113"/>
      <c r="K1738" s="114"/>
      <c r="L1738" s="7" t="s">
        <v>36</v>
      </c>
    </row>
    <row r="1739" spans="1:12" ht="15.75" thickBot="1" x14ac:dyDescent="0.3">
      <c r="A1739" s="5"/>
      <c r="B1739" s="5"/>
      <c r="C1739" s="5"/>
      <c r="D1739" s="5"/>
      <c r="E1739" s="5"/>
      <c r="F1739" s="5"/>
      <c r="G1739" s="77"/>
      <c r="H1739" s="78" t="s">
        <v>72</v>
      </c>
      <c r="I1739" s="79"/>
      <c r="J1739" s="113"/>
      <c r="K1739" s="114"/>
      <c r="L1739" s="18">
        <f>J1732+J1733+J1734+J1735+J1736+J1737+J1738+J1739</f>
        <v>0</v>
      </c>
    </row>
    <row r="1740" spans="1:12" ht="15.75" thickBot="1" x14ac:dyDescent="0.3">
      <c r="A1740" s="5"/>
      <c r="B1740" s="5"/>
      <c r="C1740" s="5"/>
      <c r="D1740" s="5"/>
      <c r="E1740" s="5"/>
      <c r="F1740" s="5"/>
      <c r="G1740" s="110" t="s">
        <v>73</v>
      </c>
      <c r="H1740" s="111"/>
      <c r="I1740" s="112"/>
      <c r="J1740" s="113"/>
      <c r="K1740" s="114"/>
      <c r="L1740" s="5"/>
    </row>
    <row r="1741" spans="1:12" ht="15.75" thickBot="1" x14ac:dyDescent="0.3">
      <c r="A1741" s="19"/>
      <c r="B1741" s="20"/>
      <c r="C1741" s="20"/>
      <c r="D1741" s="20"/>
      <c r="E1741" s="21" t="s">
        <v>13</v>
      </c>
      <c r="F1741" s="5"/>
      <c r="G1741" s="19"/>
      <c r="H1741" s="20"/>
      <c r="I1741" s="20"/>
      <c r="J1741" s="20"/>
      <c r="K1741" s="21" t="s">
        <v>13</v>
      </c>
      <c r="L1741" s="5"/>
    </row>
    <row r="1742" spans="1:12" x14ac:dyDescent="0.25">
      <c r="A1742" s="22" t="s">
        <v>31</v>
      </c>
      <c r="B1742" s="115">
        <f>14000+7000+7000+8500</f>
        <v>36500</v>
      </c>
      <c r="C1742" s="116"/>
      <c r="D1742" s="116"/>
      <c r="E1742" s="117"/>
      <c r="F1742" s="5"/>
      <c r="G1742" s="22" t="s">
        <v>32</v>
      </c>
      <c r="H1742" s="115">
        <v>12370</v>
      </c>
      <c r="I1742" s="116"/>
      <c r="J1742" s="116"/>
      <c r="K1742" s="117"/>
      <c r="L1742" s="5"/>
    </row>
    <row r="1743" spans="1:12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</row>
    <row r="1744" spans="1:12" x14ac:dyDescent="0.25">
      <c r="A1744" s="7" t="s">
        <v>16</v>
      </c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</row>
    <row r="1745" spans="1:12" x14ac:dyDescent="0.25">
      <c r="A1745" s="9" t="s">
        <v>17</v>
      </c>
      <c r="B1745" s="23">
        <f>L1724-C1719</f>
        <v>4096</v>
      </c>
      <c r="C1745" s="5"/>
      <c r="D1745" s="106" t="s">
        <v>18</v>
      </c>
      <c r="E1745" s="107"/>
      <c r="F1745" s="24" t="s">
        <v>19</v>
      </c>
      <c r="G1745" s="9" t="s">
        <v>20</v>
      </c>
      <c r="H1745" s="118">
        <f>B1742+H1742</f>
        <v>48870</v>
      </c>
      <c r="I1745" s="119"/>
      <c r="J1745" s="5"/>
      <c r="K1745" s="5"/>
      <c r="L1745" s="5"/>
    </row>
    <row r="1746" spans="1:12" x14ac:dyDescent="0.25">
      <c r="A1746" s="9" t="s">
        <v>41</v>
      </c>
      <c r="B1746" s="40">
        <f>B1745/D1738</f>
        <v>1.9213269164016402</v>
      </c>
      <c r="C1746" s="5"/>
      <c r="D1746" s="102">
        <f>E1738</f>
        <v>44147.83</v>
      </c>
      <c r="E1746" s="103"/>
      <c r="F1746" s="25">
        <f>H1746/B1745</f>
        <v>11.19800537109375</v>
      </c>
      <c r="G1746" s="9" t="s">
        <v>21</v>
      </c>
      <c r="H1746" s="104">
        <f>L1739+D1746+D1748+D1750+D1752+A1749</f>
        <v>45867.03</v>
      </c>
      <c r="I1746" s="105"/>
      <c r="J1746" s="5"/>
      <c r="K1746" s="5"/>
      <c r="L1746" s="5"/>
    </row>
    <row r="1747" spans="1:12" x14ac:dyDescent="0.25">
      <c r="A1747" s="9" t="s">
        <v>43</v>
      </c>
      <c r="B1747" s="23">
        <f>D1738/B1745</f>
        <v>0.52047363281249992</v>
      </c>
      <c r="C1747" s="5"/>
      <c r="D1747" s="106" t="s">
        <v>33</v>
      </c>
      <c r="E1747" s="107"/>
      <c r="F1747" s="5"/>
      <c r="G1747" s="13" t="s">
        <v>22</v>
      </c>
      <c r="H1747" s="6"/>
      <c r="I1747" s="26">
        <f>H1745-H1746</f>
        <v>3002.9700000000012</v>
      </c>
      <c r="J1747" s="5"/>
      <c r="K1747" s="5"/>
      <c r="L1747" s="5"/>
    </row>
    <row r="1748" spans="1:12" x14ac:dyDescent="0.25">
      <c r="A1748" s="106" t="s">
        <v>40</v>
      </c>
      <c r="B1748" s="107"/>
      <c r="C1748" s="5"/>
      <c r="D1748" s="108">
        <v>900</v>
      </c>
      <c r="E1748" s="109"/>
      <c r="F1748" s="5"/>
      <c r="G1748" s="5"/>
      <c r="H1748" s="5"/>
      <c r="I1748" s="5"/>
      <c r="J1748" s="5"/>
      <c r="K1748" s="5"/>
      <c r="L1748" s="5"/>
    </row>
    <row r="1749" spans="1:12" x14ac:dyDescent="0.25">
      <c r="A1749" s="108">
        <f>B1745*0.2</f>
        <v>819.2</v>
      </c>
      <c r="B1749" s="109"/>
      <c r="C1749" s="5"/>
      <c r="D1749" s="106" t="s">
        <v>34</v>
      </c>
      <c r="E1749" s="107"/>
      <c r="F1749" s="5"/>
      <c r="G1749" s="5"/>
      <c r="H1749" s="5"/>
      <c r="I1749" s="44"/>
      <c r="J1749" s="5"/>
      <c r="K1749" s="5"/>
      <c r="L1749" s="5"/>
    </row>
    <row r="1750" spans="1:12" x14ac:dyDescent="0.25">
      <c r="A1750" s="5"/>
      <c r="B1750" s="5"/>
      <c r="C1750" s="5"/>
      <c r="D1750" s="108">
        <v>0</v>
      </c>
      <c r="E1750" s="109"/>
      <c r="F1750" s="5"/>
      <c r="G1750" s="5"/>
      <c r="H1750" s="5"/>
      <c r="I1750" s="5"/>
      <c r="J1750" s="5"/>
      <c r="K1750" s="5"/>
      <c r="L1750" s="5"/>
    </row>
    <row r="1751" spans="1:12" x14ac:dyDescent="0.25">
      <c r="A1751" s="5"/>
      <c r="B1751" s="5"/>
      <c r="C1751" s="5"/>
      <c r="D1751" s="106" t="s">
        <v>37</v>
      </c>
      <c r="E1751" s="107"/>
      <c r="F1751" s="5"/>
      <c r="G1751" s="5"/>
      <c r="H1751" s="5"/>
      <c r="I1751" s="5"/>
      <c r="J1751" s="5"/>
      <c r="K1751" s="5"/>
      <c r="L1751" s="5"/>
    </row>
    <row r="1752" spans="1:12" x14ac:dyDescent="0.25">
      <c r="A1752" s="5"/>
      <c r="B1752" s="5"/>
      <c r="C1752" s="5"/>
      <c r="D1752" s="108">
        <v>0</v>
      </c>
      <c r="E1752" s="109"/>
      <c r="F1752" s="5" t="s">
        <v>78</v>
      </c>
      <c r="G1752" s="5"/>
      <c r="H1752" s="5"/>
      <c r="I1752" s="44"/>
      <c r="J1752" s="5"/>
      <c r="K1752" s="5"/>
      <c r="L1752" s="5"/>
    </row>
    <row r="1753" spans="1:12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spans="1:12" x14ac:dyDescent="0.25">
      <c r="A1754" s="5" t="s">
        <v>23</v>
      </c>
      <c r="B1754" s="5" t="s">
        <v>54</v>
      </c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  <row r="1755" spans="1:12" s="49" customFormat="1" x14ac:dyDescent="0.25"/>
    <row r="1758" spans="1:12" x14ac:dyDescent="0.25">
      <c r="A1758" s="120" t="s">
        <v>24</v>
      </c>
      <c r="B1758" s="120"/>
      <c r="C1758" s="120"/>
      <c r="D1758" s="120"/>
      <c r="E1758" s="120"/>
      <c r="F1758" s="120"/>
      <c r="G1758" s="120"/>
      <c r="H1758" s="120"/>
    </row>
    <row r="1759" spans="1:12" x14ac:dyDescent="0.25">
      <c r="A1759" s="120"/>
      <c r="B1759" s="120"/>
      <c r="C1759" s="120"/>
      <c r="D1759" s="120"/>
      <c r="E1759" s="120"/>
      <c r="F1759" s="120"/>
      <c r="G1759" s="120"/>
      <c r="H1759" s="120"/>
    </row>
    <row r="1760" spans="1:12" x14ac:dyDescent="0.25">
      <c r="A1760" s="1" t="s">
        <v>4</v>
      </c>
      <c r="B1760" s="2"/>
      <c r="C1760" s="2"/>
      <c r="D1760" s="2"/>
      <c r="E1760" s="2"/>
      <c r="F1760" s="2"/>
      <c r="G1760" s="3" t="s">
        <v>5</v>
      </c>
      <c r="H1760" s="3" t="s">
        <v>6</v>
      </c>
      <c r="I1760" s="4" t="s">
        <v>7</v>
      </c>
      <c r="J1760" s="5"/>
      <c r="K1760" s="5"/>
      <c r="L1760" s="5"/>
    </row>
    <row r="1761" spans="1:12" x14ac:dyDescent="0.25">
      <c r="A1761" s="28" t="s">
        <v>277</v>
      </c>
      <c r="B1761" s="29" t="s">
        <v>82</v>
      </c>
      <c r="C1761" s="67" t="s">
        <v>45</v>
      </c>
      <c r="D1761" s="66"/>
      <c r="E1761" s="2"/>
      <c r="F1761" s="2"/>
      <c r="G1761" s="28" t="s">
        <v>155</v>
      </c>
      <c r="H1761" s="66"/>
      <c r="I1761" s="33"/>
      <c r="J1761" s="6"/>
      <c r="K1761" s="33"/>
      <c r="L1761" s="6"/>
    </row>
    <row r="1762" spans="1:12" x14ac:dyDescent="0.25">
      <c r="A1762" s="7" t="s">
        <v>2</v>
      </c>
      <c r="B1762" s="5"/>
      <c r="C1762" s="5"/>
      <c r="D1762" s="5"/>
      <c r="E1762" s="5"/>
      <c r="F1762" s="5"/>
      <c r="G1762" s="8" t="s">
        <v>8</v>
      </c>
      <c r="H1762" s="31"/>
      <c r="I1762" s="5"/>
      <c r="J1762" s="5"/>
      <c r="K1762" s="5"/>
      <c r="L1762" s="5"/>
    </row>
    <row r="1763" spans="1:12" x14ac:dyDescent="0.25">
      <c r="A1763" s="7" t="s">
        <v>25</v>
      </c>
      <c r="B1763" s="5"/>
      <c r="C1763" s="7" t="s">
        <v>0</v>
      </c>
      <c r="D1763" s="5"/>
      <c r="E1763" s="5"/>
      <c r="F1763" s="5"/>
      <c r="G1763" s="7" t="s">
        <v>25</v>
      </c>
      <c r="H1763" s="5"/>
      <c r="I1763" s="7" t="s">
        <v>0</v>
      </c>
      <c r="J1763" s="5"/>
      <c r="K1763" s="5"/>
      <c r="L1763" s="5"/>
    </row>
    <row r="1764" spans="1:12" x14ac:dyDescent="0.25">
      <c r="A1764" s="42" t="s">
        <v>276</v>
      </c>
      <c r="B1764" s="6"/>
      <c r="C1764" s="31">
        <f>L1724</f>
        <v>528603</v>
      </c>
      <c r="D1764" s="5"/>
      <c r="E1764" s="5"/>
      <c r="F1764" s="5"/>
      <c r="G1764" s="42"/>
      <c r="H1764" s="6"/>
      <c r="I1764" s="9"/>
      <c r="J1764" s="5"/>
      <c r="K1764" s="5"/>
      <c r="L1764" s="5"/>
    </row>
    <row r="1765" spans="1:12" ht="16.5" thickBot="1" x14ac:dyDescent="0.3">
      <c r="A1765" s="58"/>
      <c r="B1765" s="5"/>
      <c r="C1765" s="5"/>
      <c r="D1765" s="5"/>
      <c r="E1765" s="5"/>
      <c r="F1765" s="5"/>
      <c r="G1765" s="10"/>
      <c r="H1765" s="5"/>
      <c r="I1765" s="5"/>
      <c r="J1765" s="5"/>
      <c r="K1765" s="5"/>
      <c r="L1765" s="5"/>
    </row>
    <row r="1766" spans="1:12" ht="15.75" thickBot="1" x14ac:dyDescent="0.3">
      <c r="A1766" s="121" t="s">
        <v>9</v>
      </c>
      <c r="B1766" s="122"/>
      <c r="C1766" s="123"/>
      <c r="D1766" s="5"/>
      <c r="E1766" s="5"/>
      <c r="F1766" s="5"/>
      <c r="G1766" s="121" t="s">
        <v>26</v>
      </c>
      <c r="H1766" s="122"/>
      <c r="I1766" s="123"/>
      <c r="J1766" s="5"/>
      <c r="K1766" s="5"/>
      <c r="L1766" s="5"/>
    </row>
    <row r="1767" spans="1:12" x14ac:dyDescent="0.25">
      <c r="A1767" s="30" t="s">
        <v>38</v>
      </c>
      <c r="B1767" s="11"/>
      <c r="C1767" s="11"/>
      <c r="D1767" s="11"/>
      <c r="E1767" s="6"/>
      <c r="F1767" s="5"/>
      <c r="G1767" s="30" t="str">
        <f>A1770</f>
        <v>Keetmans</v>
      </c>
      <c r="H1767" s="11"/>
      <c r="I1767" s="11"/>
      <c r="J1767" s="11"/>
      <c r="K1767" s="11"/>
      <c r="L1767" s="6"/>
    </row>
    <row r="1768" spans="1:12" ht="15.75" thickBot="1" x14ac:dyDescent="0.3">
      <c r="A1768" s="7"/>
      <c r="B1768" s="7"/>
      <c r="C1768" s="7"/>
      <c r="D1768" s="5"/>
      <c r="E1768" s="5"/>
      <c r="F1768" s="5"/>
      <c r="G1768" s="7" t="s">
        <v>3</v>
      </c>
      <c r="H1768" s="7"/>
      <c r="I1768" s="7"/>
      <c r="J1768" s="5"/>
      <c r="K1768" s="5"/>
      <c r="L1768" s="5"/>
    </row>
    <row r="1769" spans="1:12" ht="15.75" thickBot="1" x14ac:dyDescent="0.3">
      <c r="A1769" s="121" t="s">
        <v>30</v>
      </c>
      <c r="B1769" s="122"/>
      <c r="C1769" s="124"/>
      <c r="D1769" s="12" t="s">
        <v>1</v>
      </c>
      <c r="E1769" s="32"/>
      <c r="F1769" s="5"/>
      <c r="G1769" s="121" t="s">
        <v>27</v>
      </c>
      <c r="H1769" s="122"/>
      <c r="I1769" s="123"/>
      <c r="J1769" s="5"/>
      <c r="K1769" s="12" t="s">
        <v>1</v>
      </c>
      <c r="L1769" s="32">
        <v>529647</v>
      </c>
    </row>
    <row r="1770" spans="1:12" x14ac:dyDescent="0.25">
      <c r="A1770" s="34" t="s">
        <v>46</v>
      </c>
      <c r="B1770" s="14"/>
      <c r="C1770" s="11"/>
      <c r="D1770" s="11"/>
      <c r="E1770" s="6"/>
      <c r="F1770" s="5"/>
      <c r="G1770" s="34"/>
      <c r="H1770" s="11"/>
      <c r="I1770" s="11"/>
      <c r="J1770" s="11"/>
      <c r="K1770" s="11"/>
      <c r="L1770" s="6"/>
    </row>
    <row r="1771" spans="1:12" x14ac:dyDescent="0.25">
      <c r="A1771" s="13" t="s">
        <v>278</v>
      </c>
      <c r="B1771" s="11"/>
      <c r="C1771" s="11"/>
      <c r="D1771" s="11"/>
      <c r="E1771" s="6"/>
      <c r="F1771" s="5"/>
      <c r="G1771" s="13" t="s">
        <v>280</v>
      </c>
      <c r="H1771" s="11"/>
      <c r="I1771" s="11"/>
      <c r="J1771" s="11"/>
      <c r="K1771" s="11"/>
      <c r="L1771" s="6"/>
    </row>
    <row r="1772" spans="1:12" x14ac:dyDescent="0.25">
      <c r="A1772" s="13" t="s">
        <v>279</v>
      </c>
      <c r="B1772" s="11"/>
      <c r="C1772" s="11"/>
      <c r="D1772" s="11"/>
      <c r="E1772" s="6"/>
      <c r="F1772" s="5"/>
      <c r="G1772" s="13" t="s">
        <v>281</v>
      </c>
      <c r="H1772" s="11"/>
      <c r="I1772" s="11"/>
      <c r="J1772" s="11"/>
      <c r="K1772" s="11"/>
      <c r="L1772" s="6"/>
    </row>
    <row r="1773" spans="1:12" x14ac:dyDescent="0.25">
      <c r="A1773" s="13"/>
      <c r="B1773" s="11"/>
      <c r="C1773" s="11"/>
      <c r="D1773" s="11"/>
      <c r="E1773" s="6"/>
      <c r="F1773" s="5"/>
      <c r="G1773" s="13"/>
      <c r="H1773" s="11"/>
      <c r="I1773" s="11"/>
      <c r="J1773" s="11"/>
      <c r="K1773" s="11"/>
      <c r="L1773" s="6"/>
    </row>
    <row r="1774" spans="1:12" ht="15.75" thickBot="1" x14ac:dyDescent="0.3">
      <c r="A1774" s="13"/>
      <c r="B1774" s="11"/>
      <c r="C1774" s="11" t="s">
        <v>29</v>
      </c>
      <c r="D1774" s="43"/>
      <c r="E1774" s="6"/>
      <c r="F1774" s="5"/>
      <c r="G1774" s="13"/>
      <c r="H1774" s="11"/>
      <c r="I1774" s="14" t="s">
        <v>28</v>
      </c>
      <c r="J1774" s="43"/>
      <c r="K1774" s="11"/>
      <c r="L1774" s="6"/>
    </row>
    <row r="1775" spans="1:12" ht="15.75" thickBot="1" x14ac:dyDescent="0.3">
      <c r="A1775" s="15" t="s">
        <v>10</v>
      </c>
      <c r="B1775" s="5"/>
      <c r="C1775" s="5"/>
      <c r="D1775" s="5"/>
      <c r="E1775" s="5"/>
      <c r="F1775" s="5"/>
      <c r="G1775" s="15" t="s">
        <v>14</v>
      </c>
      <c r="H1775" s="5"/>
      <c r="I1775" s="5"/>
      <c r="J1775" s="5"/>
      <c r="K1775" s="5"/>
      <c r="L1775" s="5"/>
    </row>
    <row r="1776" spans="1:12" ht="15.75" thickBot="1" x14ac:dyDescent="0.3">
      <c r="A1776" s="121" t="s">
        <v>11</v>
      </c>
      <c r="B1776" s="122"/>
      <c r="C1776" s="123"/>
      <c r="D1776" s="16" t="s">
        <v>12</v>
      </c>
      <c r="E1776" s="16" t="s">
        <v>13</v>
      </c>
      <c r="F1776" s="5"/>
      <c r="G1776" s="121" t="s">
        <v>15</v>
      </c>
      <c r="H1776" s="122"/>
      <c r="I1776" s="123"/>
      <c r="J1776" s="121" t="s">
        <v>13</v>
      </c>
      <c r="K1776" s="123"/>
      <c r="L1776" s="5"/>
    </row>
    <row r="1777" spans="1:12" x14ac:dyDescent="0.25">
      <c r="A1777" s="41" t="s">
        <v>269</v>
      </c>
      <c r="B1777" s="36" t="s">
        <v>47</v>
      </c>
      <c r="C1777" s="37"/>
      <c r="D1777" s="50">
        <v>540.79999999999995</v>
      </c>
      <c r="E1777" s="51">
        <v>11400.05</v>
      </c>
      <c r="F1777" s="44">
        <f t="shared" ref="F1777:F1782" si="37">E1777/D1777</f>
        <v>21.079974112426036</v>
      </c>
      <c r="G1777" s="125" t="s">
        <v>50</v>
      </c>
      <c r="H1777" s="126"/>
      <c r="I1777" s="127"/>
      <c r="J1777" s="128"/>
      <c r="K1777" s="129"/>
      <c r="L1777" s="5"/>
    </row>
    <row r="1778" spans="1:12" x14ac:dyDescent="0.25">
      <c r="A1778" s="48"/>
      <c r="B1778" s="35"/>
      <c r="C1778" s="39"/>
      <c r="D1778" s="52"/>
      <c r="E1778" s="57"/>
      <c r="F1778" s="44" t="e">
        <f t="shared" si="37"/>
        <v>#DIV/0!</v>
      </c>
      <c r="G1778" s="110" t="s">
        <v>59</v>
      </c>
      <c r="H1778" s="111"/>
      <c r="I1778" s="112"/>
      <c r="J1778" s="113"/>
      <c r="K1778" s="114"/>
      <c r="L1778" s="5"/>
    </row>
    <row r="1779" spans="1:12" x14ac:dyDescent="0.25">
      <c r="A1779" s="48"/>
      <c r="B1779" s="35"/>
      <c r="C1779" s="39"/>
      <c r="D1779" s="52"/>
      <c r="E1779" s="53"/>
      <c r="F1779" s="44" t="e">
        <f t="shared" si="37"/>
        <v>#DIV/0!</v>
      </c>
      <c r="G1779" s="110" t="s">
        <v>61</v>
      </c>
      <c r="H1779" s="111"/>
      <c r="I1779" s="112"/>
      <c r="J1779" s="113"/>
      <c r="K1779" s="114"/>
      <c r="L1779" s="5"/>
    </row>
    <row r="1780" spans="1:12" x14ac:dyDescent="0.25">
      <c r="A1780" s="48"/>
      <c r="B1780" s="35"/>
      <c r="C1780" s="39"/>
      <c r="D1780" s="52"/>
      <c r="E1780" s="53"/>
      <c r="F1780" s="44" t="e">
        <f t="shared" si="37"/>
        <v>#DIV/0!</v>
      </c>
      <c r="G1780" s="110" t="s">
        <v>51</v>
      </c>
      <c r="H1780" s="111"/>
      <c r="I1780" s="112"/>
      <c r="J1780" s="113"/>
      <c r="K1780" s="114"/>
      <c r="L1780" s="5"/>
    </row>
    <row r="1781" spans="1:12" x14ac:dyDescent="0.25">
      <c r="A1781" s="27"/>
      <c r="B1781" s="11"/>
      <c r="C1781" s="6"/>
      <c r="D1781" s="54"/>
      <c r="E1781" s="55"/>
      <c r="F1781" s="44" t="e">
        <f t="shared" si="37"/>
        <v>#DIV/0!</v>
      </c>
      <c r="G1781" s="110" t="s">
        <v>58</v>
      </c>
      <c r="H1781" s="111"/>
      <c r="I1781" s="112"/>
      <c r="J1781" s="113"/>
      <c r="K1781" s="114"/>
      <c r="L1781" s="5"/>
    </row>
    <row r="1782" spans="1:12" x14ac:dyDescent="0.25">
      <c r="A1782" s="68"/>
      <c r="B1782" s="11"/>
      <c r="C1782" s="6"/>
      <c r="D1782" s="54"/>
      <c r="E1782" s="55"/>
      <c r="F1782" s="44" t="e">
        <f t="shared" si="37"/>
        <v>#DIV/0!</v>
      </c>
      <c r="G1782" s="110" t="s">
        <v>51</v>
      </c>
      <c r="H1782" s="111"/>
      <c r="I1782" s="112"/>
      <c r="J1782" s="113"/>
      <c r="K1782" s="114"/>
      <c r="L1782" s="5"/>
    </row>
    <row r="1783" spans="1:12" ht="15.75" thickBot="1" x14ac:dyDescent="0.3">
      <c r="A1783" s="5"/>
      <c r="B1783" s="5"/>
      <c r="C1783" s="7" t="s">
        <v>35</v>
      </c>
      <c r="D1783" s="17">
        <f>SUM(D1777:D1782)</f>
        <v>540.79999999999995</v>
      </c>
      <c r="E1783" s="17">
        <f>SUM(E1777:E1782)</f>
        <v>11400.05</v>
      </c>
      <c r="F1783" s="5"/>
      <c r="G1783" s="77"/>
      <c r="H1783" s="78" t="s">
        <v>69</v>
      </c>
      <c r="I1783" s="79"/>
      <c r="J1783" s="113"/>
      <c r="K1783" s="114"/>
      <c r="L1783" s="7" t="s">
        <v>36</v>
      </c>
    </row>
    <row r="1784" spans="1:12" ht="15.75" thickBot="1" x14ac:dyDescent="0.3">
      <c r="A1784" s="5"/>
      <c r="B1784" s="5"/>
      <c r="C1784" s="5"/>
      <c r="D1784" s="5"/>
      <c r="E1784" s="5"/>
      <c r="F1784" s="5"/>
      <c r="G1784" s="77"/>
      <c r="H1784" s="78" t="s">
        <v>72</v>
      </c>
      <c r="I1784" s="79"/>
      <c r="J1784" s="113"/>
      <c r="K1784" s="114"/>
      <c r="L1784" s="18">
        <f>J1777+J1778+J1779+J1780+J1781+J1782+J1783+J1784</f>
        <v>0</v>
      </c>
    </row>
    <row r="1785" spans="1:12" ht="15.75" thickBot="1" x14ac:dyDescent="0.3">
      <c r="A1785" s="5"/>
      <c r="B1785" s="5"/>
      <c r="C1785" s="5"/>
      <c r="D1785" s="5"/>
      <c r="E1785" s="5"/>
      <c r="F1785" s="5"/>
      <c r="G1785" s="110" t="s">
        <v>73</v>
      </c>
      <c r="H1785" s="111"/>
      <c r="I1785" s="112"/>
      <c r="J1785" s="113"/>
      <c r="K1785" s="114"/>
      <c r="L1785" s="5"/>
    </row>
    <row r="1786" spans="1:12" ht="15.75" thickBot="1" x14ac:dyDescent="0.3">
      <c r="A1786" s="19"/>
      <c r="B1786" s="20"/>
      <c r="C1786" s="20"/>
      <c r="D1786" s="20"/>
      <c r="E1786" s="21" t="s">
        <v>13</v>
      </c>
      <c r="F1786" s="5"/>
      <c r="G1786" s="19"/>
      <c r="H1786" s="20"/>
      <c r="I1786" s="20"/>
      <c r="J1786" s="20"/>
      <c r="K1786" s="21" t="s">
        <v>13</v>
      </c>
      <c r="L1786" s="5"/>
    </row>
    <row r="1787" spans="1:12" x14ac:dyDescent="0.25">
      <c r="A1787" s="22" t="s">
        <v>31</v>
      </c>
      <c r="B1787" s="115">
        <v>15000</v>
      </c>
      <c r="C1787" s="116"/>
      <c r="D1787" s="116"/>
      <c r="E1787" s="117"/>
      <c r="F1787" s="5"/>
      <c r="G1787" s="22" t="s">
        <v>32</v>
      </c>
      <c r="H1787" s="115">
        <v>8000</v>
      </c>
      <c r="I1787" s="116"/>
      <c r="J1787" s="116"/>
      <c r="K1787" s="117"/>
      <c r="L1787" s="5"/>
    </row>
    <row r="1788" spans="1:12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</row>
    <row r="1789" spans="1:12" x14ac:dyDescent="0.25">
      <c r="A1789" s="7" t="s">
        <v>16</v>
      </c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</row>
    <row r="1790" spans="1:12" x14ac:dyDescent="0.25">
      <c r="A1790" s="9" t="s">
        <v>17</v>
      </c>
      <c r="B1790" s="23">
        <f>L1769-C1764</f>
        <v>1044</v>
      </c>
      <c r="C1790" s="5"/>
      <c r="D1790" s="106" t="s">
        <v>18</v>
      </c>
      <c r="E1790" s="107"/>
      <c r="F1790" s="24" t="s">
        <v>19</v>
      </c>
      <c r="G1790" s="9" t="s">
        <v>20</v>
      </c>
      <c r="H1790" s="118">
        <f>B1787+H1787</f>
        <v>23000</v>
      </c>
      <c r="I1790" s="119"/>
      <c r="J1790" s="5"/>
      <c r="K1790" s="5"/>
      <c r="L1790" s="5"/>
    </row>
    <row r="1791" spans="1:12" x14ac:dyDescent="0.25">
      <c r="A1791" s="9" t="s">
        <v>41</v>
      </c>
      <c r="B1791" s="40">
        <f>B1790/D1783</f>
        <v>1.9304733727810652</v>
      </c>
      <c r="C1791" s="5"/>
      <c r="D1791" s="102">
        <f>E1783</f>
        <v>11400.05</v>
      </c>
      <c r="E1791" s="103"/>
      <c r="F1791" s="25">
        <f>H1791/B1790</f>
        <v>11.694300766283524</v>
      </c>
      <c r="G1791" s="9" t="s">
        <v>21</v>
      </c>
      <c r="H1791" s="104">
        <f>L1784+D1791+D1793+D1795+D1797+A1794</f>
        <v>12208.849999999999</v>
      </c>
      <c r="I1791" s="105"/>
      <c r="J1791" s="5"/>
      <c r="K1791" s="5"/>
      <c r="L1791" s="5"/>
    </row>
    <row r="1792" spans="1:12" x14ac:dyDescent="0.25">
      <c r="A1792" s="9" t="s">
        <v>43</v>
      </c>
      <c r="B1792" s="23">
        <f>D1783/B1790</f>
        <v>0.51800766283524902</v>
      </c>
      <c r="C1792" s="5"/>
      <c r="D1792" s="106" t="s">
        <v>33</v>
      </c>
      <c r="E1792" s="107"/>
      <c r="F1792" s="5"/>
      <c r="G1792" s="13" t="s">
        <v>22</v>
      </c>
      <c r="H1792" s="6"/>
      <c r="I1792" s="26">
        <f>H1790-H1791</f>
        <v>10791.150000000001</v>
      </c>
      <c r="J1792" s="5"/>
      <c r="K1792" s="5"/>
      <c r="L1792" s="5"/>
    </row>
    <row r="1793" spans="1:12" x14ac:dyDescent="0.25">
      <c r="A1793" s="106" t="s">
        <v>40</v>
      </c>
      <c r="B1793" s="107"/>
      <c r="C1793" s="5"/>
      <c r="D1793" s="108">
        <v>600</v>
      </c>
      <c r="E1793" s="109"/>
      <c r="F1793" s="5"/>
      <c r="G1793" s="5"/>
      <c r="H1793" s="5"/>
      <c r="I1793" s="5"/>
      <c r="J1793" s="5"/>
      <c r="K1793" s="5"/>
      <c r="L1793" s="5"/>
    </row>
    <row r="1794" spans="1:12" x14ac:dyDescent="0.25">
      <c r="A1794" s="108">
        <f>B1790*0.2</f>
        <v>208.8</v>
      </c>
      <c r="B1794" s="109"/>
      <c r="C1794" s="5"/>
      <c r="D1794" s="106" t="s">
        <v>34</v>
      </c>
      <c r="E1794" s="107"/>
      <c r="F1794" s="5"/>
      <c r="G1794" s="5"/>
      <c r="H1794" s="5"/>
      <c r="I1794" s="44"/>
      <c r="J1794" s="5"/>
      <c r="K1794" s="5"/>
      <c r="L1794" s="5"/>
    </row>
    <row r="1795" spans="1:12" x14ac:dyDescent="0.25">
      <c r="A1795" s="5"/>
      <c r="B1795" s="5"/>
      <c r="C1795" s="5"/>
      <c r="D1795" s="108">
        <v>0</v>
      </c>
      <c r="E1795" s="109"/>
      <c r="F1795" s="5"/>
      <c r="G1795" s="5"/>
      <c r="H1795" s="5"/>
      <c r="I1795" s="5"/>
      <c r="J1795" s="5"/>
      <c r="K1795" s="5"/>
      <c r="L1795" s="5"/>
    </row>
    <row r="1796" spans="1:12" x14ac:dyDescent="0.25">
      <c r="A1796" s="5"/>
      <c r="B1796" s="5"/>
      <c r="C1796" s="5"/>
      <c r="D1796" s="106" t="s">
        <v>37</v>
      </c>
      <c r="E1796" s="107"/>
      <c r="F1796" s="5"/>
      <c r="G1796" s="5"/>
      <c r="H1796" s="5"/>
      <c r="I1796" s="5"/>
      <c r="J1796" s="5"/>
      <c r="K1796" s="5"/>
      <c r="L1796" s="5"/>
    </row>
    <row r="1797" spans="1:12" x14ac:dyDescent="0.25">
      <c r="A1797" s="5"/>
      <c r="B1797" s="5"/>
      <c r="C1797" s="5"/>
      <c r="D1797" s="108">
        <v>0</v>
      </c>
      <c r="E1797" s="109"/>
      <c r="F1797" s="5" t="s">
        <v>78</v>
      </c>
      <c r="G1797" s="5"/>
      <c r="H1797" s="5"/>
      <c r="I1797" s="44"/>
      <c r="J1797" s="5"/>
      <c r="K1797" s="5"/>
      <c r="L1797" s="5"/>
    </row>
    <row r="1798" spans="1:12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</row>
    <row r="1799" spans="1:12" x14ac:dyDescent="0.25">
      <c r="A1799" s="5" t="s">
        <v>23</v>
      </c>
      <c r="B1799" s="5" t="s">
        <v>54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</row>
    <row r="1800" spans="1:12" s="49" customFormat="1" x14ac:dyDescent="0.25">
      <c r="A1800" s="49" t="s">
        <v>282</v>
      </c>
    </row>
    <row r="1803" spans="1:12" x14ac:dyDescent="0.25">
      <c r="A1803" s="120" t="s">
        <v>24</v>
      </c>
      <c r="B1803" s="120"/>
      <c r="C1803" s="120"/>
      <c r="D1803" s="120"/>
      <c r="E1803" s="120"/>
      <c r="F1803" s="120"/>
      <c r="G1803" s="120"/>
      <c r="H1803" s="120"/>
    </row>
    <row r="1804" spans="1:12" x14ac:dyDescent="0.25">
      <c r="A1804" s="120"/>
      <c r="B1804" s="120"/>
      <c r="C1804" s="120"/>
      <c r="D1804" s="120"/>
      <c r="E1804" s="120"/>
      <c r="F1804" s="120"/>
      <c r="G1804" s="120"/>
      <c r="H1804" s="120"/>
    </row>
    <row r="1805" spans="1:12" x14ac:dyDescent="0.25">
      <c r="A1805" s="1" t="s">
        <v>4</v>
      </c>
      <c r="B1805" s="2"/>
      <c r="C1805" s="2"/>
      <c r="D1805" s="2"/>
      <c r="E1805" s="2"/>
      <c r="F1805" s="2"/>
      <c r="G1805" s="3" t="s">
        <v>5</v>
      </c>
      <c r="H1805" s="3" t="s">
        <v>6</v>
      </c>
      <c r="I1805" s="4" t="s">
        <v>7</v>
      </c>
      <c r="J1805" s="5"/>
      <c r="K1805" s="5"/>
      <c r="L1805" s="5"/>
    </row>
    <row r="1806" spans="1:12" x14ac:dyDescent="0.25">
      <c r="A1806" s="28" t="s">
        <v>283</v>
      </c>
      <c r="B1806" s="29" t="s">
        <v>82</v>
      </c>
      <c r="C1806" s="67" t="s">
        <v>45</v>
      </c>
      <c r="D1806" s="66"/>
      <c r="E1806" s="2"/>
      <c r="F1806" s="2"/>
      <c r="G1806" s="28" t="s">
        <v>155</v>
      </c>
      <c r="H1806" s="66"/>
      <c r="I1806" s="33"/>
      <c r="J1806" s="6"/>
      <c r="K1806" s="33"/>
      <c r="L1806" s="6"/>
    </row>
    <row r="1807" spans="1:12" x14ac:dyDescent="0.25">
      <c r="A1807" s="7" t="s">
        <v>2</v>
      </c>
      <c r="B1807" s="5"/>
      <c r="C1807" s="5"/>
      <c r="D1807" s="5"/>
      <c r="E1807" s="5"/>
      <c r="F1807" s="5"/>
      <c r="G1807" s="8" t="s">
        <v>8</v>
      </c>
      <c r="H1807" s="31"/>
      <c r="I1807" s="5"/>
      <c r="J1807" s="5"/>
      <c r="K1807" s="5"/>
      <c r="L1807" s="5"/>
    </row>
    <row r="1808" spans="1:12" x14ac:dyDescent="0.25">
      <c r="A1808" s="7" t="s">
        <v>25</v>
      </c>
      <c r="B1808" s="5"/>
      <c r="C1808" s="7" t="s">
        <v>0</v>
      </c>
      <c r="D1808" s="5"/>
      <c r="E1808" s="5"/>
      <c r="F1808" s="5"/>
      <c r="G1808" s="7" t="s">
        <v>25</v>
      </c>
      <c r="H1808" s="5"/>
      <c r="I1808" s="7" t="s">
        <v>0</v>
      </c>
      <c r="J1808" s="5"/>
      <c r="K1808" s="5"/>
      <c r="L1808" s="5"/>
    </row>
    <row r="1809" spans="1:12" x14ac:dyDescent="0.25">
      <c r="A1809" s="42" t="s">
        <v>284</v>
      </c>
      <c r="B1809" s="6"/>
      <c r="C1809" s="31">
        <f>L1769</f>
        <v>529647</v>
      </c>
      <c r="D1809" s="5"/>
      <c r="E1809" s="5"/>
      <c r="F1809" s="5"/>
      <c r="G1809" s="42"/>
      <c r="H1809" s="6"/>
      <c r="I1809" s="9"/>
      <c r="J1809" s="5"/>
      <c r="K1809" s="5"/>
      <c r="L1809" s="5"/>
    </row>
    <row r="1810" spans="1:12" ht="16.5" thickBot="1" x14ac:dyDescent="0.3">
      <c r="A1810" s="58"/>
      <c r="B1810" s="5"/>
      <c r="C1810" s="5"/>
      <c r="D1810" s="5"/>
      <c r="E1810" s="5"/>
      <c r="F1810" s="5"/>
      <c r="G1810" s="10"/>
      <c r="H1810" s="5"/>
      <c r="I1810" s="5"/>
      <c r="J1810" s="5"/>
      <c r="K1810" s="5"/>
      <c r="L1810" s="5"/>
    </row>
    <row r="1811" spans="1:12" ht="15.75" thickBot="1" x14ac:dyDescent="0.3">
      <c r="A1811" s="121" t="s">
        <v>9</v>
      </c>
      <c r="B1811" s="122"/>
      <c r="C1811" s="123"/>
      <c r="D1811" s="5"/>
      <c r="E1811" s="5"/>
      <c r="F1811" s="5"/>
      <c r="G1811" s="121" t="s">
        <v>26</v>
      </c>
      <c r="H1811" s="122"/>
      <c r="I1811" s="123"/>
      <c r="J1811" s="5"/>
      <c r="K1811" s="5"/>
      <c r="L1811" s="5"/>
    </row>
    <row r="1812" spans="1:12" x14ac:dyDescent="0.25">
      <c r="A1812" s="30" t="s">
        <v>38</v>
      </c>
      <c r="B1812" s="11"/>
      <c r="C1812" s="11"/>
      <c r="D1812" s="11"/>
      <c r="E1812" s="6"/>
      <c r="F1812" s="5"/>
      <c r="G1812" s="30" t="str">
        <f>A1815</f>
        <v>Oshakati</v>
      </c>
      <c r="H1812" s="11"/>
      <c r="I1812" s="11"/>
      <c r="J1812" s="11"/>
      <c r="K1812" s="11"/>
      <c r="L1812" s="6"/>
    </row>
    <row r="1813" spans="1:12" ht="15.75" thickBot="1" x14ac:dyDescent="0.3">
      <c r="A1813" s="7"/>
      <c r="B1813" s="7"/>
      <c r="C1813" s="7"/>
      <c r="D1813" s="5"/>
      <c r="E1813" s="5"/>
      <c r="F1813" s="5"/>
      <c r="G1813" s="7" t="s">
        <v>3</v>
      </c>
      <c r="H1813" s="7"/>
      <c r="I1813" s="7"/>
      <c r="J1813" s="5"/>
      <c r="K1813" s="5"/>
      <c r="L1813" s="5"/>
    </row>
    <row r="1814" spans="1:12" ht="15.75" thickBot="1" x14ac:dyDescent="0.3">
      <c r="A1814" s="121" t="s">
        <v>30</v>
      </c>
      <c r="B1814" s="122"/>
      <c r="C1814" s="124"/>
      <c r="D1814" s="12" t="s">
        <v>1</v>
      </c>
      <c r="E1814" s="32"/>
      <c r="F1814" s="5"/>
      <c r="G1814" s="121" t="s">
        <v>27</v>
      </c>
      <c r="H1814" s="122"/>
      <c r="I1814" s="123"/>
      <c r="J1814" s="5"/>
      <c r="K1814" s="12" t="s">
        <v>1</v>
      </c>
      <c r="L1814" s="32">
        <v>531154</v>
      </c>
    </row>
    <row r="1815" spans="1:12" x14ac:dyDescent="0.25">
      <c r="A1815" s="34" t="s">
        <v>39</v>
      </c>
      <c r="B1815" s="14"/>
      <c r="C1815" s="11"/>
      <c r="D1815" s="11"/>
      <c r="E1815" s="6"/>
      <c r="F1815" s="5"/>
      <c r="G1815" s="34"/>
      <c r="H1815" s="11"/>
      <c r="I1815" s="11"/>
      <c r="J1815" s="11"/>
      <c r="K1815" s="11"/>
      <c r="L1815" s="6"/>
    </row>
    <row r="1816" spans="1:12" x14ac:dyDescent="0.25">
      <c r="A1816" s="13"/>
      <c r="B1816" s="11"/>
      <c r="C1816" s="11"/>
      <c r="D1816" s="11"/>
      <c r="E1816" s="6"/>
      <c r="F1816" s="5"/>
      <c r="G1816" s="13" t="s">
        <v>280</v>
      </c>
      <c r="H1816" s="11"/>
      <c r="I1816" s="11"/>
      <c r="J1816" s="11"/>
      <c r="K1816" s="11"/>
      <c r="L1816" s="6"/>
    </row>
    <row r="1817" spans="1:12" x14ac:dyDescent="0.25">
      <c r="A1817" s="13"/>
      <c r="B1817" s="11"/>
      <c r="C1817" s="11"/>
      <c r="D1817" s="11"/>
      <c r="E1817" s="6"/>
      <c r="F1817" s="5"/>
      <c r="G1817" s="13" t="s">
        <v>281</v>
      </c>
      <c r="H1817" s="11"/>
      <c r="I1817" s="11"/>
      <c r="J1817" s="11"/>
      <c r="K1817" s="11"/>
      <c r="L1817" s="6"/>
    </row>
    <row r="1818" spans="1:12" x14ac:dyDescent="0.25">
      <c r="A1818" s="13"/>
      <c r="B1818" s="11"/>
      <c r="C1818" s="11"/>
      <c r="D1818" s="11"/>
      <c r="E1818" s="6"/>
      <c r="F1818" s="5"/>
      <c r="G1818" s="13"/>
      <c r="H1818" s="11"/>
      <c r="I1818" s="11"/>
      <c r="J1818" s="11"/>
      <c r="K1818" s="11"/>
      <c r="L1818" s="6"/>
    </row>
    <row r="1819" spans="1:12" ht="15.75" thickBot="1" x14ac:dyDescent="0.3">
      <c r="A1819" s="13"/>
      <c r="B1819" s="11"/>
      <c r="C1819" s="11" t="s">
        <v>29</v>
      </c>
      <c r="D1819" s="43"/>
      <c r="E1819" s="6"/>
      <c r="F1819" s="5"/>
      <c r="G1819" s="13"/>
      <c r="H1819" s="11"/>
      <c r="I1819" s="14" t="s">
        <v>28</v>
      </c>
      <c r="J1819" s="43"/>
      <c r="K1819" s="11"/>
      <c r="L1819" s="6"/>
    </row>
    <row r="1820" spans="1:12" ht="15.75" thickBot="1" x14ac:dyDescent="0.3">
      <c r="A1820" s="15" t="s">
        <v>10</v>
      </c>
      <c r="B1820" s="5"/>
      <c r="C1820" s="5"/>
      <c r="D1820" s="5"/>
      <c r="E1820" s="5"/>
      <c r="F1820" s="5"/>
      <c r="G1820" s="15" t="s">
        <v>14</v>
      </c>
      <c r="H1820" s="5"/>
      <c r="I1820" s="5"/>
      <c r="J1820" s="5"/>
      <c r="K1820" s="5"/>
      <c r="L1820" s="5"/>
    </row>
    <row r="1821" spans="1:12" ht="15.75" thickBot="1" x14ac:dyDescent="0.3">
      <c r="A1821" s="121" t="s">
        <v>11</v>
      </c>
      <c r="B1821" s="122"/>
      <c r="C1821" s="123"/>
      <c r="D1821" s="16" t="s">
        <v>12</v>
      </c>
      <c r="E1821" s="16" t="s">
        <v>13</v>
      </c>
      <c r="F1821" s="5"/>
      <c r="G1821" s="121" t="s">
        <v>15</v>
      </c>
      <c r="H1821" s="122"/>
      <c r="I1821" s="123"/>
      <c r="J1821" s="121" t="s">
        <v>13</v>
      </c>
      <c r="K1821" s="123"/>
      <c r="L1821" s="5"/>
    </row>
    <row r="1822" spans="1:12" x14ac:dyDescent="0.25">
      <c r="A1822" s="41" t="s">
        <v>285</v>
      </c>
      <c r="B1822" s="36" t="s">
        <v>47</v>
      </c>
      <c r="C1822" s="37"/>
      <c r="D1822" s="50">
        <v>830.56</v>
      </c>
      <c r="E1822" s="51">
        <v>17508.21</v>
      </c>
      <c r="F1822" s="44">
        <f t="shared" ref="F1822:F1827" si="38">E1822/D1822</f>
        <v>21.080006260836061</v>
      </c>
      <c r="G1822" s="125" t="s">
        <v>50</v>
      </c>
      <c r="H1822" s="126"/>
      <c r="I1822" s="127"/>
      <c r="J1822" s="128"/>
      <c r="K1822" s="129"/>
      <c r="L1822" s="5"/>
    </row>
    <row r="1823" spans="1:12" x14ac:dyDescent="0.25">
      <c r="A1823" s="48"/>
      <c r="B1823" s="35" t="s">
        <v>286</v>
      </c>
      <c r="C1823" s="39"/>
      <c r="D1823" s="52"/>
      <c r="E1823" s="57">
        <v>6000</v>
      </c>
      <c r="F1823" s="44" t="e">
        <f t="shared" si="38"/>
        <v>#DIV/0!</v>
      </c>
      <c r="G1823" s="110" t="s">
        <v>59</v>
      </c>
      <c r="H1823" s="111"/>
      <c r="I1823" s="112"/>
      <c r="J1823" s="113"/>
      <c r="K1823" s="114"/>
      <c r="L1823" s="5"/>
    </row>
    <row r="1824" spans="1:12" x14ac:dyDescent="0.25">
      <c r="A1824" s="48"/>
      <c r="B1824" s="35"/>
      <c r="C1824" s="39"/>
      <c r="D1824" s="52"/>
      <c r="E1824" s="53"/>
      <c r="F1824" s="44" t="e">
        <f t="shared" si="38"/>
        <v>#DIV/0!</v>
      </c>
      <c r="G1824" s="110" t="s">
        <v>61</v>
      </c>
      <c r="H1824" s="111"/>
      <c r="I1824" s="112"/>
      <c r="J1824" s="113"/>
      <c r="K1824" s="114"/>
      <c r="L1824" s="5"/>
    </row>
    <row r="1825" spans="1:12" x14ac:dyDescent="0.25">
      <c r="A1825" s="48"/>
      <c r="B1825" s="35"/>
      <c r="C1825" s="39"/>
      <c r="D1825" s="52"/>
      <c r="E1825" s="53"/>
      <c r="F1825" s="44" t="e">
        <f t="shared" si="38"/>
        <v>#DIV/0!</v>
      </c>
      <c r="G1825" s="110" t="s">
        <v>51</v>
      </c>
      <c r="H1825" s="111"/>
      <c r="I1825" s="112"/>
      <c r="J1825" s="113"/>
      <c r="K1825" s="114"/>
      <c r="L1825" s="5"/>
    </row>
    <row r="1826" spans="1:12" x14ac:dyDescent="0.25">
      <c r="A1826" s="27"/>
      <c r="B1826" s="11"/>
      <c r="C1826" s="6"/>
      <c r="D1826" s="54"/>
      <c r="E1826" s="55"/>
      <c r="F1826" s="44" t="e">
        <f t="shared" si="38"/>
        <v>#DIV/0!</v>
      </c>
      <c r="G1826" s="110" t="s">
        <v>58</v>
      </c>
      <c r="H1826" s="111"/>
      <c r="I1826" s="112"/>
      <c r="J1826" s="113"/>
      <c r="K1826" s="114"/>
      <c r="L1826" s="5"/>
    </row>
    <row r="1827" spans="1:12" x14ac:dyDescent="0.25">
      <c r="A1827" s="68"/>
      <c r="B1827" s="11"/>
      <c r="C1827" s="6"/>
      <c r="D1827" s="54"/>
      <c r="E1827" s="55"/>
      <c r="F1827" s="44" t="e">
        <f t="shared" si="38"/>
        <v>#DIV/0!</v>
      </c>
      <c r="G1827" s="110" t="s">
        <v>51</v>
      </c>
      <c r="H1827" s="111"/>
      <c r="I1827" s="112"/>
      <c r="J1827" s="113"/>
      <c r="K1827" s="114"/>
      <c r="L1827" s="5"/>
    </row>
    <row r="1828" spans="1:12" ht="15.75" thickBot="1" x14ac:dyDescent="0.3">
      <c r="A1828" s="5"/>
      <c r="B1828" s="5"/>
      <c r="C1828" s="7" t="s">
        <v>35</v>
      </c>
      <c r="D1828" s="17">
        <f>SUM(D1822:D1827)</f>
        <v>830.56</v>
      </c>
      <c r="E1828" s="17">
        <f>SUM(E1822:E1827)</f>
        <v>23508.21</v>
      </c>
      <c r="F1828" s="5"/>
      <c r="G1828" s="77"/>
      <c r="H1828" s="78" t="s">
        <v>69</v>
      </c>
      <c r="I1828" s="79"/>
      <c r="J1828" s="113"/>
      <c r="K1828" s="114"/>
      <c r="L1828" s="7" t="s">
        <v>36</v>
      </c>
    </row>
    <row r="1829" spans="1:12" ht="15.75" thickBot="1" x14ac:dyDescent="0.3">
      <c r="A1829" s="5"/>
      <c r="B1829" s="5"/>
      <c r="C1829" s="5"/>
      <c r="D1829" s="5"/>
      <c r="E1829" s="5"/>
      <c r="F1829" s="5"/>
      <c r="G1829" s="77"/>
      <c r="H1829" s="78" t="s">
        <v>72</v>
      </c>
      <c r="I1829" s="79"/>
      <c r="J1829" s="113"/>
      <c r="K1829" s="114"/>
      <c r="L1829" s="18">
        <f>J1822+J1823+J1824+J1825+J1826+J1827+J1828+J1829</f>
        <v>0</v>
      </c>
    </row>
    <row r="1830" spans="1:12" ht="15.75" thickBot="1" x14ac:dyDescent="0.3">
      <c r="A1830" s="5"/>
      <c r="B1830" s="5"/>
      <c r="C1830" s="5"/>
      <c r="D1830" s="5"/>
      <c r="E1830" s="5"/>
      <c r="F1830" s="5"/>
      <c r="G1830" s="110" t="s">
        <v>73</v>
      </c>
      <c r="H1830" s="111"/>
      <c r="I1830" s="112"/>
      <c r="J1830" s="113"/>
      <c r="K1830" s="114"/>
      <c r="L1830" s="5"/>
    </row>
    <row r="1831" spans="1:12" ht="15.75" thickBot="1" x14ac:dyDescent="0.3">
      <c r="A1831" s="19"/>
      <c r="B1831" s="20"/>
      <c r="C1831" s="20"/>
      <c r="D1831" s="20"/>
      <c r="E1831" s="21" t="s">
        <v>13</v>
      </c>
      <c r="F1831" s="5"/>
      <c r="G1831" s="19"/>
      <c r="H1831" s="20"/>
      <c r="I1831" s="20"/>
      <c r="J1831" s="20"/>
      <c r="K1831" s="21" t="s">
        <v>13</v>
      </c>
      <c r="L1831" s="5"/>
    </row>
    <row r="1832" spans="1:12" x14ac:dyDescent="0.25">
      <c r="A1832" s="22" t="s">
        <v>31</v>
      </c>
      <c r="B1832" s="115">
        <v>24528</v>
      </c>
      <c r="C1832" s="116"/>
      <c r="D1832" s="116"/>
      <c r="E1832" s="117"/>
      <c r="F1832" s="5"/>
      <c r="G1832" s="22" t="s">
        <v>32</v>
      </c>
      <c r="H1832" s="115"/>
      <c r="I1832" s="116"/>
      <c r="J1832" s="116"/>
      <c r="K1832" s="117"/>
      <c r="L1832" s="5"/>
    </row>
    <row r="1833" spans="1:12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</row>
    <row r="1834" spans="1:12" x14ac:dyDescent="0.25">
      <c r="A1834" s="7" t="s">
        <v>16</v>
      </c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</row>
    <row r="1835" spans="1:12" x14ac:dyDescent="0.25">
      <c r="A1835" s="9" t="s">
        <v>17</v>
      </c>
      <c r="B1835" s="23">
        <f>L1814-C1809</f>
        <v>1507</v>
      </c>
      <c r="C1835" s="5"/>
      <c r="D1835" s="106" t="s">
        <v>18</v>
      </c>
      <c r="E1835" s="107"/>
      <c r="F1835" s="24" t="s">
        <v>19</v>
      </c>
      <c r="G1835" s="9" t="s">
        <v>20</v>
      </c>
      <c r="H1835" s="118">
        <f>B1832+H1832</f>
        <v>24528</v>
      </c>
      <c r="I1835" s="119"/>
      <c r="J1835" s="5"/>
      <c r="K1835" s="5"/>
      <c r="L1835" s="5"/>
    </row>
    <row r="1836" spans="1:12" x14ac:dyDescent="0.25">
      <c r="A1836" s="9" t="s">
        <v>41</v>
      </c>
      <c r="B1836" s="40">
        <f>B1835/D1828</f>
        <v>1.8144384511654787</v>
      </c>
      <c r="C1836" s="5"/>
      <c r="D1836" s="102">
        <f>E1828</f>
        <v>23508.21</v>
      </c>
      <c r="E1836" s="103"/>
      <c r="F1836" s="25">
        <f>H1836/B1835</f>
        <v>16.197485069674851</v>
      </c>
      <c r="G1836" s="9" t="s">
        <v>21</v>
      </c>
      <c r="H1836" s="104">
        <f>L1829+D1836+D1838+D1840+D1842+A1839</f>
        <v>24409.61</v>
      </c>
      <c r="I1836" s="105"/>
      <c r="J1836" s="5"/>
      <c r="K1836" s="5"/>
      <c r="L1836" s="5"/>
    </row>
    <row r="1837" spans="1:12" x14ac:dyDescent="0.25">
      <c r="A1837" s="9" t="s">
        <v>43</v>
      </c>
      <c r="B1837" s="23">
        <f>D1828/B1835</f>
        <v>0.55113470471134696</v>
      </c>
      <c r="C1837" s="5"/>
      <c r="D1837" s="106" t="s">
        <v>33</v>
      </c>
      <c r="E1837" s="107"/>
      <c r="F1837" s="5"/>
      <c r="G1837" s="13" t="s">
        <v>22</v>
      </c>
      <c r="H1837" s="6"/>
      <c r="I1837" s="26">
        <f>H1835-H1836</f>
        <v>118.38999999999942</v>
      </c>
      <c r="J1837" s="5"/>
      <c r="K1837" s="5"/>
      <c r="L1837" s="5"/>
    </row>
    <row r="1838" spans="1:12" x14ac:dyDescent="0.25">
      <c r="A1838" s="106" t="s">
        <v>40</v>
      </c>
      <c r="B1838" s="107"/>
      <c r="C1838" s="5"/>
      <c r="D1838" s="108">
        <v>600</v>
      </c>
      <c r="E1838" s="109"/>
      <c r="F1838" s="5"/>
      <c r="G1838" s="5"/>
      <c r="H1838" s="5"/>
      <c r="I1838" s="5"/>
      <c r="J1838" s="5"/>
      <c r="K1838" s="5"/>
      <c r="L1838" s="5"/>
    </row>
    <row r="1839" spans="1:12" x14ac:dyDescent="0.25">
      <c r="A1839" s="108">
        <f>B1835*0.2</f>
        <v>301.40000000000003</v>
      </c>
      <c r="B1839" s="109"/>
      <c r="C1839" s="5"/>
      <c r="D1839" s="106" t="s">
        <v>34</v>
      </c>
      <c r="E1839" s="107"/>
      <c r="F1839" s="5"/>
      <c r="G1839" s="5"/>
      <c r="H1839" s="5"/>
      <c r="I1839" s="44"/>
      <c r="J1839" s="5"/>
      <c r="K1839" s="5"/>
      <c r="L1839" s="5"/>
    </row>
    <row r="1840" spans="1:12" x14ac:dyDescent="0.25">
      <c r="A1840" s="5"/>
      <c r="B1840" s="5"/>
      <c r="C1840" s="5"/>
      <c r="D1840" s="108">
        <v>0</v>
      </c>
      <c r="E1840" s="109"/>
      <c r="F1840" s="5"/>
      <c r="G1840" s="5"/>
      <c r="H1840" s="5"/>
      <c r="I1840" s="5"/>
      <c r="J1840" s="5"/>
      <c r="K1840" s="5"/>
      <c r="L1840" s="5"/>
    </row>
    <row r="1841" spans="1:12" x14ac:dyDescent="0.25">
      <c r="A1841" s="5"/>
      <c r="B1841" s="5"/>
      <c r="C1841" s="5"/>
      <c r="D1841" s="106" t="s">
        <v>37</v>
      </c>
      <c r="E1841" s="107"/>
      <c r="F1841" s="5"/>
      <c r="G1841" s="5"/>
      <c r="H1841" s="5"/>
      <c r="I1841" s="5"/>
      <c r="J1841" s="5"/>
      <c r="K1841" s="5"/>
      <c r="L1841" s="5"/>
    </row>
    <row r="1842" spans="1:12" x14ac:dyDescent="0.25">
      <c r="A1842" s="5"/>
      <c r="B1842" s="5"/>
      <c r="C1842" s="5"/>
      <c r="D1842" s="108">
        <v>0</v>
      </c>
      <c r="E1842" s="109"/>
      <c r="F1842" s="5" t="s">
        <v>78</v>
      </c>
      <c r="G1842" s="5"/>
      <c r="H1842" s="5"/>
      <c r="I1842" s="44"/>
      <c r="J1842" s="5"/>
      <c r="K1842" s="5"/>
      <c r="L1842" s="5"/>
    </row>
    <row r="1843" spans="1:12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</row>
    <row r="1844" spans="1:12" x14ac:dyDescent="0.25">
      <c r="A1844" s="5" t="s">
        <v>23</v>
      </c>
      <c r="B1844" s="5" t="s">
        <v>54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</row>
    <row r="1845" spans="1:12" s="49" customFormat="1" x14ac:dyDescent="0.25"/>
    <row r="1848" spans="1:12" x14ac:dyDescent="0.25">
      <c r="A1848" s="120" t="s">
        <v>24</v>
      </c>
      <c r="B1848" s="120"/>
      <c r="C1848" s="120"/>
      <c r="D1848" s="120"/>
      <c r="E1848" s="120"/>
      <c r="F1848" s="120"/>
      <c r="G1848" s="120"/>
      <c r="H1848" s="120"/>
    </row>
    <row r="1849" spans="1:12" x14ac:dyDescent="0.25">
      <c r="A1849" s="120"/>
      <c r="B1849" s="120"/>
      <c r="C1849" s="120"/>
      <c r="D1849" s="120"/>
      <c r="E1849" s="120"/>
      <c r="F1849" s="120"/>
      <c r="G1849" s="120"/>
      <c r="H1849" s="120"/>
    </row>
    <row r="1850" spans="1:12" x14ac:dyDescent="0.25">
      <c r="A1850" s="1" t="s">
        <v>4</v>
      </c>
      <c r="B1850" s="2"/>
      <c r="C1850" s="2"/>
      <c r="D1850" s="2"/>
      <c r="E1850" s="2"/>
      <c r="F1850" s="2"/>
      <c r="G1850" s="3" t="s">
        <v>5</v>
      </c>
      <c r="H1850" s="3" t="s">
        <v>6</v>
      </c>
      <c r="I1850" s="4" t="s">
        <v>7</v>
      </c>
      <c r="J1850" s="5"/>
      <c r="K1850" s="5"/>
      <c r="L1850" s="5"/>
    </row>
    <row r="1851" spans="1:12" x14ac:dyDescent="0.25">
      <c r="A1851" s="28" t="s">
        <v>283</v>
      </c>
      <c r="B1851" s="29" t="s">
        <v>82</v>
      </c>
      <c r="C1851" s="67" t="s">
        <v>45</v>
      </c>
      <c r="D1851" s="66"/>
      <c r="E1851" s="2"/>
      <c r="F1851" s="2"/>
      <c r="G1851" s="28" t="s">
        <v>155</v>
      </c>
      <c r="H1851" s="66"/>
      <c r="I1851" s="33"/>
      <c r="J1851" s="6"/>
      <c r="K1851" s="33"/>
      <c r="L1851" s="6"/>
    </row>
    <row r="1852" spans="1:12" x14ac:dyDescent="0.25">
      <c r="A1852" s="7" t="s">
        <v>2</v>
      </c>
      <c r="B1852" s="5"/>
      <c r="C1852" s="5"/>
      <c r="D1852" s="5"/>
      <c r="E1852" s="5"/>
      <c r="F1852" s="5"/>
      <c r="G1852" s="8" t="s">
        <v>8</v>
      </c>
      <c r="H1852" s="31"/>
      <c r="I1852" s="5"/>
      <c r="J1852" s="5"/>
      <c r="K1852" s="5"/>
      <c r="L1852" s="5"/>
    </row>
    <row r="1853" spans="1:12" x14ac:dyDescent="0.25">
      <c r="A1853" s="7" t="s">
        <v>25</v>
      </c>
      <c r="B1853" s="5"/>
      <c r="C1853" s="7" t="s">
        <v>0</v>
      </c>
      <c r="D1853" s="5"/>
      <c r="E1853" s="5"/>
      <c r="F1853" s="5"/>
      <c r="G1853" s="7" t="s">
        <v>25</v>
      </c>
      <c r="H1853" s="5"/>
      <c r="I1853" s="7" t="s">
        <v>0</v>
      </c>
      <c r="J1853" s="5"/>
      <c r="K1853" s="5"/>
      <c r="L1853" s="5"/>
    </row>
    <row r="1854" spans="1:12" x14ac:dyDescent="0.25">
      <c r="A1854" s="42" t="s">
        <v>287</v>
      </c>
      <c r="B1854" s="6"/>
      <c r="C1854" s="31">
        <f>L1814</f>
        <v>531154</v>
      </c>
      <c r="D1854" s="5"/>
      <c r="E1854" s="5"/>
      <c r="F1854" s="5"/>
      <c r="G1854" s="42"/>
      <c r="H1854" s="6"/>
      <c r="I1854" s="9"/>
      <c r="J1854" s="5"/>
      <c r="K1854" s="5"/>
      <c r="L1854" s="5"/>
    </row>
    <row r="1855" spans="1:12" ht="16.5" thickBot="1" x14ac:dyDescent="0.3">
      <c r="A1855" s="58"/>
      <c r="B1855" s="5"/>
      <c r="C1855" s="5"/>
      <c r="D1855" s="5"/>
      <c r="E1855" s="5"/>
      <c r="F1855" s="5"/>
      <c r="G1855" s="10"/>
      <c r="H1855" s="5"/>
      <c r="I1855" s="5"/>
      <c r="J1855" s="5"/>
      <c r="K1855" s="5"/>
      <c r="L1855" s="5"/>
    </row>
    <row r="1856" spans="1:12" ht="15.75" thickBot="1" x14ac:dyDescent="0.3">
      <c r="A1856" s="121" t="s">
        <v>9</v>
      </c>
      <c r="B1856" s="122"/>
      <c r="C1856" s="123"/>
      <c r="D1856" s="5"/>
      <c r="E1856" s="5"/>
      <c r="F1856" s="5"/>
      <c r="G1856" s="121" t="s">
        <v>26</v>
      </c>
      <c r="H1856" s="122"/>
      <c r="I1856" s="123"/>
      <c r="J1856" s="5"/>
      <c r="K1856" s="5"/>
      <c r="L1856" s="5"/>
    </row>
    <row r="1857" spans="1:12" x14ac:dyDescent="0.25">
      <c r="A1857" s="30" t="s">
        <v>38</v>
      </c>
      <c r="B1857" s="11"/>
      <c r="C1857" s="11"/>
      <c r="D1857" s="11"/>
      <c r="E1857" s="6"/>
      <c r="F1857" s="5"/>
      <c r="G1857" s="30" t="str">
        <f>A1860</f>
        <v>Katima</v>
      </c>
      <c r="H1857" s="11"/>
      <c r="I1857" s="11"/>
      <c r="J1857" s="11"/>
      <c r="K1857" s="11"/>
      <c r="L1857" s="6"/>
    </row>
    <row r="1858" spans="1:12" ht="15.75" thickBot="1" x14ac:dyDescent="0.3">
      <c r="A1858" s="7"/>
      <c r="B1858" s="7"/>
      <c r="C1858" s="7"/>
      <c r="D1858" s="5"/>
      <c r="E1858" s="5"/>
      <c r="F1858" s="5"/>
      <c r="G1858" s="7" t="s">
        <v>3</v>
      </c>
      <c r="H1858" s="7"/>
      <c r="I1858" s="7"/>
      <c r="J1858" s="5"/>
      <c r="K1858" s="5"/>
      <c r="L1858" s="5"/>
    </row>
    <row r="1859" spans="1:12" ht="15.75" thickBot="1" x14ac:dyDescent="0.3">
      <c r="A1859" s="121" t="s">
        <v>30</v>
      </c>
      <c r="B1859" s="122"/>
      <c r="C1859" s="124"/>
      <c r="D1859" s="12" t="s">
        <v>1</v>
      </c>
      <c r="E1859" s="32"/>
      <c r="F1859" s="5"/>
      <c r="G1859" s="121" t="s">
        <v>27</v>
      </c>
      <c r="H1859" s="122"/>
      <c r="I1859" s="123"/>
      <c r="J1859" s="5"/>
      <c r="K1859" s="12" t="s">
        <v>1</v>
      </c>
      <c r="L1859" s="32">
        <v>533740</v>
      </c>
    </row>
    <row r="1860" spans="1:12" x14ac:dyDescent="0.25">
      <c r="A1860" s="34" t="s">
        <v>48</v>
      </c>
      <c r="B1860" s="14"/>
      <c r="C1860" s="11"/>
      <c r="D1860" s="11"/>
      <c r="E1860" s="6"/>
      <c r="F1860" s="5"/>
      <c r="G1860" s="34"/>
      <c r="H1860" s="11"/>
      <c r="I1860" s="11"/>
      <c r="J1860" s="11"/>
      <c r="K1860" s="11"/>
      <c r="L1860" s="6"/>
    </row>
    <row r="1861" spans="1:12" x14ac:dyDescent="0.25">
      <c r="A1861" s="13" t="s">
        <v>288</v>
      </c>
      <c r="B1861" s="11"/>
      <c r="C1861" s="11"/>
      <c r="D1861" s="11"/>
      <c r="E1861" s="6"/>
      <c r="F1861" s="5"/>
      <c r="G1861" s="13"/>
      <c r="H1861" s="11"/>
      <c r="I1861" s="11"/>
      <c r="J1861" s="11"/>
      <c r="K1861" s="11"/>
      <c r="L1861" s="6"/>
    </row>
    <row r="1862" spans="1:12" x14ac:dyDescent="0.25">
      <c r="A1862" s="13"/>
      <c r="B1862" s="11"/>
      <c r="C1862" s="11"/>
      <c r="D1862" s="11"/>
      <c r="E1862" s="6"/>
      <c r="F1862" s="5"/>
      <c r="G1862" s="13"/>
      <c r="H1862" s="11"/>
      <c r="I1862" s="11"/>
      <c r="J1862" s="11"/>
      <c r="K1862" s="11"/>
      <c r="L1862" s="6"/>
    </row>
    <row r="1863" spans="1:12" x14ac:dyDescent="0.25">
      <c r="A1863" s="13"/>
      <c r="B1863" s="11"/>
      <c r="C1863" s="11"/>
      <c r="D1863" s="11"/>
      <c r="E1863" s="6"/>
      <c r="F1863" s="5"/>
      <c r="G1863" s="13"/>
      <c r="H1863" s="11"/>
      <c r="I1863" s="11"/>
      <c r="J1863" s="11"/>
      <c r="K1863" s="11"/>
      <c r="L1863" s="6"/>
    </row>
    <row r="1864" spans="1:12" ht="15.75" thickBot="1" x14ac:dyDescent="0.3">
      <c r="A1864" s="13"/>
      <c r="B1864" s="11"/>
      <c r="C1864" s="11" t="s">
        <v>29</v>
      </c>
      <c r="D1864" s="43"/>
      <c r="E1864" s="6"/>
      <c r="F1864" s="5"/>
      <c r="G1864" s="13"/>
      <c r="H1864" s="11"/>
      <c r="I1864" s="14" t="s">
        <v>28</v>
      </c>
      <c r="J1864" s="43"/>
      <c r="K1864" s="11"/>
      <c r="L1864" s="6"/>
    </row>
    <row r="1865" spans="1:12" ht="15.75" thickBot="1" x14ac:dyDescent="0.3">
      <c r="A1865" s="15" t="s">
        <v>10</v>
      </c>
      <c r="B1865" s="5"/>
      <c r="C1865" s="5"/>
      <c r="D1865" s="5"/>
      <c r="E1865" s="5"/>
      <c r="F1865" s="5"/>
      <c r="G1865" s="15" t="s">
        <v>14</v>
      </c>
      <c r="H1865" s="5"/>
      <c r="I1865" s="5"/>
      <c r="J1865" s="5"/>
      <c r="K1865" s="5"/>
      <c r="L1865" s="5"/>
    </row>
    <row r="1866" spans="1:12" ht="15.75" thickBot="1" x14ac:dyDescent="0.3">
      <c r="A1866" s="121" t="s">
        <v>11</v>
      </c>
      <c r="B1866" s="122"/>
      <c r="C1866" s="123"/>
      <c r="D1866" s="16" t="s">
        <v>12</v>
      </c>
      <c r="E1866" s="16" t="s">
        <v>13</v>
      </c>
      <c r="F1866" s="5"/>
      <c r="G1866" s="121" t="s">
        <v>15</v>
      </c>
      <c r="H1866" s="122"/>
      <c r="I1866" s="123"/>
      <c r="J1866" s="121" t="s">
        <v>13</v>
      </c>
      <c r="K1866" s="123"/>
      <c r="L1866" s="5"/>
    </row>
    <row r="1867" spans="1:12" x14ac:dyDescent="0.25">
      <c r="A1867" s="41" t="s">
        <v>289</v>
      </c>
      <c r="B1867" s="36" t="s">
        <v>49</v>
      </c>
      <c r="C1867" s="37"/>
      <c r="D1867" s="50">
        <v>414.35</v>
      </c>
      <c r="E1867" s="51">
        <v>8763.5</v>
      </c>
      <c r="F1867" s="44">
        <f t="shared" ref="F1867:F1872" si="39">E1867/D1867</f>
        <v>21.149993966453479</v>
      </c>
      <c r="G1867" s="125" t="s">
        <v>50</v>
      </c>
      <c r="H1867" s="126"/>
      <c r="I1867" s="127"/>
      <c r="J1867" s="128"/>
      <c r="K1867" s="129"/>
      <c r="L1867" s="5"/>
    </row>
    <row r="1868" spans="1:12" x14ac:dyDescent="0.25">
      <c r="A1868" s="48">
        <v>45109</v>
      </c>
      <c r="B1868" s="35" t="s">
        <v>47</v>
      </c>
      <c r="C1868" s="39"/>
      <c r="D1868" s="52">
        <v>826.94</v>
      </c>
      <c r="E1868" s="57">
        <v>17431.900000000001</v>
      </c>
      <c r="F1868" s="44">
        <f t="shared" si="39"/>
        <v>21.080005804532373</v>
      </c>
      <c r="G1868" s="110" t="s">
        <v>59</v>
      </c>
      <c r="H1868" s="111"/>
      <c r="I1868" s="112"/>
      <c r="J1868" s="113"/>
      <c r="K1868" s="114"/>
      <c r="L1868" s="5"/>
    </row>
    <row r="1869" spans="1:12" x14ac:dyDescent="0.25">
      <c r="A1869" s="48"/>
      <c r="B1869" s="35"/>
      <c r="C1869" s="39"/>
      <c r="D1869" s="52"/>
      <c r="E1869" s="53"/>
      <c r="F1869" s="44" t="e">
        <f t="shared" si="39"/>
        <v>#DIV/0!</v>
      </c>
      <c r="G1869" s="110" t="s">
        <v>61</v>
      </c>
      <c r="H1869" s="111"/>
      <c r="I1869" s="112"/>
      <c r="J1869" s="113"/>
      <c r="K1869" s="114"/>
      <c r="L1869" s="5"/>
    </row>
    <row r="1870" spans="1:12" x14ac:dyDescent="0.25">
      <c r="A1870" s="48"/>
      <c r="B1870" s="35"/>
      <c r="C1870" s="39"/>
      <c r="D1870" s="52"/>
      <c r="E1870" s="53"/>
      <c r="F1870" s="44" t="e">
        <f t="shared" si="39"/>
        <v>#DIV/0!</v>
      </c>
      <c r="G1870" s="110" t="s">
        <v>51</v>
      </c>
      <c r="H1870" s="111"/>
      <c r="I1870" s="112"/>
      <c r="J1870" s="113"/>
      <c r="K1870" s="114"/>
      <c r="L1870" s="5"/>
    </row>
    <row r="1871" spans="1:12" x14ac:dyDescent="0.25">
      <c r="A1871" s="27"/>
      <c r="B1871" s="11"/>
      <c r="C1871" s="6"/>
      <c r="D1871" s="54"/>
      <c r="E1871" s="55"/>
      <c r="F1871" s="44" t="e">
        <f t="shared" si="39"/>
        <v>#DIV/0!</v>
      </c>
      <c r="G1871" s="110" t="s">
        <v>58</v>
      </c>
      <c r="H1871" s="111"/>
      <c r="I1871" s="112"/>
      <c r="J1871" s="113"/>
      <c r="K1871" s="114"/>
      <c r="L1871" s="5"/>
    </row>
    <row r="1872" spans="1:12" x14ac:dyDescent="0.25">
      <c r="A1872" s="68"/>
      <c r="B1872" s="11"/>
      <c r="C1872" s="6"/>
      <c r="D1872" s="54"/>
      <c r="E1872" s="55"/>
      <c r="F1872" s="44" t="e">
        <f t="shared" si="39"/>
        <v>#DIV/0!</v>
      </c>
      <c r="G1872" s="110" t="s">
        <v>51</v>
      </c>
      <c r="H1872" s="111"/>
      <c r="I1872" s="112"/>
      <c r="J1872" s="113"/>
      <c r="K1872" s="114"/>
      <c r="L1872" s="5"/>
    </row>
    <row r="1873" spans="1:13" ht="15.75" thickBot="1" x14ac:dyDescent="0.3">
      <c r="A1873" s="5"/>
      <c r="B1873" s="5"/>
      <c r="C1873" s="7" t="s">
        <v>35</v>
      </c>
      <c r="D1873" s="17">
        <f>SUM(D1867:D1872)</f>
        <v>1241.29</v>
      </c>
      <c r="E1873" s="17">
        <f>SUM(E1867:E1872)</f>
        <v>26195.4</v>
      </c>
      <c r="F1873" s="5"/>
      <c r="G1873" s="77"/>
      <c r="H1873" s="78" t="s">
        <v>69</v>
      </c>
      <c r="I1873" s="79"/>
      <c r="J1873" s="113"/>
      <c r="K1873" s="114"/>
      <c r="L1873" s="7" t="s">
        <v>36</v>
      </c>
    </row>
    <row r="1874" spans="1:13" ht="15.75" thickBot="1" x14ac:dyDescent="0.3">
      <c r="A1874" s="5"/>
      <c r="B1874" s="5"/>
      <c r="C1874" s="5"/>
      <c r="D1874" s="5"/>
      <c r="E1874" s="5"/>
      <c r="F1874" s="5"/>
      <c r="G1874" s="77"/>
      <c r="H1874" s="78" t="s">
        <v>72</v>
      </c>
      <c r="I1874" s="79"/>
      <c r="J1874" s="113"/>
      <c r="K1874" s="114"/>
      <c r="L1874" s="18">
        <f>J1867+J1868+J1869+J1870+J1871+J1872+J1873+J1874</f>
        <v>0</v>
      </c>
    </row>
    <row r="1875" spans="1:13" ht="15.75" thickBot="1" x14ac:dyDescent="0.3">
      <c r="A1875" s="5"/>
      <c r="B1875" s="5"/>
      <c r="C1875" s="5"/>
      <c r="D1875" s="5"/>
      <c r="E1875" s="5"/>
      <c r="F1875" s="5"/>
      <c r="G1875" s="110" t="s">
        <v>73</v>
      </c>
      <c r="H1875" s="111"/>
      <c r="I1875" s="112"/>
      <c r="J1875" s="113"/>
      <c r="K1875" s="114"/>
      <c r="L1875" s="5"/>
    </row>
    <row r="1876" spans="1:13" ht="15.75" thickBot="1" x14ac:dyDescent="0.3">
      <c r="A1876" s="19"/>
      <c r="B1876" s="20"/>
      <c r="C1876" s="20"/>
      <c r="D1876" s="20"/>
      <c r="E1876" s="21" t="s">
        <v>13</v>
      </c>
      <c r="F1876" s="5"/>
      <c r="G1876" s="19"/>
      <c r="H1876" s="20"/>
      <c r="I1876" s="20"/>
      <c r="J1876" s="20"/>
      <c r="K1876" s="21" t="s">
        <v>13</v>
      </c>
      <c r="L1876" s="5"/>
    </row>
    <row r="1877" spans="1:13" x14ac:dyDescent="0.25">
      <c r="A1877" s="22" t="s">
        <v>31</v>
      </c>
      <c r="B1877" s="115">
        <v>50000</v>
      </c>
      <c r="C1877" s="116"/>
      <c r="D1877" s="116"/>
      <c r="E1877" s="117"/>
      <c r="F1877" s="5"/>
      <c r="G1877" s="22" t="s">
        <v>32</v>
      </c>
      <c r="H1877" s="115"/>
      <c r="I1877" s="116"/>
      <c r="J1877" s="116"/>
      <c r="K1877" s="117"/>
      <c r="L1877" s="5"/>
    </row>
    <row r="1878" spans="1:13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</row>
    <row r="1879" spans="1:13" x14ac:dyDescent="0.25">
      <c r="A1879" s="7" t="s">
        <v>16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>
        <f>47000*15%</f>
        <v>7050</v>
      </c>
    </row>
    <row r="1880" spans="1:13" x14ac:dyDescent="0.25">
      <c r="A1880" s="9" t="s">
        <v>17</v>
      </c>
      <c r="B1880" s="23">
        <f>L1859-C1854</f>
        <v>2586</v>
      </c>
      <c r="C1880" s="5"/>
      <c r="D1880" s="106" t="s">
        <v>18</v>
      </c>
      <c r="E1880" s="107"/>
      <c r="F1880" s="24" t="s">
        <v>19</v>
      </c>
      <c r="G1880" s="9" t="s">
        <v>20</v>
      </c>
      <c r="H1880" s="118">
        <f>B1877+H1877</f>
        <v>50000</v>
      </c>
      <c r="I1880" s="119"/>
      <c r="J1880" s="5"/>
      <c r="K1880" s="5"/>
      <c r="L1880" s="5"/>
      <c r="M1880">
        <v>47000</v>
      </c>
    </row>
    <row r="1881" spans="1:13" x14ac:dyDescent="0.25">
      <c r="A1881" s="9" t="s">
        <v>41</v>
      </c>
      <c r="B1881" s="40">
        <f>B1880/D1873</f>
        <v>2.0833165497184383</v>
      </c>
      <c r="C1881" s="5"/>
      <c r="D1881" s="102">
        <f>E1873</f>
        <v>26195.4</v>
      </c>
      <c r="E1881" s="103"/>
      <c r="F1881" s="25">
        <f>H1881/B1880</f>
        <v>10.893735498839908</v>
      </c>
      <c r="G1881" s="9" t="s">
        <v>21</v>
      </c>
      <c r="H1881" s="104">
        <f>L1874+D1881+D1883+D1885+D1887+A1884</f>
        <v>28171.200000000001</v>
      </c>
      <c r="I1881" s="105"/>
      <c r="J1881" s="5"/>
      <c r="K1881" s="5"/>
      <c r="L1881" s="5"/>
      <c r="M1881">
        <v>7050</v>
      </c>
    </row>
    <row r="1882" spans="1:13" x14ac:dyDescent="0.25">
      <c r="A1882" s="9" t="s">
        <v>43</v>
      </c>
      <c r="B1882" s="23">
        <f>D1873/B1880</f>
        <v>0.48000386697602476</v>
      </c>
      <c r="C1882" s="5"/>
      <c r="D1882" s="106" t="s">
        <v>33</v>
      </c>
      <c r="E1882" s="107"/>
      <c r="F1882" s="5"/>
      <c r="G1882" s="13" t="s">
        <v>22</v>
      </c>
      <c r="H1882" s="6"/>
      <c r="I1882" s="26">
        <f>H1880-H1881</f>
        <v>21828.799999999999</v>
      </c>
      <c r="J1882" s="5"/>
      <c r="K1882" s="5"/>
      <c r="L1882" s="5"/>
      <c r="M1882">
        <f>SUM(M1880:M1881)</f>
        <v>54050</v>
      </c>
    </row>
    <row r="1883" spans="1:13" x14ac:dyDescent="0.25">
      <c r="A1883" s="106" t="s">
        <v>40</v>
      </c>
      <c r="B1883" s="107"/>
      <c r="C1883" s="5"/>
      <c r="D1883" s="108">
        <v>1200</v>
      </c>
      <c r="E1883" s="109"/>
      <c r="F1883" s="5"/>
      <c r="G1883" s="5"/>
      <c r="H1883" s="5"/>
      <c r="I1883" s="5"/>
      <c r="J1883" s="5"/>
      <c r="K1883" s="5"/>
      <c r="L1883" s="5"/>
    </row>
    <row r="1884" spans="1:13" x14ac:dyDescent="0.25">
      <c r="A1884" s="108">
        <f>B1880*0.3</f>
        <v>775.8</v>
      </c>
      <c r="B1884" s="109"/>
      <c r="C1884" s="5"/>
      <c r="D1884" s="106" t="s">
        <v>34</v>
      </c>
      <c r="E1884" s="107"/>
      <c r="F1884" s="5"/>
      <c r="G1884" s="5"/>
      <c r="H1884" s="5"/>
      <c r="I1884" s="44"/>
      <c r="J1884" s="5"/>
      <c r="K1884" s="5"/>
      <c r="L1884" s="5"/>
    </row>
    <row r="1885" spans="1:13" x14ac:dyDescent="0.25">
      <c r="A1885" s="5"/>
      <c r="B1885" s="5"/>
      <c r="C1885" s="5"/>
      <c r="D1885" s="108">
        <v>0</v>
      </c>
      <c r="E1885" s="109"/>
      <c r="F1885" s="5"/>
      <c r="G1885" s="5"/>
      <c r="H1885" s="5"/>
      <c r="I1885" s="5"/>
      <c r="J1885" s="5"/>
      <c r="K1885" s="5"/>
      <c r="L1885" s="5"/>
    </row>
    <row r="1886" spans="1:13" x14ac:dyDescent="0.25">
      <c r="A1886" s="5"/>
      <c r="B1886" s="5"/>
      <c r="C1886" s="5"/>
      <c r="D1886" s="106" t="s">
        <v>37</v>
      </c>
      <c r="E1886" s="107"/>
      <c r="F1886" s="5"/>
      <c r="G1886" s="5"/>
      <c r="H1886" s="5"/>
      <c r="I1886" s="5"/>
      <c r="J1886" s="5"/>
      <c r="K1886" s="5"/>
      <c r="L1886" s="5"/>
    </row>
    <row r="1887" spans="1:13" x14ac:dyDescent="0.25">
      <c r="A1887" s="5"/>
      <c r="B1887" s="5"/>
      <c r="C1887" s="5"/>
      <c r="D1887" s="108">
        <v>0</v>
      </c>
      <c r="E1887" s="109"/>
      <c r="F1887" s="5" t="s">
        <v>78</v>
      </c>
      <c r="G1887" s="5"/>
      <c r="H1887" s="5"/>
      <c r="I1887" s="44"/>
      <c r="J1887" s="5"/>
      <c r="K1887" s="5"/>
      <c r="L1887" s="5"/>
    </row>
    <row r="1888" spans="1:13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</row>
    <row r="1889" spans="1:12" x14ac:dyDescent="0.25">
      <c r="A1889" s="5" t="s">
        <v>23</v>
      </c>
      <c r="B1889" s="5" t="s">
        <v>54</v>
      </c>
      <c r="C1889" s="5"/>
      <c r="D1889" s="5"/>
      <c r="E1889" s="5"/>
      <c r="F1889" s="5"/>
      <c r="G1889" s="5"/>
      <c r="H1889" s="5"/>
      <c r="I1889" s="5"/>
      <c r="J1889" s="5"/>
      <c r="K1889" s="5"/>
      <c r="L1889" s="5"/>
    </row>
    <row r="1890" spans="1:12" s="49" customFormat="1" x14ac:dyDescent="0.25"/>
    <row r="1893" spans="1:12" x14ac:dyDescent="0.25">
      <c r="A1893" s="120" t="s">
        <v>24</v>
      </c>
      <c r="B1893" s="120"/>
      <c r="C1893" s="120"/>
      <c r="D1893" s="120"/>
      <c r="E1893" s="120"/>
      <c r="F1893" s="120"/>
      <c r="G1893" s="120"/>
      <c r="H1893" s="120"/>
    </row>
    <row r="1894" spans="1:12" x14ac:dyDescent="0.25">
      <c r="A1894" s="120"/>
      <c r="B1894" s="120"/>
      <c r="C1894" s="120"/>
      <c r="D1894" s="120"/>
      <c r="E1894" s="120"/>
      <c r="F1894" s="120"/>
      <c r="G1894" s="120"/>
      <c r="H1894" s="120"/>
    </row>
    <row r="1895" spans="1:12" x14ac:dyDescent="0.25">
      <c r="A1895" s="1" t="s">
        <v>4</v>
      </c>
      <c r="B1895" s="2"/>
      <c r="C1895" s="2"/>
      <c r="D1895" s="2"/>
      <c r="E1895" s="2"/>
      <c r="F1895" s="2"/>
      <c r="G1895" s="3" t="s">
        <v>5</v>
      </c>
      <c r="H1895" s="3" t="s">
        <v>6</v>
      </c>
      <c r="I1895" s="4" t="s">
        <v>7</v>
      </c>
      <c r="J1895" s="5"/>
      <c r="K1895" s="5"/>
      <c r="L1895" s="5"/>
    </row>
    <row r="1896" spans="1:12" x14ac:dyDescent="0.25">
      <c r="A1896" s="28" t="s">
        <v>283</v>
      </c>
      <c r="B1896" s="29" t="s">
        <v>42</v>
      </c>
      <c r="C1896" s="67"/>
      <c r="D1896" s="66"/>
      <c r="E1896" s="2"/>
      <c r="F1896" s="2"/>
      <c r="G1896" s="28" t="s">
        <v>155</v>
      </c>
      <c r="H1896" s="66"/>
      <c r="I1896" s="33"/>
      <c r="J1896" s="6"/>
      <c r="K1896" s="33"/>
      <c r="L1896" s="6"/>
    </row>
    <row r="1897" spans="1:12" x14ac:dyDescent="0.25">
      <c r="A1897" s="7" t="s">
        <v>2</v>
      </c>
      <c r="B1897" s="5"/>
      <c r="C1897" s="5"/>
      <c r="D1897" s="5"/>
      <c r="E1897" s="5"/>
      <c r="F1897" s="5"/>
      <c r="G1897" s="8" t="s">
        <v>8</v>
      </c>
      <c r="H1897" s="31"/>
      <c r="I1897" s="5"/>
      <c r="J1897" s="5"/>
      <c r="K1897" s="5"/>
      <c r="L1897" s="5"/>
    </row>
    <row r="1898" spans="1:12" x14ac:dyDescent="0.25">
      <c r="A1898" s="7" t="s">
        <v>25</v>
      </c>
      <c r="B1898" s="5"/>
      <c r="C1898" s="7" t="s">
        <v>0</v>
      </c>
      <c r="D1898" s="5"/>
      <c r="E1898" s="5"/>
      <c r="F1898" s="5"/>
      <c r="G1898" s="7" t="s">
        <v>25</v>
      </c>
      <c r="H1898" s="5"/>
      <c r="I1898" s="7" t="s">
        <v>0</v>
      </c>
      <c r="J1898" s="5"/>
      <c r="K1898" s="5"/>
      <c r="L1898" s="5"/>
    </row>
    <row r="1899" spans="1:12" x14ac:dyDescent="0.25">
      <c r="A1899" s="42" t="s">
        <v>290</v>
      </c>
      <c r="B1899" s="6"/>
      <c r="C1899" s="31">
        <f>L1859</f>
        <v>533740</v>
      </c>
      <c r="D1899" s="5"/>
      <c r="E1899" s="5"/>
      <c r="F1899" s="5"/>
      <c r="G1899" s="42"/>
      <c r="H1899" s="6"/>
      <c r="I1899" s="9"/>
      <c r="J1899" s="5"/>
      <c r="K1899" s="5"/>
      <c r="L1899" s="5"/>
    </row>
    <row r="1900" spans="1:12" ht="16.5" thickBot="1" x14ac:dyDescent="0.3">
      <c r="A1900" s="58"/>
      <c r="B1900" s="5"/>
      <c r="C1900" s="5"/>
      <c r="D1900" s="5"/>
      <c r="E1900" s="5"/>
      <c r="F1900" s="5"/>
      <c r="G1900" s="10"/>
      <c r="H1900" s="5"/>
      <c r="I1900" s="5"/>
      <c r="J1900" s="5"/>
      <c r="K1900" s="5"/>
      <c r="L1900" s="5"/>
    </row>
    <row r="1901" spans="1:12" ht="15.75" thickBot="1" x14ac:dyDescent="0.3">
      <c r="A1901" s="121" t="s">
        <v>9</v>
      </c>
      <c r="B1901" s="122"/>
      <c r="C1901" s="123"/>
      <c r="D1901" s="5"/>
      <c r="E1901" s="5"/>
      <c r="F1901" s="5"/>
      <c r="G1901" s="121" t="s">
        <v>26</v>
      </c>
      <c r="H1901" s="122"/>
      <c r="I1901" s="123"/>
      <c r="J1901" s="5"/>
      <c r="K1901" s="5"/>
      <c r="L1901" s="5"/>
    </row>
    <row r="1902" spans="1:12" x14ac:dyDescent="0.25">
      <c r="A1902" s="30" t="s">
        <v>38</v>
      </c>
      <c r="B1902" s="11"/>
      <c r="C1902" s="11"/>
      <c r="D1902" s="11"/>
      <c r="E1902" s="6"/>
      <c r="F1902" s="5"/>
      <c r="G1902" s="30" t="str">
        <f>A1905</f>
        <v>Gobabis</v>
      </c>
      <c r="H1902" s="11"/>
      <c r="I1902" s="11"/>
      <c r="J1902" s="11"/>
      <c r="K1902" s="11"/>
      <c r="L1902" s="6"/>
    </row>
    <row r="1903" spans="1:12" ht="15.75" thickBot="1" x14ac:dyDescent="0.3">
      <c r="A1903" s="7"/>
      <c r="B1903" s="7"/>
      <c r="C1903" s="7"/>
      <c r="D1903" s="5"/>
      <c r="E1903" s="5"/>
      <c r="F1903" s="5"/>
      <c r="G1903" s="7" t="s">
        <v>3</v>
      </c>
      <c r="H1903" s="7"/>
      <c r="I1903" s="7"/>
      <c r="J1903" s="5"/>
      <c r="K1903" s="5"/>
      <c r="L1903" s="5"/>
    </row>
    <row r="1904" spans="1:12" ht="15.75" thickBot="1" x14ac:dyDescent="0.3">
      <c r="A1904" s="121" t="s">
        <v>30</v>
      </c>
      <c r="B1904" s="122"/>
      <c r="C1904" s="124"/>
      <c r="D1904" s="12" t="s">
        <v>1</v>
      </c>
      <c r="E1904" s="32"/>
      <c r="F1904" s="5"/>
      <c r="G1904" s="121" t="s">
        <v>27</v>
      </c>
      <c r="H1904" s="122"/>
      <c r="I1904" s="123"/>
      <c r="J1904" s="5"/>
      <c r="K1904" s="12" t="s">
        <v>1</v>
      </c>
      <c r="L1904" s="32">
        <v>534452</v>
      </c>
    </row>
    <row r="1905" spans="1:12" x14ac:dyDescent="0.25">
      <c r="A1905" s="34" t="s">
        <v>63</v>
      </c>
      <c r="B1905" s="14"/>
      <c r="C1905" s="11"/>
      <c r="D1905" s="11"/>
      <c r="E1905" s="6"/>
      <c r="F1905" s="5"/>
      <c r="G1905" s="34"/>
      <c r="H1905" s="11"/>
      <c r="I1905" s="11"/>
      <c r="J1905" s="11"/>
      <c r="K1905" s="11"/>
      <c r="L1905" s="6"/>
    </row>
    <row r="1906" spans="1:12" x14ac:dyDescent="0.25">
      <c r="A1906" s="13"/>
      <c r="B1906" s="11"/>
      <c r="C1906" s="11"/>
      <c r="D1906" s="11"/>
      <c r="E1906" s="6"/>
      <c r="F1906" s="5"/>
      <c r="G1906" s="13"/>
      <c r="H1906" s="11"/>
      <c r="I1906" s="11"/>
      <c r="J1906" s="11"/>
      <c r="K1906" s="11"/>
      <c r="L1906" s="6"/>
    </row>
    <row r="1907" spans="1:12" x14ac:dyDescent="0.25">
      <c r="A1907" s="13"/>
      <c r="B1907" s="11"/>
      <c r="C1907" s="11"/>
      <c r="D1907" s="11"/>
      <c r="E1907" s="6"/>
      <c r="F1907" s="5"/>
      <c r="G1907" s="13"/>
      <c r="H1907" s="11"/>
      <c r="I1907" s="11"/>
      <c r="J1907" s="11"/>
      <c r="K1907" s="11"/>
      <c r="L1907" s="6"/>
    </row>
    <row r="1908" spans="1:12" x14ac:dyDescent="0.25">
      <c r="A1908" s="13"/>
      <c r="B1908" s="11"/>
      <c r="C1908" s="11"/>
      <c r="D1908" s="11"/>
      <c r="E1908" s="6"/>
      <c r="F1908" s="5"/>
      <c r="G1908" s="13"/>
      <c r="H1908" s="11"/>
      <c r="I1908" s="11"/>
      <c r="J1908" s="11"/>
      <c r="K1908" s="11"/>
      <c r="L1908" s="6"/>
    </row>
    <row r="1909" spans="1:12" ht="15.75" thickBot="1" x14ac:dyDescent="0.3">
      <c r="A1909" s="13"/>
      <c r="B1909" s="11"/>
      <c r="C1909" s="11" t="s">
        <v>29</v>
      </c>
      <c r="D1909" s="43"/>
      <c r="E1909" s="6"/>
      <c r="F1909" s="5"/>
      <c r="G1909" s="13"/>
      <c r="H1909" s="11"/>
      <c r="I1909" s="14" t="s">
        <v>28</v>
      </c>
      <c r="J1909" s="43"/>
      <c r="K1909" s="11"/>
      <c r="L1909" s="6"/>
    </row>
    <row r="1910" spans="1:12" ht="15.75" thickBot="1" x14ac:dyDescent="0.3">
      <c r="A1910" s="15" t="s">
        <v>10</v>
      </c>
      <c r="B1910" s="5"/>
      <c r="C1910" s="5"/>
      <c r="D1910" s="5"/>
      <c r="E1910" s="5"/>
      <c r="F1910" s="5"/>
      <c r="G1910" s="15" t="s">
        <v>14</v>
      </c>
      <c r="H1910" s="5"/>
      <c r="I1910" s="5"/>
      <c r="J1910" s="5"/>
      <c r="K1910" s="5"/>
      <c r="L1910" s="5"/>
    </row>
    <row r="1911" spans="1:12" ht="15.75" thickBot="1" x14ac:dyDescent="0.3">
      <c r="A1911" s="121" t="s">
        <v>11</v>
      </c>
      <c r="B1911" s="122"/>
      <c r="C1911" s="123"/>
      <c r="D1911" s="16" t="s">
        <v>12</v>
      </c>
      <c r="E1911" s="16" t="s">
        <v>13</v>
      </c>
      <c r="F1911" s="5"/>
      <c r="G1911" s="121" t="s">
        <v>15</v>
      </c>
      <c r="H1911" s="122"/>
      <c r="I1911" s="123"/>
      <c r="J1911" s="121" t="s">
        <v>13</v>
      </c>
      <c r="K1911" s="123"/>
      <c r="L1911" s="5"/>
    </row>
    <row r="1912" spans="1:12" x14ac:dyDescent="0.25">
      <c r="A1912" s="41"/>
      <c r="B1912" s="36"/>
      <c r="C1912" s="37"/>
      <c r="D1912" s="50"/>
      <c r="E1912" s="51"/>
      <c r="F1912" s="44" t="e">
        <f t="shared" ref="F1912:F1917" si="40">E1912/D1912</f>
        <v>#DIV/0!</v>
      </c>
      <c r="G1912" s="125" t="s">
        <v>50</v>
      </c>
      <c r="H1912" s="126"/>
      <c r="I1912" s="127"/>
      <c r="J1912" s="128"/>
      <c r="K1912" s="129"/>
      <c r="L1912" s="5"/>
    </row>
    <row r="1913" spans="1:12" x14ac:dyDescent="0.25">
      <c r="A1913" s="48"/>
      <c r="B1913" s="35"/>
      <c r="C1913" s="39"/>
      <c r="D1913" s="52"/>
      <c r="E1913" s="57"/>
      <c r="F1913" s="44" t="e">
        <f t="shared" si="40"/>
        <v>#DIV/0!</v>
      </c>
      <c r="G1913" s="110" t="s">
        <v>59</v>
      </c>
      <c r="H1913" s="111"/>
      <c r="I1913" s="112"/>
      <c r="J1913" s="113"/>
      <c r="K1913" s="114"/>
      <c r="L1913" s="5"/>
    </row>
    <row r="1914" spans="1:12" x14ac:dyDescent="0.25">
      <c r="A1914" s="48"/>
      <c r="B1914" s="35"/>
      <c r="C1914" s="39"/>
      <c r="D1914" s="52"/>
      <c r="E1914" s="53"/>
      <c r="F1914" s="44" t="e">
        <f t="shared" si="40"/>
        <v>#DIV/0!</v>
      </c>
      <c r="G1914" s="110" t="s">
        <v>61</v>
      </c>
      <c r="H1914" s="111"/>
      <c r="I1914" s="112"/>
      <c r="J1914" s="113"/>
      <c r="K1914" s="114"/>
      <c r="L1914" s="5"/>
    </row>
    <row r="1915" spans="1:12" x14ac:dyDescent="0.25">
      <c r="A1915" s="48"/>
      <c r="B1915" s="35"/>
      <c r="C1915" s="39"/>
      <c r="D1915" s="52"/>
      <c r="E1915" s="53"/>
      <c r="F1915" s="44" t="e">
        <f t="shared" si="40"/>
        <v>#DIV/0!</v>
      </c>
      <c r="G1915" s="110" t="s">
        <v>51</v>
      </c>
      <c r="H1915" s="111"/>
      <c r="I1915" s="112"/>
      <c r="J1915" s="113"/>
      <c r="K1915" s="114"/>
      <c r="L1915" s="5"/>
    </row>
    <row r="1916" spans="1:12" x14ac:dyDescent="0.25">
      <c r="A1916" s="27"/>
      <c r="B1916" s="11"/>
      <c r="C1916" s="6"/>
      <c r="D1916" s="54"/>
      <c r="E1916" s="55"/>
      <c r="F1916" s="44" t="e">
        <f t="shared" si="40"/>
        <v>#DIV/0!</v>
      </c>
      <c r="G1916" s="110" t="s">
        <v>58</v>
      </c>
      <c r="H1916" s="111"/>
      <c r="I1916" s="112"/>
      <c r="J1916" s="113"/>
      <c r="K1916" s="114"/>
      <c r="L1916" s="5"/>
    </row>
    <row r="1917" spans="1:12" x14ac:dyDescent="0.25">
      <c r="A1917" s="68"/>
      <c r="B1917" s="11"/>
      <c r="C1917" s="6"/>
      <c r="D1917" s="54"/>
      <c r="E1917" s="55"/>
      <c r="F1917" s="44" t="e">
        <f t="shared" si="40"/>
        <v>#DIV/0!</v>
      </c>
      <c r="G1917" s="110" t="s">
        <v>51</v>
      </c>
      <c r="H1917" s="111"/>
      <c r="I1917" s="112"/>
      <c r="J1917" s="113"/>
      <c r="K1917" s="114"/>
      <c r="L1917" s="5"/>
    </row>
    <row r="1918" spans="1:12" ht="15.75" thickBot="1" x14ac:dyDescent="0.3">
      <c r="A1918" s="5"/>
      <c r="B1918" s="5"/>
      <c r="C1918" s="7" t="s">
        <v>35</v>
      </c>
      <c r="D1918" s="17">
        <f>SUM(D1912:D1917)</f>
        <v>0</v>
      </c>
      <c r="E1918" s="17">
        <f>SUM(E1912:E1917)</f>
        <v>0</v>
      </c>
      <c r="F1918" s="5"/>
      <c r="G1918" s="77"/>
      <c r="H1918" s="78" t="s">
        <v>69</v>
      </c>
      <c r="I1918" s="79"/>
      <c r="J1918" s="113"/>
      <c r="K1918" s="114"/>
      <c r="L1918" s="7" t="s">
        <v>36</v>
      </c>
    </row>
    <row r="1919" spans="1:12" ht="15.75" thickBot="1" x14ac:dyDescent="0.3">
      <c r="A1919" s="5"/>
      <c r="B1919" s="5"/>
      <c r="C1919" s="5"/>
      <c r="D1919" s="5"/>
      <c r="E1919" s="5"/>
      <c r="F1919" s="5"/>
      <c r="G1919" s="77"/>
      <c r="H1919" s="78" t="s">
        <v>72</v>
      </c>
      <c r="I1919" s="79"/>
      <c r="J1919" s="113"/>
      <c r="K1919" s="114"/>
      <c r="L1919" s="18">
        <f>J1912+J1913+J1914+J1915+J1916+J1917+J1918+J1919</f>
        <v>0</v>
      </c>
    </row>
    <row r="1920" spans="1:12" ht="15.75" thickBot="1" x14ac:dyDescent="0.3">
      <c r="A1920" s="5"/>
      <c r="B1920" s="5"/>
      <c r="C1920" s="5"/>
      <c r="D1920" s="5"/>
      <c r="E1920" s="5"/>
      <c r="F1920" s="5"/>
      <c r="G1920" s="110" t="s">
        <v>73</v>
      </c>
      <c r="H1920" s="111"/>
      <c r="I1920" s="112"/>
      <c r="J1920" s="113"/>
      <c r="K1920" s="114"/>
      <c r="L1920" s="5"/>
    </row>
    <row r="1921" spans="1:12" ht="15.75" thickBot="1" x14ac:dyDescent="0.3">
      <c r="A1921" s="19"/>
      <c r="B1921" s="20"/>
      <c r="C1921" s="20"/>
      <c r="D1921" s="20"/>
      <c r="E1921" s="21" t="s">
        <v>13</v>
      </c>
      <c r="F1921" s="5"/>
      <c r="G1921" s="19"/>
      <c r="H1921" s="20"/>
      <c r="I1921" s="20"/>
      <c r="J1921" s="20"/>
      <c r="K1921" s="21" t="s">
        <v>13</v>
      </c>
      <c r="L1921" s="5"/>
    </row>
    <row r="1922" spans="1:12" x14ac:dyDescent="0.25">
      <c r="A1922" s="22" t="s">
        <v>31</v>
      </c>
      <c r="B1922" s="115">
        <v>6942</v>
      </c>
      <c r="C1922" s="116"/>
      <c r="D1922" s="116"/>
      <c r="E1922" s="117"/>
      <c r="F1922" s="5"/>
      <c r="G1922" s="22" t="s">
        <v>32</v>
      </c>
      <c r="H1922" s="115"/>
      <c r="I1922" s="116"/>
      <c r="J1922" s="116"/>
      <c r="K1922" s="117"/>
      <c r="L1922" s="5"/>
    </row>
    <row r="1923" spans="1:12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</row>
    <row r="1924" spans="1:12" x14ac:dyDescent="0.25">
      <c r="A1924" s="7" t="s">
        <v>16</v>
      </c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</row>
    <row r="1925" spans="1:12" x14ac:dyDescent="0.25">
      <c r="A1925" s="9" t="s">
        <v>17</v>
      </c>
      <c r="B1925" s="23">
        <f>L1904-C1899</f>
        <v>712</v>
      </c>
      <c r="C1925" s="5"/>
      <c r="D1925" s="106" t="s">
        <v>18</v>
      </c>
      <c r="E1925" s="107"/>
      <c r="F1925" s="24" t="s">
        <v>19</v>
      </c>
      <c r="G1925" s="9" t="s">
        <v>20</v>
      </c>
      <c r="H1925" s="118">
        <f>B1922+H1922</f>
        <v>6942</v>
      </c>
      <c r="I1925" s="119"/>
      <c r="J1925" s="5"/>
      <c r="K1925" s="5"/>
      <c r="L1925" s="5"/>
    </row>
    <row r="1926" spans="1:12" x14ac:dyDescent="0.25">
      <c r="A1926" s="9" t="s">
        <v>41</v>
      </c>
      <c r="B1926" s="40" t="e">
        <f>B1925/D1918</f>
        <v>#DIV/0!</v>
      </c>
      <c r="C1926" s="5"/>
      <c r="D1926" s="102">
        <f>E1918</f>
        <v>0</v>
      </c>
      <c r="E1926" s="103"/>
      <c r="F1926" s="25">
        <f>H1926/B1925</f>
        <v>1.2831460674157305</v>
      </c>
      <c r="G1926" s="9" t="s">
        <v>21</v>
      </c>
      <c r="H1926" s="104">
        <f>L1919+D1926+D1928+D1930+D1932+A1929</f>
        <v>913.6</v>
      </c>
      <c r="I1926" s="105"/>
      <c r="J1926" s="5"/>
      <c r="K1926" s="5"/>
      <c r="L1926" s="5"/>
    </row>
    <row r="1927" spans="1:12" x14ac:dyDescent="0.25">
      <c r="A1927" s="9" t="s">
        <v>43</v>
      </c>
      <c r="B1927" s="23">
        <f>D1918/B1925</f>
        <v>0</v>
      </c>
      <c r="C1927" s="5"/>
      <c r="D1927" s="106" t="s">
        <v>33</v>
      </c>
      <c r="E1927" s="107"/>
      <c r="F1927" s="5"/>
      <c r="G1927" s="13" t="s">
        <v>22</v>
      </c>
      <c r="H1927" s="6"/>
      <c r="I1927" s="26">
        <f>H1925-H1926</f>
        <v>6028.4</v>
      </c>
      <c r="J1927" s="5"/>
      <c r="K1927" s="5"/>
      <c r="L1927" s="5"/>
    </row>
    <row r="1928" spans="1:12" x14ac:dyDescent="0.25">
      <c r="A1928" s="106" t="s">
        <v>40</v>
      </c>
      <c r="B1928" s="107"/>
      <c r="C1928" s="5"/>
      <c r="D1928" s="108">
        <v>600</v>
      </c>
      <c r="E1928" s="109"/>
      <c r="F1928" s="5"/>
      <c r="G1928" s="5"/>
      <c r="H1928" s="5"/>
      <c r="I1928" s="5"/>
      <c r="J1928" s="5"/>
      <c r="K1928" s="5"/>
      <c r="L1928" s="5"/>
    </row>
    <row r="1929" spans="1:12" x14ac:dyDescent="0.25">
      <c r="A1929" s="108">
        <f>B1925*0.3</f>
        <v>213.6</v>
      </c>
      <c r="B1929" s="109"/>
      <c r="C1929" s="5"/>
      <c r="D1929" s="106" t="s">
        <v>34</v>
      </c>
      <c r="E1929" s="107"/>
      <c r="F1929" s="5"/>
      <c r="G1929" s="5"/>
      <c r="H1929" s="5"/>
      <c r="I1929" s="44"/>
      <c r="J1929" s="5"/>
      <c r="K1929" s="5"/>
      <c r="L1929" s="5"/>
    </row>
    <row r="1930" spans="1:12" x14ac:dyDescent="0.25">
      <c r="A1930" s="5"/>
      <c r="B1930" s="5"/>
      <c r="C1930" s="5"/>
      <c r="D1930" s="108">
        <v>100</v>
      </c>
      <c r="E1930" s="109"/>
      <c r="F1930" s="5"/>
      <c r="G1930" s="5"/>
      <c r="H1930" s="5"/>
      <c r="I1930" s="5"/>
      <c r="J1930" s="5"/>
      <c r="K1930" s="5"/>
      <c r="L1930" s="5"/>
    </row>
    <row r="1931" spans="1:12" x14ac:dyDescent="0.25">
      <c r="A1931" s="5"/>
      <c r="B1931" s="5"/>
      <c r="C1931" s="5"/>
      <c r="D1931" s="106" t="s">
        <v>37</v>
      </c>
      <c r="E1931" s="107"/>
      <c r="F1931" s="5"/>
      <c r="G1931" s="5"/>
      <c r="H1931" s="5"/>
      <c r="I1931" s="5"/>
      <c r="J1931" s="5"/>
      <c r="K1931" s="5"/>
      <c r="L1931" s="5"/>
    </row>
    <row r="1932" spans="1:12" x14ac:dyDescent="0.25">
      <c r="A1932" s="5"/>
      <c r="B1932" s="5"/>
      <c r="C1932" s="5"/>
      <c r="D1932" s="108">
        <v>0</v>
      </c>
      <c r="E1932" s="109"/>
      <c r="F1932" s="5" t="s">
        <v>78</v>
      </c>
      <c r="G1932" s="5"/>
      <c r="H1932" s="5"/>
      <c r="I1932" s="44"/>
      <c r="J1932" s="5"/>
      <c r="K1932" s="5"/>
      <c r="L1932" s="5"/>
    </row>
    <row r="1933" spans="1:12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</row>
    <row r="1934" spans="1:12" x14ac:dyDescent="0.25">
      <c r="A1934" s="5" t="s">
        <v>23</v>
      </c>
      <c r="B1934" s="5" t="s">
        <v>54</v>
      </c>
      <c r="C1934" s="5"/>
      <c r="D1934" s="5"/>
      <c r="E1934" s="5"/>
      <c r="F1934" s="5"/>
      <c r="G1934" s="5"/>
      <c r="H1934" s="5"/>
      <c r="I1934" s="5"/>
      <c r="J1934" s="5"/>
      <c r="K1934" s="5"/>
      <c r="L1934" s="5"/>
    </row>
    <row r="1935" spans="1:12" s="65" customFormat="1" x14ac:dyDescent="0.25">
      <c r="A1935" s="65" t="s">
        <v>291</v>
      </c>
    </row>
  </sheetData>
  <mergeCells count="1634">
    <mergeCell ref="D1930:E1930"/>
    <mergeCell ref="D1931:E1931"/>
    <mergeCell ref="D1932:E1932"/>
    <mergeCell ref="G1917:I1917"/>
    <mergeCell ref="J1917:K1917"/>
    <mergeCell ref="J1918:K1918"/>
    <mergeCell ref="J1919:K1919"/>
    <mergeCell ref="G1920:I1920"/>
    <mergeCell ref="J1920:K1920"/>
    <mergeCell ref="B1922:E1922"/>
    <mergeCell ref="H1922:K1922"/>
    <mergeCell ref="D1925:E1925"/>
    <mergeCell ref="H1925:I1925"/>
    <mergeCell ref="D1926:E1926"/>
    <mergeCell ref="H1926:I1926"/>
    <mergeCell ref="D1927:E1927"/>
    <mergeCell ref="A1928:B1928"/>
    <mergeCell ref="D1928:E1928"/>
    <mergeCell ref="A1929:B1929"/>
    <mergeCell ref="D1929:E1929"/>
    <mergeCell ref="A1893:H1894"/>
    <mergeCell ref="A1901:C1901"/>
    <mergeCell ref="G1901:I1901"/>
    <mergeCell ref="A1904:C1904"/>
    <mergeCell ref="G1904:I1904"/>
    <mergeCell ref="A1911:C1911"/>
    <mergeCell ref="G1911:I1911"/>
    <mergeCell ref="J1911:K1911"/>
    <mergeCell ref="G1912:I1912"/>
    <mergeCell ref="J1912:K1912"/>
    <mergeCell ref="G1913:I1913"/>
    <mergeCell ref="J1913:K1913"/>
    <mergeCell ref="G1914:I1914"/>
    <mergeCell ref="J1914:K1914"/>
    <mergeCell ref="G1915:I1915"/>
    <mergeCell ref="J1915:K1915"/>
    <mergeCell ref="G1916:I1916"/>
    <mergeCell ref="J1916:K1916"/>
    <mergeCell ref="B1877:E1877"/>
    <mergeCell ref="H1877:K1877"/>
    <mergeCell ref="D1880:E1880"/>
    <mergeCell ref="H1880:I1880"/>
    <mergeCell ref="D1881:E1881"/>
    <mergeCell ref="H1881:I1881"/>
    <mergeCell ref="D1882:E1882"/>
    <mergeCell ref="A1883:B1883"/>
    <mergeCell ref="D1883:E1883"/>
    <mergeCell ref="A1884:B1884"/>
    <mergeCell ref="D1884:E1884"/>
    <mergeCell ref="D1885:E1885"/>
    <mergeCell ref="D1886:E1886"/>
    <mergeCell ref="D1887:E1887"/>
    <mergeCell ref="J1866:K1866"/>
    <mergeCell ref="G1867:I1867"/>
    <mergeCell ref="J1867:K1867"/>
    <mergeCell ref="G1868:I1868"/>
    <mergeCell ref="J1868:K1868"/>
    <mergeCell ref="G1869:I1869"/>
    <mergeCell ref="J1869:K1869"/>
    <mergeCell ref="G1870:I1870"/>
    <mergeCell ref="J1870:K1870"/>
    <mergeCell ref="G1871:I1871"/>
    <mergeCell ref="J1871:K1871"/>
    <mergeCell ref="G1872:I1872"/>
    <mergeCell ref="J1872:K1872"/>
    <mergeCell ref="J1873:K1873"/>
    <mergeCell ref="J1874:K1874"/>
    <mergeCell ref="G1875:I1875"/>
    <mergeCell ref="J1875:K1875"/>
    <mergeCell ref="D1836:E1836"/>
    <mergeCell ref="H1836:I1836"/>
    <mergeCell ref="D1837:E1837"/>
    <mergeCell ref="A1838:B1838"/>
    <mergeCell ref="D1838:E1838"/>
    <mergeCell ref="A1839:B1839"/>
    <mergeCell ref="D1839:E1839"/>
    <mergeCell ref="D1840:E1840"/>
    <mergeCell ref="D1841:E1841"/>
    <mergeCell ref="D1842:E1842"/>
    <mergeCell ref="A1848:H1849"/>
    <mergeCell ref="A1856:C1856"/>
    <mergeCell ref="G1856:I1856"/>
    <mergeCell ref="A1859:C1859"/>
    <mergeCell ref="G1859:I1859"/>
    <mergeCell ref="A1866:C1866"/>
    <mergeCell ref="G1866:I1866"/>
    <mergeCell ref="G1823:I1823"/>
    <mergeCell ref="J1823:K1823"/>
    <mergeCell ref="G1824:I1824"/>
    <mergeCell ref="J1824:K1824"/>
    <mergeCell ref="G1825:I1825"/>
    <mergeCell ref="J1825:K1825"/>
    <mergeCell ref="G1826:I1826"/>
    <mergeCell ref="J1826:K1826"/>
    <mergeCell ref="G1827:I1827"/>
    <mergeCell ref="J1827:K1827"/>
    <mergeCell ref="J1828:K1828"/>
    <mergeCell ref="J1829:K1829"/>
    <mergeCell ref="G1830:I1830"/>
    <mergeCell ref="J1830:K1830"/>
    <mergeCell ref="B1832:E1832"/>
    <mergeCell ref="H1832:K1832"/>
    <mergeCell ref="D1835:E1835"/>
    <mergeCell ref="H1835:I1835"/>
    <mergeCell ref="A1793:B1793"/>
    <mergeCell ref="D1793:E1793"/>
    <mergeCell ref="A1794:B1794"/>
    <mergeCell ref="D1794:E1794"/>
    <mergeCell ref="D1795:E1795"/>
    <mergeCell ref="D1796:E1796"/>
    <mergeCell ref="D1797:E1797"/>
    <mergeCell ref="A1803:H1804"/>
    <mergeCell ref="A1811:C1811"/>
    <mergeCell ref="G1811:I1811"/>
    <mergeCell ref="A1814:C1814"/>
    <mergeCell ref="G1814:I1814"/>
    <mergeCell ref="A1821:C1821"/>
    <mergeCell ref="G1821:I1821"/>
    <mergeCell ref="J1821:K1821"/>
    <mergeCell ref="G1822:I1822"/>
    <mergeCell ref="J1822:K1822"/>
    <mergeCell ref="G1780:I1780"/>
    <mergeCell ref="J1780:K1780"/>
    <mergeCell ref="G1781:I1781"/>
    <mergeCell ref="J1781:K1781"/>
    <mergeCell ref="G1782:I1782"/>
    <mergeCell ref="J1782:K1782"/>
    <mergeCell ref="J1783:K1783"/>
    <mergeCell ref="J1784:K1784"/>
    <mergeCell ref="G1785:I1785"/>
    <mergeCell ref="J1785:K1785"/>
    <mergeCell ref="B1787:E1787"/>
    <mergeCell ref="H1787:K1787"/>
    <mergeCell ref="D1790:E1790"/>
    <mergeCell ref="H1790:I1790"/>
    <mergeCell ref="D1791:E1791"/>
    <mergeCell ref="H1791:I1791"/>
    <mergeCell ref="D1792:E1792"/>
    <mergeCell ref="D1750:E1750"/>
    <mergeCell ref="D1751:E1751"/>
    <mergeCell ref="D1752:E1752"/>
    <mergeCell ref="A1758:H1759"/>
    <mergeCell ref="A1766:C1766"/>
    <mergeCell ref="G1766:I1766"/>
    <mergeCell ref="A1769:C1769"/>
    <mergeCell ref="G1769:I1769"/>
    <mergeCell ref="A1776:C1776"/>
    <mergeCell ref="G1776:I1776"/>
    <mergeCell ref="J1776:K1776"/>
    <mergeCell ref="G1777:I1777"/>
    <mergeCell ref="J1777:K1777"/>
    <mergeCell ref="G1778:I1778"/>
    <mergeCell ref="J1778:K1778"/>
    <mergeCell ref="G1779:I1779"/>
    <mergeCell ref="J1779:K1779"/>
    <mergeCell ref="G1737:I1737"/>
    <mergeCell ref="J1737:K1737"/>
    <mergeCell ref="J1738:K1738"/>
    <mergeCell ref="J1739:K1739"/>
    <mergeCell ref="G1740:I1740"/>
    <mergeCell ref="J1740:K1740"/>
    <mergeCell ref="B1742:E1742"/>
    <mergeCell ref="H1742:K1742"/>
    <mergeCell ref="D1745:E1745"/>
    <mergeCell ref="H1745:I1745"/>
    <mergeCell ref="D1746:E1746"/>
    <mergeCell ref="H1746:I1746"/>
    <mergeCell ref="D1747:E1747"/>
    <mergeCell ref="A1748:B1748"/>
    <mergeCell ref="D1748:E1748"/>
    <mergeCell ref="A1749:B1749"/>
    <mergeCell ref="D1749:E1749"/>
    <mergeCell ref="A1713:H1714"/>
    <mergeCell ref="A1721:C1721"/>
    <mergeCell ref="G1721:I1721"/>
    <mergeCell ref="A1724:C1724"/>
    <mergeCell ref="G1724:I1724"/>
    <mergeCell ref="A1731:C1731"/>
    <mergeCell ref="G1731:I1731"/>
    <mergeCell ref="J1731:K1731"/>
    <mergeCell ref="G1732:I1732"/>
    <mergeCell ref="J1732:K1732"/>
    <mergeCell ref="G1733:I1733"/>
    <mergeCell ref="J1733:K1733"/>
    <mergeCell ref="G1734:I1734"/>
    <mergeCell ref="J1734:K1734"/>
    <mergeCell ref="G1735:I1735"/>
    <mergeCell ref="J1735:K1735"/>
    <mergeCell ref="G1736:I1736"/>
    <mergeCell ref="J1736:K1736"/>
    <mergeCell ref="D1705:E1705"/>
    <mergeCell ref="D1706:E1706"/>
    <mergeCell ref="D1707:E1707"/>
    <mergeCell ref="G1692:I1692"/>
    <mergeCell ref="J1692:K1692"/>
    <mergeCell ref="J1693:K1693"/>
    <mergeCell ref="J1694:K1694"/>
    <mergeCell ref="G1695:I1695"/>
    <mergeCell ref="J1695:K1695"/>
    <mergeCell ref="B1697:E1697"/>
    <mergeCell ref="H1697:K1697"/>
    <mergeCell ref="D1700:E1700"/>
    <mergeCell ref="H1700:I1700"/>
    <mergeCell ref="D1701:E1701"/>
    <mergeCell ref="H1701:I1701"/>
    <mergeCell ref="D1702:E1702"/>
    <mergeCell ref="A1703:B1703"/>
    <mergeCell ref="D1703:E1703"/>
    <mergeCell ref="A1704:B1704"/>
    <mergeCell ref="D1704:E1704"/>
    <mergeCell ref="A1668:H1669"/>
    <mergeCell ref="A1676:C1676"/>
    <mergeCell ref="G1676:I1676"/>
    <mergeCell ref="A1679:C1679"/>
    <mergeCell ref="G1679:I1679"/>
    <mergeCell ref="A1686:C1686"/>
    <mergeCell ref="G1686:I1686"/>
    <mergeCell ref="J1686:K1686"/>
    <mergeCell ref="G1687:I1687"/>
    <mergeCell ref="J1687:K1687"/>
    <mergeCell ref="G1688:I1688"/>
    <mergeCell ref="J1688:K1688"/>
    <mergeCell ref="G1689:I1689"/>
    <mergeCell ref="J1689:K1689"/>
    <mergeCell ref="G1690:I1690"/>
    <mergeCell ref="J1690:K1690"/>
    <mergeCell ref="G1691:I1691"/>
    <mergeCell ref="J1691:K1691"/>
    <mergeCell ref="A1523:B1523"/>
    <mergeCell ref="D1523:E1523"/>
    <mergeCell ref="A1524:B1524"/>
    <mergeCell ref="D1524:E1524"/>
    <mergeCell ref="D1525:E1525"/>
    <mergeCell ref="D1526:E1526"/>
    <mergeCell ref="D1527:E1527"/>
    <mergeCell ref="G1515:I1515"/>
    <mergeCell ref="J1515:K1515"/>
    <mergeCell ref="G1510:I1510"/>
    <mergeCell ref="J1510:K1510"/>
    <mergeCell ref="G1511:I1511"/>
    <mergeCell ref="J1511:K1511"/>
    <mergeCell ref="G1512:I1512"/>
    <mergeCell ref="J1512:K1512"/>
    <mergeCell ref="J1513:K1513"/>
    <mergeCell ref="J1514:K1514"/>
    <mergeCell ref="B1517:E1517"/>
    <mergeCell ref="H1517:K1517"/>
    <mergeCell ref="D1520:E1520"/>
    <mergeCell ref="H1520:I1520"/>
    <mergeCell ref="D1521:E1521"/>
    <mergeCell ref="H1521:I1521"/>
    <mergeCell ref="D1522:E1522"/>
    <mergeCell ref="D1480:E1480"/>
    <mergeCell ref="D1481:E1481"/>
    <mergeCell ref="D1482:E1482"/>
    <mergeCell ref="A1488:H1489"/>
    <mergeCell ref="A1496:C1496"/>
    <mergeCell ref="G1496:I1496"/>
    <mergeCell ref="A1499:C1499"/>
    <mergeCell ref="G1499:I1499"/>
    <mergeCell ref="A1506:C1506"/>
    <mergeCell ref="G1506:I1506"/>
    <mergeCell ref="J1506:K1506"/>
    <mergeCell ref="G1507:I1507"/>
    <mergeCell ref="J1507:K1507"/>
    <mergeCell ref="G1508:I1508"/>
    <mergeCell ref="J1508:K1508"/>
    <mergeCell ref="G1509:I1509"/>
    <mergeCell ref="J1509:K1509"/>
    <mergeCell ref="G1467:I1467"/>
    <mergeCell ref="J1467:K1467"/>
    <mergeCell ref="G1468:I1468"/>
    <mergeCell ref="J1468:K1468"/>
    <mergeCell ref="G1469:I1469"/>
    <mergeCell ref="J1469:K1469"/>
    <mergeCell ref="B1472:E1472"/>
    <mergeCell ref="H1472:K1472"/>
    <mergeCell ref="D1475:E1475"/>
    <mergeCell ref="H1475:I1475"/>
    <mergeCell ref="D1476:E1476"/>
    <mergeCell ref="H1476:I1476"/>
    <mergeCell ref="D1477:E1477"/>
    <mergeCell ref="A1478:B1478"/>
    <mergeCell ref="D1478:E1478"/>
    <mergeCell ref="A1479:B1479"/>
    <mergeCell ref="D1479:E1479"/>
    <mergeCell ref="A1443:H1444"/>
    <mergeCell ref="A1451:C1451"/>
    <mergeCell ref="G1451:I1451"/>
    <mergeCell ref="A1454:C1454"/>
    <mergeCell ref="G1454:I1454"/>
    <mergeCell ref="A1461:C1461"/>
    <mergeCell ref="G1461:I1461"/>
    <mergeCell ref="J1461:K1461"/>
    <mergeCell ref="G1462:I1462"/>
    <mergeCell ref="J1462:K1462"/>
    <mergeCell ref="G1463:I1463"/>
    <mergeCell ref="J1463:K1463"/>
    <mergeCell ref="G1464:I1464"/>
    <mergeCell ref="J1464:K1464"/>
    <mergeCell ref="G1465:I1465"/>
    <mergeCell ref="J1465:K1465"/>
    <mergeCell ref="G1466:I1466"/>
    <mergeCell ref="J1466:K1466"/>
    <mergeCell ref="D1031:E1031"/>
    <mergeCell ref="D1032:E1032"/>
    <mergeCell ref="G1018:I1018"/>
    <mergeCell ref="G1017:I1017"/>
    <mergeCell ref="J1017:K1017"/>
    <mergeCell ref="J1018:K1018"/>
    <mergeCell ref="G1019:I1019"/>
    <mergeCell ref="J1019:K1019"/>
    <mergeCell ref="B1022:E1022"/>
    <mergeCell ref="H1022:K1022"/>
    <mergeCell ref="D1025:E1025"/>
    <mergeCell ref="H1025:I1025"/>
    <mergeCell ref="D1026:E1026"/>
    <mergeCell ref="H1026:I1026"/>
    <mergeCell ref="D1027:E1027"/>
    <mergeCell ref="A1028:B1028"/>
    <mergeCell ref="D1028:E1028"/>
    <mergeCell ref="A1029:B1029"/>
    <mergeCell ref="D1029:E1029"/>
    <mergeCell ref="D1030:E1030"/>
    <mergeCell ref="A993:H994"/>
    <mergeCell ref="A1001:C1001"/>
    <mergeCell ref="G1001:I1001"/>
    <mergeCell ref="A1004:C1004"/>
    <mergeCell ref="G1004:I1004"/>
    <mergeCell ref="A1011:C1011"/>
    <mergeCell ref="G1011:I1011"/>
    <mergeCell ref="J1011:K1011"/>
    <mergeCell ref="G1012:I1012"/>
    <mergeCell ref="J1012:K1012"/>
    <mergeCell ref="G1013:I1013"/>
    <mergeCell ref="J1013:K1013"/>
    <mergeCell ref="G1014:I1014"/>
    <mergeCell ref="J1014:K1014"/>
    <mergeCell ref="G1015:I1015"/>
    <mergeCell ref="J1015:K1015"/>
    <mergeCell ref="G1016:I1016"/>
    <mergeCell ref="J1016:K1016"/>
    <mergeCell ref="J973:K973"/>
    <mergeCell ref="G974:I974"/>
    <mergeCell ref="J974:K974"/>
    <mergeCell ref="B977:E977"/>
    <mergeCell ref="H977:K977"/>
    <mergeCell ref="D980:E980"/>
    <mergeCell ref="H980:I980"/>
    <mergeCell ref="D981:E981"/>
    <mergeCell ref="H981:I981"/>
    <mergeCell ref="D982:E982"/>
    <mergeCell ref="A983:B983"/>
    <mergeCell ref="D983:E983"/>
    <mergeCell ref="A984:B984"/>
    <mergeCell ref="D984:E984"/>
    <mergeCell ref="D985:E985"/>
    <mergeCell ref="D986:E986"/>
    <mergeCell ref="D987:E987"/>
    <mergeCell ref="G973:I973"/>
    <mergeCell ref="A959:C959"/>
    <mergeCell ref="G959:I959"/>
    <mergeCell ref="A966:C966"/>
    <mergeCell ref="G966:I966"/>
    <mergeCell ref="J966:K966"/>
    <mergeCell ref="G967:I967"/>
    <mergeCell ref="J967:K967"/>
    <mergeCell ref="G968:I968"/>
    <mergeCell ref="J968:K968"/>
    <mergeCell ref="G969:I969"/>
    <mergeCell ref="J969:K969"/>
    <mergeCell ref="G970:I970"/>
    <mergeCell ref="J970:K970"/>
    <mergeCell ref="G971:I971"/>
    <mergeCell ref="J971:K971"/>
    <mergeCell ref="G972:I972"/>
    <mergeCell ref="J972:K972"/>
    <mergeCell ref="B930:E930"/>
    <mergeCell ref="H930:K930"/>
    <mergeCell ref="D933:E933"/>
    <mergeCell ref="H933:I933"/>
    <mergeCell ref="D934:E934"/>
    <mergeCell ref="H934:I934"/>
    <mergeCell ref="D935:E935"/>
    <mergeCell ref="A936:B936"/>
    <mergeCell ref="D936:E936"/>
    <mergeCell ref="A937:B937"/>
    <mergeCell ref="D937:E937"/>
    <mergeCell ref="D938:E938"/>
    <mergeCell ref="D939:E939"/>
    <mergeCell ref="D940:E940"/>
    <mergeCell ref="A948:H949"/>
    <mergeCell ref="A956:C956"/>
    <mergeCell ref="G956:I956"/>
    <mergeCell ref="J919:K919"/>
    <mergeCell ref="G920:I920"/>
    <mergeCell ref="J920:K920"/>
    <mergeCell ref="G921:I921"/>
    <mergeCell ref="J921:K921"/>
    <mergeCell ref="G922:I922"/>
    <mergeCell ref="J922:K922"/>
    <mergeCell ref="G923:I923"/>
    <mergeCell ref="J923:K923"/>
    <mergeCell ref="G924:I924"/>
    <mergeCell ref="J924:K924"/>
    <mergeCell ref="G925:I925"/>
    <mergeCell ref="J925:K925"/>
    <mergeCell ref="G926:I926"/>
    <mergeCell ref="J926:K926"/>
    <mergeCell ref="G927:I927"/>
    <mergeCell ref="J927:K927"/>
    <mergeCell ref="D894:E894"/>
    <mergeCell ref="D895:E895"/>
    <mergeCell ref="D888:E888"/>
    <mergeCell ref="H888:I888"/>
    <mergeCell ref="D889:E889"/>
    <mergeCell ref="H889:I889"/>
    <mergeCell ref="D890:E890"/>
    <mergeCell ref="A891:B891"/>
    <mergeCell ref="D891:E891"/>
    <mergeCell ref="A892:B892"/>
    <mergeCell ref="D892:E892"/>
    <mergeCell ref="A901:H902"/>
    <mergeCell ref="A909:C909"/>
    <mergeCell ref="G909:I909"/>
    <mergeCell ref="A912:C912"/>
    <mergeCell ref="G912:I912"/>
    <mergeCell ref="A919:C919"/>
    <mergeCell ref="G919:I919"/>
    <mergeCell ref="G876:I876"/>
    <mergeCell ref="J876:K876"/>
    <mergeCell ref="G877:I877"/>
    <mergeCell ref="J877:K877"/>
    <mergeCell ref="G878:I878"/>
    <mergeCell ref="J878:K878"/>
    <mergeCell ref="G879:I879"/>
    <mergeCell ref="J879:K879"/>
    <mergeCell ref="G880:I880"/>
    <mergeCell ref="J880:K880"/>
    <mergeCell ref="G881:I881"/>
    <mergeCell ref="J881:K881"/>
    <mergeCell ref="G882:I882"/>
    <mergeCell ref="J882:K882"/>
    <mergeCell ref="B885:E885"/>
    <mergeCell ref="H885:K885"/>
    <mergeCell ref="D893:E893"/>
    <mergeCell ref="A846:B846"/>
    <mergeCell ref="D846:E846"/>
    <mergeCell ref="A847:B847"/>
    <mergeCell ref="D847:E847"/>
    <mergeCell ref="D848:E848"/>
    <mergeCell ref="D849:E849"/>
    <mergeCell ref="D850:E850"/>
    <mergeCell ref="A856:H857"/>
    <mergeCell ref="A864:C864"/>
    <mergeCell ref="G864:I864"/>
    <mergeCell ref="A867:C867"/>
    <mergeCell ref="G867:I867"/>
    <mergeCell ref="A874:C874"/>
    <mergeCell ref="G874:I874"/>
    <mergeCell ref="J874:K874"/>
    <mergeCell ref="G875:I875"/>
    <mergeCell ref="J875:K875"/>
    <mergeCell ref="G833:I833"/>
    <mergeCell ref="J833:K833"/>
    <mergeCell ref="G834:I834"/>
    <mergeCell ref="J834:K834"/>
    <mergeCell ref="G835:I835"/>
    <mergeCell ref="J835:K835"/>
    <mergeCell ref="G836:I836"/>
    <mergeCell ref="J836:K836"/>
    <mergeCell ref="G837:I837"/>
    <mergeCell ref="J837:K837"/>
    <mergeCell ref="B840:E840"/>
    <mergeCell ref="H840:K840"/>
    <mergeCell ref="D843:E843"/>
    <mergeCell ref="H843:I843"/>
    <mergeCell ref="D844:E844"/>
    <mergeCell ref="H844:I844"/>
    <mergeCell ref="D845:E845"/>
    <mergeCell ref="A829:C829"/>
    <mergeCell ref="G829:I829"/>
    <mergeCell ref="D800:E800"/>
    <mergeCell ref="A801:B801"/>
    <mergeCell ref="D801:E801"/>
    <mergeCell ref="A802:B802"/>
    <mergeCell ref="D802:E802"/>
    <mergeCell ref="D803:E803"/>
    <mergeCell ref="D804:E804"/>
    <mergeCell ref="D805:E805"/>
    <mergeCell ref="J829:K829"/>
    <mergeCell ref="G830:I830"/>
    <mergeCell ref="J830:K830"/>
    <mergeCell ref="G831:I831"/>
    <mergeCell ref="J831:K831"/>
    <mergeCell ref="G832:I832"/>
    <mergeCell ref="J832:K832"/>
    <mergeCell ref="G790:I790"/>
    <mergeCell ref="J790:K790"/>
    <mergeCell ref="G791:I791"/>
    <mergeCell ref="J791:K791"/>
    <mergeCell ref="G792:I792"/>
    <mergeCell ref="J792:K792"/>
    <mergeCell ref="B795:E795"/>
    <mergeCell ref="H795:K795"/>
    <mergeCell ref="D798:E798"/>
    <mergeCell ref="H798:I798"/>
    <mergeCell ref="D799:E799"/>
    <mergeCell ref="H799:I799"/>
    <mergeCell ref="A811:H812"/>
    <mergeCell ref="A819:C819"/>
    <mergeCell ref="G819:I819"/>
    <mergeCell ref="A822:C822"/>
    <mergeCell ref="G822:I822"/>
    <mergeCell ref="A766:H767"/>
    <mergeCell ref="A774:C774"/>
    <mergeCell ref="G774:I774"/>
    <mergeCell ref="A777:C777"/>
    <mergeCell ref="G777:I777"/>
    <mergeCell ref="A784:C784"/>
    <mergeCell ref="G784:I784"/>
    <mergeCell ref="J784:K784"/>
    <mergeCell ref="G785:I785"/>
    <mergeCell ref="J785:K785"/>
    <mergeCell ref="G786:I786"/>
    <mergeCell ref="J786:K786"/>
    <mergeCell ref="G787:I787"/>
    <mergeCell ref="J787:K787"/>
    <mergeCell ref="G788:I788"/>
    <mergeCell ref="J788:K788"/>
    <mergeCell ref="G789:I789"/>
    <mergeCell ref="J789:K789"/>
    <mergeCell ref="J431:K431"/>
    <mergeCell ref="G432:I432"/>
    <mergeCell ref="J432:K432"/>
    <mergeCell ref="B435:E435"/>
    <mergeCell ref="H435:K435"/>
    <mergeCell ref="D438:E438"/>
    <mergeCell ref="H438:I438"/>
    <mergeCell ref="D439:E439"/>
    <mergeCell ref="H439:I439"/>
    <mergeCell ref="D440:E440"/>
    <mergeCell ref="A441:B441"/>
    <mergeCell ref="D441:E441"/>
    <mergeCell ref="A442:B442"/>
    <mergeCell ref="D442:E442"/>
    <mergeCell ref="D443:E443"/>
    <mergeCell ref="D444:E444"/>
    <mergeCell ref="D445:E445"/>
    <mergeCell ref="G431:I431"/>
    <mergeCell ref="A417:C417"/>
    <mergeCell ref="G417:I417"/>
    <mergeCell ref="A424:C424"/>
    <mergeCell ref="G424:I424"/>
    <mergeCell ref="J424:K424"/>
    <mergeCell ref="G425:I425"/>
    <mergeCell ref="J425:K425"/>
    <mergeCell ref="G426:I426"/>
    <mergeCell ref="J426:K426"/>
    <mergeCell ref="G427:I427"/>
    <mergeCell ref="J427:K427"/>
    <mergeCell ref="G428:I428"/>
    <mergeCell ref="J428:K428"/>
    <mergeCell ref="G429:I429"/>
    <mergeCell ref="J429:K429"/>
    <mergeCell ref="G430:I430"/>
    <mergeCell ref="J430:K430"/>
    <mergeCell ref="B390:E390"/>
    <mergeCell ref="H390:K390"/>
    <mergeCell ref="D393:E393"/>
    <mergeCell ref="H393:I393"/>
    <mergeCell ref="D394:E394"/>
    <mergeCell ref="H394:I394"/>
    <mergeCell ref="D395:E395"/>
    <mergeCell ref="A396:B396"/>
    <mergeCell ref="D396:E396"/>
    <mergeCell ref="A397:B397"/>
    <mergeCell ref="D397:E397"/>
    <mergeCell ref="D398:E398"/>
    <mergeCell ref="D399:E399"/>
    <mergeCell ref="D400:E400"/>
    <mergeCell ref="G386:I386"/>
    <mergeCell ref="A406:H407"/>
    <mergeCell ref="A414:C414"/>
    <mergeCell ref="G414:I414"/>
    <mergeCell ref="A379:C379"/>
    <mergeCell ref="G379:I379"/>
    <mergeCell ref="J379:K379"/>
    <mergeCell ref="G380:I380"/>
    <mergeCell ref="J380:K380"/>
    <mergeCell ref="G381:I381"/>
    <mergeCell ref="J381:K381"/>
    <mergeCell ref="G382:I382"/>
    <mergeCell ref="J382:K382"/>
    <mergeCell ref="G383:I383"/>
    <mergeCell ref="J383:K383"/>
    <mergeCell ref="G384:I384"/>
    <mergeCell ref="J384:K384"/>
    <mergeCell ref="G385:I385"/>
    <mergeCell ref="J385:K385"/>
    <mergeCell ref="J386:K386"/>
    <mergeCell ref="G387:I387"/>
    <mergeCell ref="J387:K387"/>
    <mergeCell ref="D348:E348"/>
    <mergeCell ref="H348:I348"/>
    <mergeCell ref="D349:E349"/>
    <mergeCell ref="H349:I349"/>
    <mergeCell ref="D350:E350"/>
    <mergeCell ref="A351:B351"/>
    <mergeCell ref="D351:E351"/>
    <mergeCell ref="A352:B352"/>
    <mergeCell ref="D352:E352"/>
    <mergeCell ref="D353:E353"/>
    <mergeCell ref="D354:E354"/>
    <mergeCell ref="D355:E355"/>
    <mergeCell ref="A361:H362"/>
    <mergeCell ref="A369:C369"/>
    <mergeCell ref="G369:I369"/>
    <mergeCell ref="A372:C372"/>
    <mergeCell ref="G372:I372"/>
    <mergeCell ref="G335:I335"/>
    <mergeCell ref="J335:K335"/>
    <mergeCell ref="G336:I336"/>
    <mergeCell ref="J336:K336"/>
    <mergeCell ref="G337:I337"/>
    <mergeCell ref="J337:K337"/>
    <mergeCell ref="G338:I338"/>
    <mergeCell ref="J338:K338"/>
    <mergeCell ref="G339:I339"/>
    <mergeCell ref="J339:K339"/>
    <mergeCell ref="G340:I340"/>
    <mergeCell ref="J340:K340"/>
    <mergeCell ref="G341:I341"/>
    <mergeCell ref="J341:K341"/>
    <mergeCell ref="G342:I342"/>
    <mergeCell ref="J342:K342"/>
    <mergeCell ref="B345:E345"/>
    <mergeCell ref="H345:K345"/>
    <mergeCell ref="D309:E309"/>
    <mergeCell ref="D310:E310"/>
    <mergeCell ref="G297:I297"/>
    <mergeCell ref="J297:K297"/>
    <mergeCell ref="B300:E300"/>
    <mergeCell ref="H300:K300"/>
    <mergeCell ref="D303:E303"/>
    <mergeCell ref="H303:I303"/>
    <mergeCell ref="D304:E304"/>
    <mergeCell ref="H304:I304"/>
    <mergeCell ref="D305:E305"/>
    <mergeCell ref="A316:H317"/>
    <mergeCell ref="A324:C324"/>
    <mergeCell ref="G324:I324"/>
    <mergeCell ref="A327:C327"/>
    <mergeCell ref="G327:I327"/>
    <mergeCell ref="A334:C334"/>
    <mergeCell ref="G334:I334"/>
    <mergeCell ref="J334:K334"/>
    <mergeCell ref="G291:I291"/>
    <mergeCell ref="J291:K291"/>
    <mergeCell ref="G292:I292"/>
    <mergeCell ref="J292:K292"/>
    <mergeCell ref="G293:I293"/>
    <mergeCell ref="J293:K293"/>
    <mergeCell ref="G294:I294"/>
    <mergeCell ref="J294:K294"/>
    <mergeCell ref="G295:I295"/>
    <mergeCell ref="J295:K295"/>
    <mergeCell ref="G296:I296"/>
    <mergeCell ref="J296:K296"/>
    <mergeCell ref="A306:B306"/>
    <mergeCell ref="D306:E306"/>
    <mergeCell ref="A307:B307"/>
    <mergeCell ref="D307:E307"/>
    <mergeCell ref="D308:E308"/>
    <mergeCell ref="D260:E260"/>
    <mergeCell ref="A261:B261"/>
    <mergeCell ref="D261:E261"/>
    <mergeCell ref="A262:B262"/>
    <mergeCell ref="D262:E262"/>
    <mergeCell ref="D263:E263"/>
    <mergeCell ref="D264:E264"/>
    <mergeCell ref="D265:E265"/>
    <mergeCell ref="A271:H272"/>
    <mergeCell ref="A279:C279"/>
    <mergeCell ref="G279:I279"/>
    <mergeCell ref="A282:C282"/>
    <mergeCell ref="G282:I282"/>
    <mergeCell ref="A289:C289"/>
    <mergeCell ref="G289:I289"/>
    <mergeCell ref="J289:K289"/>
    <mergeCell ref="G290:I290"/>
    <mergeCell ref="J290:K290"/>
    <mergeCell ref="G247:I247"/>
    <mergeCell ref="J247:K247"/>
    <mergeCell ref="G248:I248"/>
    <mergeCell ref="J248:K248"/>
    <mergeCell ref="G249:I249"/>
    <mergeCell ref="J249:K249"/>
    <mergeCell ref="G250:I250"/>
    <mergeCell ref="J250:K250"/>
    <mergeCell ref="G251:I251"/>
    <mergeCell ref="J251:K251"/>
    <mergeCell ref="G252:I252"/>
    <mergeCell ref="J252:K252"/>
    <mergeCell ref="B255:E255"/>
    <mergeCell ref="H255:K255"/>
    <mergeCell ref="D258:E258"/>
    <mergeCell ref="H258:I258"/>
    <mergeCell ref="D259:E259"/>
    <mergeCell ref="H259:I259"/>
    <mergeCell ref="A217:B217"/>
    <mergeCell ref="D217:E217"/>
    <mergeCell ref="D218:E218"/>
    <mergeCell ref="D219:E219"/>
    <mergeCell ref="D220:E220"/>
    <mergeCell ref="A226:H227"/>
    <mergeCell ref="A234:C234"/>
    <mergeCell ref="G234:I234"/>
    <mergeCell ref="A237:C237"/>
    <mergeCell ref="G237:I237"/>
    <mergeCell ref="A244:C244"/>
    <mergeCell ref="G244:I244"/>
    <mergeCell ref="J244:K244"/>
    <mergeCell ref="G245:I245"/>
    <mergeCell ref="J245:K245"/>
    <mergeCell ref="G246:I246"/>
    <mergeCell ref="J246:K246"/>
    <mergeCell ref="G204:I204"/>
    <mergeCell ref="J204:K204"/>
    <mergeCell ref="G205:I205"/>
    <mergeCell ref="J205:K205"/>
    <mergeCell ref="G206:I206"/>
    <mergeCell ref="J206:K206"/>
    <mergeCell ref="G207:I207"/>
    <mergeCell ref="J207:K207"/>
    <mergeCell ref="B210:E210"/>
    <mergeCell ref="H210:K210"/>
    <mergeCell ref="D213:E213"/>
    <mergeCell ref="H213:I213"/>
    <mergeCell ref="D214:E214"/>
    <mergeCell ref="H214:I214"/>
    <mergeCell ref="D215:E215"/>
    <mergeCell ref="A216:B216"/>
    <mergeCell ref="D216:E216"/>
    <mergeCell ref="D175:E175"/>
    <mergeCell ref="A181:H182"/>
    <mergeCell ref="A189:C189"/>
    <mergeCell ref="G189:I189"/>
    <mergeCell ref="A192:C192"/>
    <mergeCell ref="G192:I192"/>
    <mergeCell ref="A199:C199"/>
    <mergeCell ref="G199:I199"/>
    <mergeCell ref="J199:K199"/>
    <mergeCell ref="G200:I200"/>
    <mergeCell ref="J200:K200"/>
    <mergeCell ref="G201:I201"/>
    <mergeCell ref="J201:K201"/>
    <mergeCell ref="G202:I202"/>
    <mergeCell ref="J202:K202"/>
    <mergeCell ref="G203:I203"/>
    <mergeCell ref="J203:K203"/>
    <mergeCell ref="G161:I161"/>
    <mergeCell ref="J161:K161"/>
    <mergeCell ref="G162:I162"/>
    <mergeCell ref="J162:K162"/>
    <mergeCell ref="B165:E165"/>
    <mergeCell ref="H165:K165"/>
    <mergeCell ref="D168:E168"/>
    <mergeCell ref="H168:I168"/>
    <mergeCell ref="D169:E169"/>
    <mergeCell ref="H169:I169"/>
    <mergeCell ref="D170:E170"/>
    <mergeCell ref="A171:B171"/>
    <mergeCell ref="D171:E171"/>
    <mergeCell ref="A172:B172"/>
    <mergeCell ref="D172:E172"/>
    <mergeCell ref="D173:E173"/>
    <mergeCell ref="D174:E174"/>
    <mergeCell ref="A147:C147"/>
    <mergeCell ref="G147:I147"/>
    <mergeCell ref="A154:C154"/>
    <mergeCell ref="G154:I154"/>
    <mergeCell ref="J154:K154"/>
    <mergeCell ref="G155:I155"/>
    <mergeCell ref="J155:K155"/>
    <mergeCell ref="G156:I156"/>
    <mergeCell ref="J156:K156"/>
    <mergeCell ref="G157:I157"/>
    <mergeCell ref="J157:K157"/>
    <mergeCell ref="G158:I158"/>
    <mergeCell ref="J158:K158"/>
    <mergeCell ref="G159:I159"/>
    <mergeCell ref="J159:K159"/>
    <mergeCell ref="G160:I160"/>
    <mergeCell ref="J160:K160"/>
    <mergeCell ref="D84:E84"/>
    <mergeCell ref="D85:E85"/>
    <mergeCell ref="A136:H137"/>
    <mergeCell ref="A144:C144"/>
    <mergeCell ref="G144:I144"/>
    <mergeCell ref="A91:H92"/>
    <mergeCell ref="A99:C99"/>
    <mergeCell ref="G99:I99"/>
    <mergeCell ref="A102:C102"/>
    <mergeCell ref="G102:I102"/>
    <mergeCell ref="G111:I111"/>
    <mergeCell ref="G117:I117"/>
    <mergeCell ref="A127:B127"/>
    <mergeCell ref="D127:E127"/>
    <mergeCell ref="D128:E128"/>
    <mergeCell ref="D129:E129"/>
    <mergeCell ref="D130:E130"/>
    <mergeCell ref="D124:E124"/>
    <mergeCell ref="H124:I124"/>
    <mergeCell ref="D125:E125"/>
    <mergeCell ref="A126:B126"/>
    <mergeCell ref="G22:I22"/>
    <mergeCell ref="J22:K22"/>
    <mergeCell ref="A1:H2"/>
    <mergeCell ref="A9:C9"/>
    <mergeCell ref="G9:I9"/>
    <mergeCell ref="A12:C12"/>
    <mergeCell ref="G12:I12"/>
    <mergeCell ref="A19:C19"/>
    <mergeCell ref="G19:I19"/>
    <mergeCell ref="J19:K19"/>
    <mergeCell ref="G20:I20"/>
    <mergeCell ref="J20:K20"/>
    <mergeCell ref="G21:I21"/>
    <mergeCell ref="J21:K21"/>
    <mergeCell ref="J64:K64"/>
    <mergeCell ref="G65:I65"/>
    <mergeCell ref="J65:K65"/>
    <mergeCell ref="A36:B36"/>
    <mergeCell ref="D36:E36"/>
    <mergeCell ref="G26:I26"/>
    <mergeCell ref="J26:K26"/>
    <mergeCell ref="G27:I27"/>
    <mergeCell ref="J27:K27"/>
    <mergeCell ref="B30:E30"/>
    <mergeCell ref="H30:K30"/>
    <mergeCell ref="D33:E33"/>
    <mergeCell ref="H33:I33"/>
    <mergeCell ref="D34:E34"/>
    <mergeCell ref="H34:I34"/>
    <mergeCell ref="D35:E35"/>
    <mergeCell ref="G23:I23"/>
    <mergeCell ref="J23:K23"/>
    <mergeCell ref="G24:I24"/>
    <mergeCell ref="J24:K24"/>
    <mergeCell ref="G25:I25"/>
    <mergeCell ref="J25:K25"/>
    <mergeCell ref="A109:C109"/>
    <mergeCell ref="G109:I109"/>
    <mergeCell ref="J109:K109"/>
    <mergeCell ref="G110:I110"/>
    <mergeCell ref="J110:K110"/>
    <mergeCell ref="A64:C64"/>
    <mergeCell ref="G64:I64"/>
    <mergeCell ref="G69:I69"/>
    <mergeCell ref="D78:E78"/>
    <mergeCell ref="H78:I78"/>
    <mergeCell ref="D79:E79"/>
    <mergeCell ref="H79:I79"/>
    <mergeCell ref="D80:E80"/>
    <mergeCell ref="A81:B81"/>
    <mergeCell ref="D81:E81"/>
    <mergeCell ref="A37:B37"/>
    <mergeCell ref="D37:E37"/>
    <mergeCell ref="D38:E38"/>
    <mergeCell ref="D39:E39"/>
    <mergeCell ref="D40:E40"/>
    <mergeCell ref="A46:H47"/>
    <mergeCell ref="A54:C54"/>
    <mergeCell ref="G54:I54"/>
    <mergeCell ref="A57:C57"/>
    <mergeCell ref="G57:I57"/>
    <mergeCell ref="G66:I66"/>
    <mergeCell ref="J66:K66"/>
    <mergeCell ref="G67:I67"/>
    <mergeCell ref="J67:K67"/>
    <mergeCell ref="G68:I68"/>
    <mergeCell ref="J68:K68"/>
    <mergeCell ref="J69:K69"/>
    <mergeCell ref="D126:E126"/>
    <mergeCell ref="J117:K117"/>
    <mergeCell ref="B120:E120"/>
    <mergeCell ref="H120:K120"/>
    <mergeCell ref="D123:E123"/>
    <mergeCell ref="H123:I123"/>
    <mergeCell ref="G114:I114"/>
    <mergeCell ref="J114:K114"/>
    <mergeCell ref="G115:I115"/>
    <mergeCell ref="J115:K115"/>
    <mergeCell ref="G116:I116"/>
    <mergeCell ref="J116:K116"/>
    <mergeCell ref="J111:K111"/>
    <mergeCell ref="G112:I112"/>
    <mergeCell ref="J112:K112"/>
    <mergeCell ref="G113:I113"/>
    <mergeCell ref="J113:K113"/>
    <mergeCell ref="G70:I70"/>
    <mergeCell ref="J70:K70"/>
    <mergeCell ref="G71:I71"/>
    <mergeCell ref="J71:K71"/>
    <mergeCell ref="G72:I72"/>
    <mergeCell ref="J72:K72"/>
    <mergeCell ref="B75:E75"/>
    <mergeCell ref="H75:K75"/>
    <mergeCell ref="A82:B82"/>
    <mergeCell ref="D82:E82"/>
    <mergeCell ref="D83:E83"/>
    <mergeCell ref="G471:I471"/>
    <mergeCell ref="J471:K471"/>
    <mergeCell ref="G472:I472"/>
    <mergeCell ref="J472:K472"/>
    <mergeCell ref="G473:I473"/>
    <mergeCell ref="J473:K473"/>
    <mergeCell ref="G474:I474"/>
    <mergeCell ref="J474:K474"/>
    <mergeCell ref="G475:I475"/>
    <mergeCell ref="J475:K475"/>
    <mergeCell ref="A451:H452"/>
    <mergeCell ref="A459:C459"/>
    <mergeCell ref="G459:I459"/>
    <mergeCell ref="A462:C462"/>
    <mergeCell ref="G462:I462"/>
    <mergeCell ref="A469:C469"/>
    <mergeCell ref="G469:I469"/>
    <mergeCell ref="J469:K469"/>
    <mergeCell ref="G470:I470"/>
    <mergeCell ref="J470:K470"/>
    <mergeCell ref="D485:E485"/>
    <mergeCell ref="A486:B486"/>
    <mergeCell ref="D486:E486"/>
    <mergeCell ref="A487:B487"/>
    <mergeCell ref="D487:E487"/>
    <mergeCell ref="D488:E488"/>
    <mergeCell ref="D489:E489"/>
    <mergeCell ref="D490:E490"/>
    <mergeCell ref="A496:H497"/>
    <mergeCell ref="G476:I476"/>
    <mergeCell ref="J476:K476"/>
    <mergeCell ref="G477:I477"/>
    <mergeCell ref="J477:K477"/>
    <mergeCell ref="B480:E480"/>
    <mergeCell ref="H480:K480"/>
    <mergeCell ref="D483:E483"/>
    <mergeCell ref="H483:I483"/>
    <mergeCell ref="D484:E484"/>
    <mergeCell ref="H484:I484"/>
    <mergeCell ref="G516:I516"/>
    <mergeCell ref="J516:K516"/>
    <mergeCell ref="G517:I517"/>
    <mergeCell ref="J517:K517"/>
    <mergeCell ref="G518:I518"/>
    <mergeCell ref="J518:K518"/>
    <mergeCell ref="G519:I519"/>
    <mergeCell ref="J519:K519"/>
    <mergeCell ref="G520:I520"/>
    <mergeCell ref="J520:K520"/>
    <mergeCell ref="A504:C504"/>
    <mergeCell ref="G504:I504"/>
    <mergeCell ref="A507:C507"/>
    <mergeCell ref="G507:I507"/>
    <mergeCell ref="A514:C514"/>
    <mergeCell ref="G514:I514"/>
    <mergeCell ref="J514:K514"/>
    <mergeCell ref="G515:I515"/>
    <mergeCell ref="J515:K515"/>
    <mergeCell ref="D530:E530"/>
    <mergeCell ref="A531:B531"/>
    <mergeCell ref="D531:E531"/>
    <mergeCell ref="A532:B532"/>
    <mergeCell ref="D532:E532"/>
    <mergeCell ref="D533:E533"/>
    <mergeCell ref="D534:E534"/>
    <mergeCell ref="D535:E535"/>
    <mergeCell ref="A541:H542"/>
    <mergeCell ref="G521:I521"/>
    <mergeCell ref="J521:K521"/>
    <mergeCell ref="G522:I522"/>
    <mergeCell ref="J522:K522"/>
    <mergeCell ref="B525:E525"/>
    <mergeCell ref="H525:K525"/>
    <mergeCell ref="D528:E528"/>
    <mergeCell ref="H528:I528"/>
    <mergeCell ref="D529:E529"/>
    <mergeCell ref="H529:I529"/>
    <mergeCell ref="G561:I561"/>
    <mergeCell ref="J561:K561"/>
    <mergeCell ref="G562:I562"/>
    <mergeCell ref="J562:K562"/>
    <mergeCell ref="G563:I563"/>
    <mergeCell ref="J563:K563"/>
    <mergeCell ref="G564:I564"/>
    <mergeCell ref="J564:K564"/>
    <mergeCell ref="G565:I565"/>
    <mergeCell ref="J565:K565"/>
    <mergeCell ref="A549:C549"/>
    <mergeCell ref="G549:I549"/>
    <mergeCell ref="A552:C552"/>
    <mergeCell ref="G552:I552"/>
    <mergeCell ref="A559:C559"/>
    <mergeCell ref="G559:I559"/>
    <mergeCell ref="J559:K559"/>
    <mergeCell ref="G560:I560"/>
    <mergeCell ref="J560:K560"/>
    <mergeCell ref="D575:E575"/>
    <mergeCell ref="A576:B576"/>
    <mergeCell ref="D576:E576"/>
    <mergeCell ref="A577:B577"/>
    <mergeCell ref="D577:E577"/>
    <mergeCell ref="D578:E578"/>
    <mergeCell ref="D579:E579"/>
    <mergeCell ref="D580:E580"/>
    <mergeCell ref="A586:H587"/>
    <mergeCell ref="G566:I566"/>
    <mergeCell ref="J566:K566"/>
    <mergeCell ref="G567:I567"/>
    <mergeCell ref="J567:K567"/>
    <mergeCell ref="B570:E570"/>
    <mergeCell ref="H570:K570"/>
    <mergeCell ref="D573:E573"/>
    <mergeCell ref="H573:I573"/>
    <mergeCell ref="D574:E574"/>
    <mergeCell ref="H574:I574"/>
    <mergeCell ref="G606:I606"/>
    <mergeCell ref="J606:K606"/>
    <mergeCell ref="G607:I607"/>
    <mergeCell ref="J607:K607"/>
    <mergeCell ref="G608:I608"/>
    <mergeCell ref="J608:K608"/>
    <mergeCell ref="G609:I609"/>
    <mergeCell ref="J609:K609"/>
    <mergeCell ref="G610:I610"/>
    <mergeCell ref="J610:K610"/>
    <mergeCell ref="A594:C594"/>
    <mergeCell ref="G594:I594"/>
    <mergeCell ref="A597:C597"/>
    <mergeCell ref="G597:I597"/>
    <mergeCell ref="A604:C604"/>
    <mergeCell ref="G604:I604"/>
    <mergeCell ref="J604:K604"/>
    <mergeCell ref="G605:I605"/>
    <mergeCell ref="J605:K605"/>
    <mergeCell ref="D620:E620"/>
    <mergeCell ref="A621:B621"/>
    <mergeCell ref="D621:E621"/>
    <mergeCell ref="A622:B622"/>
    <mergeCell ref="D622:E622"/>
    <mergeCell ref="D623:E623"/>
    <mergeCell ref="D624:E624"/>
    <mergeCell ref="D625:E625"/>
    <mergeCell ref="G611:I611"/>
    <mergeCell ref="J611:K611"/>
    <mergeCell ref="G612:I612"/>
    <mergeCell ref="J612:K612"/>
    <mergeCell ref="B615:E615"/>
    <mergeCell ref="H615:K615"/>
    <mergeCell ref="D618:E618"/>
    <mergeCell ref="H618:I618"/>
    <mergeCell ref="D619:E619"/>
    <mergeCell ref="H619:I619"/>
    <mergeCell ref="G651:I651"/>
    <mergeCell ref="J651:K651"/>
    <mergeCell ref="G652:I652"/>
    <mergeCell ref="J652:K652"/>
    <mergeCell ref="G653:I653"/>
    <mergeCell ref="J653:K653"/>
    <mergeCell ref="G654:I654"/>
    <mergeCell ref="J654:K654"/>
    <mergeCell ref="G655:I655"/>
    <mergeCell ref="J655:K655"/>
    <mergeCell ref="A631:H632"/>
    <mergeCell ref="A639:C639"/>
    <mergeCell ref="G639:I639"/>
    <mergeCell ref="A642:C642"/>
    <mergeCell ref="G642:I642"/>
    <mergeCell ref="A649:C649"/>
    <mergeCell ref="G649:I649"/>
    <mergeCell ref="J649:K649"/>
    <mergeCell ref="G650:I650"/>
    <mergeCell ref="J650:K650"/>
    <mergeCell ref="D665:E665"/>
    <mergeCell ref="A666:B666"/>
    <mergeCell ref="D666:E666"/>
    <mergeCell ref="A667:B667"/>
    <mergeCell ref="D667:E667"/>
    <mergeCell ref="D668:E668"/>
    <mergeCell ref="D669:E669"/>
    <mergeCell ref="D670:E670"/>
    <mergeCell ref="A676:H677"/>
    <mergeCell ref="G656:I656"/>
    <mergeCell ref="J656:K656"/>
    <mergeCell ref="G657:I657"/>
    <mergeCell ref="J657:K657"/>
    <mergeCell ref="B660:E660"/>
    <mergeCell ref="H660:K660"/>
    <mergeCell ref="D663:E663"/>
    <mergeCell ref="H663:I663"/>
    <mergeCell ref="D664:E664"/>
    <mergeCell ref="H664:I664"/>
    <mergeCell ref="G696:I696"/>
    <mergeCell ref="J696:K696"/>
    <mergeCell ref="G697:I697"/>
    <mergeCell ref="J697:K697"/>
    <mergeCell ref="G698:I698"/>
    <mergeCell ref="J698:K698"/>
    <mergeCell ref="G699:I699"/>
    <mergeCell ref="J699:K699"/>
    <mergeCell ref="G700:I700"/>
    <mergeCell ref="J700:K700"/>
    <mergeCell ref="A684:C684"/>
    <mergeCell ref="G684:I684"/>
    <mergeCell ref="A687:C687"/>
    <mergeCell ref="G687:I687"/>
    <mergeCell ref="A694:C694"/>
    <mergeCell ref="G694:I694"/>
    <mergeCell ref="J694:K694"/>
    <mergeCell ref="G695:I695"/>
    <mergeCell ref="J695:K695"/>
    <mergeCell ref="D710:E710"/>
    <mergeCell ref="A711:B711"/>
    <mergeCell ref="D711:E711"/>
    <mergeCell ref="A712:B712"/>
    <mergeCell ref="D712:E712"/>
    <mergeCell ref="D713:E713"/>
    <mergeCell ref="D714:E714"/>
    <mergeCell ref="D715:E715"/>
    <mergeCell ref="A721:H722"/>
    <mergeCell ref="G701:I701"/>
    <mergeCell ref="J701:K701"/>
    <mergeCell ref="G702:I702"/>
    <mergeCell ref="J702:K702"/>
    <mergeCell ref="B705:E705"/>
    <mergeCell ref="H705:K705"/>
    <mergeCell ref="D708:E708"/>
    <mergeCell ref="H708:I708"/>
    <mergeCell ref="D709:E709"/>
    <mergeCell ref="H709:I709"/>
    <mergeCell ref="G741:I741"/>
    <mergeCell ref="J741:K741"/>
    <mergeCell ref="G742:I742"/>
    <mergeCell ref="J742:K742"/>
    <mergeCell ref="G743:I743"/>
    <mergeCell ref="J743:K743"/>
    <mergeCell ref="G744:I744"/>
    <mergeCell ref="J744:K744"/>
    <mergeCell ref="G745:I745"/>
    <mergeCell ref="J745:K745"/>
    <mergeCell ref="A729:C729"/>
    <mergeCell ref="G729:I729"/>
    <mergeCell ref="A732:C732"/>
    <mergeCell ref="G732:I732"/>
    <mergeCell ref="A739:C739"/>
    <mergeCell ref="G739:I739"/>
    <mergeCell ref="J739:K739"/>
    <mergeCell ref="G740:I740"/>
    <mergeCell ref="J740:K740"/>
    <mergeCell ref="D755:E755"/>
    <mergeCell ref="A756:B756"/>
    <mergeCell ref="D756:E756"/>
    <mergeCell ref="A757:B757"/>
    <mergeCell ref="D757:E757"/>
    <mergeCell ref="D758:E758"/>
    <mergeCell ref="D759:E759"/>
    <mergeCell ref="D760:E760"/>
    <mergeCell ref="G746:I746"/>
    <mergeCell ref="J746:K746"/>
    <mergeCell ref="G747:I747"/>
    <mergeCell ref="J747:K747"/>
    <mergeCell ref="B750:E750"/>
    <mergeCell ref="H750:K750"/>
    <mergeCell ref="D753:E753"/>
    <mergeCell ref="H753:I753"/>
    <mergeCell ref="D754:E754"/>
    <mergeCell ref="H754:I754"/>
    <mergeCell ref="G1058:I1058"/>
    <mergeCell ref="J1058:K1058"/>
    <mergeCell ref="G1059:I1059"/>
    <mergeCell ref="J1059:K1059"/>
    <mergeCell ref="G1060:I1060"/>
    <mergeCell ref="J1060:K1060"/>
    <mergeCell ref="G1061:I1061"/>
    <mergeCell ref="J1061:K1061"/>
    <mergeCell ref="G1062:I1062"/>
    <mergeCell ref="J1062:K1062"/>
    <mergeCell ref="A1038:H1039"/>
    <mergeCell ref="A1046:C1046"/>
    <mergeCell ref="G1046:I1046"/>
    <mergeCell ref="A1049:C1049"/>
    <mergeCell ref="G1049:I1049"/>
    <mergeCell ref="A1056:C1056"/>
    <mergeCell ref="G1056:I1056"/>
    <mergeCell ref="J1056:K1056"/>
    <mergeCell ref="G1057:I1057"/>
    <mergeCell ref="J1057:K1057"/>
    <mergeCell ref="D1072:E1072"/>
    <mergeCell ref="A1073:B1073"/>
    <mergeCell ref="D1073:E1073"/>
    <mergeCell ref="A1074:B1074"/>
    <mergeCell ref="D1074:E1074"/>
    <mergeCell ref="D1075:E1075"/>
    <mergeCell ref="D1076:E1076"/>
    <mergeCell ref="D1077:E1077"/>
    <mergeCell ref="A1083:H1084"/>
    <mergeCell ref="G1063:I1063"/>
    <mergeCell ref="J1063:K1063"/>
    <mergeCell ref="G1064:I1064"/>
    <mergeCell ref="J1064:K1064"/>
    <mergeCell ref="B1067:E1067"/>
    <mergeCell ref="H1067:K1067"/>
    <mergeCell ref="D1070:E1070"/>
    <mergeCell ref="H1070:I1070"/>
    <mergeCell ref="D1071:E1071"/>
    <mergeCell ref="H1071:I1071"/>
    <mergeCell ref="G1103:I1103"/>
    <mergeCell ref="J1103:K1103"/>
    <mergeCell ref="G1104:I1104"/>
    <mergeCell ref="J1104:K1104"/>
    <mergeCell ref="G1105:I1105"/>
    <mergeCell ref="J1105:K1105"/>
    <mergeCell ref="G1106:I1106"/>
    <mergeCell ref="J1106:K1106"/>
    <mergeCell ref="G1107:I1107"/>
    <mergeCell ref="J1107:K1107"/>
    <mergeCell ref="A1091:C1091"/>
    <mergeCell ref="G1091:I1091"/>
    <mergeCell ref="A1094:C1094"/>
    <mergeCell ref="G1094:I1094"/>
    <mergeCell ref="A1101:C1101"/>
    <mergeCell ref="G1101:I1101"/>
    <mergeCell ref="J1101:K1101"/>
    <mergeCell ref="G1102:I1102"/>
    <mergeCell ref="J1102:K1102"/>
    <mergeCell ref="D1117:E1117"/>
    <mergeCell ref="A1118:B1118"/>
    <mergeCell ref="D1118:E1118"/>
    <mergeCell ref="A1119:B1119"/>
    <mergeCell ref="D1119:E1119"/>
    <mergeCell ref="D1120:E1120"/>
    <mergeCell ref="D1121:E1121"/>
    <mergeCell ref="D1122:E1122"/>
    <mergeCell ref="A1128:H1129"/>
    <mergeCell ref="G1108:I1108"/>
    <mergeCell ref="J1108:K1108"/>
    <mergeCell ref="G1109:I1109"/>
    <mergeCell ref="J1109:K1109"/>
    <mergeCell ref="B1112:E1112"/>
    <mergeCell ref="H1112:K1112"/>
    <mergeCell ref="D1115:E1115"/>
    <mergeCell ref="H1115:I1115"/>
    <mergeCell ref="D1116:E1116"/>
    <mergeCell ref="H1116:I1116"/>
    <mergeCell ref="G1148:I1148"/>
    <mergeCell ref="J1148:K1148"/>
    <mergeCell ref="G1149:I1149"/>
    <mergeCell ref="J1149:K1149"/>
    <mergeCell ref="G1150:I1150"/>
    <mergeCell ref="J1150:K1150"/>
    <mergeCell ref="G1151:I1151"/>
    <mergeCell ref="J1151:K1151"/>
    <mergeCell ref="G1152:I1152"/>
    <mergeCell ref="J1152:K1152"/>
    <mergeCell ref="A1136:C1136"/>
    <mergeCell ref="G1136:I1136"/>
    <mergeCell ref="A1139:C1139"/>
    <mergeCell ref="G1139:I1139"/>
    <mergeCell ref="A1146:C1146"/>
    <mergeCell ref="G1146:I1146"/>
    <mergeCell ref="J1146:K1146"/>
    <mergeCell ref="G1147:I1147"/>
    <mergeCell ref="J1147:K1147"/>
    <mergeCell ref="D1162:E1162"/>
    <mergeCell ref="A1163:B1163"/>
    <mergeCell ref="D1163:E1163"/>
    <mergeCell ref="A1164:B1164"/>
    <mergeCell ref="D1164:E1164"/>
    <mergeCell ref="D1165:E1165"/>
    <mergeCell ref="D1166:E1166"/>
    <mergeCell ref="D1167:E1167"/>
    <mergeCell ref="A1173:H1174"/>
    <mergeCell ref="G1153:I1153"/>
    <mergeCell ref="J1153:K1153"/>
    <mergeCell ref="G1154:I1154"/>
    <mergeCell ref="J1154:K1154"/>
    <mergeCell ref="B1157:E1157"/>
    <mergeCell ref="H1157:K1157"/>
    <mergeCell ref="D1160:E1160"/>
    <mergeCell ref="H1160:I1160"/>
    <mergeCell ref="D1161:E1161"/>
    <mergeCell ref="H1161:I1161"/>
    <mergeCell ref="G1193:I1193"/>
    <mergeCell ref="J1193:K1193"/>
    <mergeCell ref="G1194:I1194"/>
    <mergeCell ref="J1194:K1194"/>
    <mergeCell ref="G1195:I1195"/>
    <mergeCell ref="J1195:K1195"/>
    <mergeCell ref="G1196:I1196"/>
    <mergeCell ref="J1196:K1196"/>
    <mergeCell ref="G1197:I1197"/>
    <mergeCell ref="J1197:K1197"/>
    <mergeCell ref="A1181:C1181"/>
    <mergeCell ref="G1181:I1181"/>
    <mergeCell ref="A1184:C1184"/>
    <mergeCell ref="G1184:I1184"/>
    <mergeCell ref="A1191:C1191"/>
    <mergeCell ref="G1191:I1191"/>
    <mergeCell ref="J1191:K1191"/>
    <mergeCell ref="G1192:I1192"/>
    <mergeCell ref="J1192:K1192"/>
    <mergeCell ref="D1207:E1207"/>
    <mergeCell ref="A1208:B1208"/>
    <mergeCell ref="D1208:E1208"/>
    <mergeCell ref="A1209:B1209"/>
    <mergeCell ref="D1209:E1209"/>
    <mergeCell ref="D1210:E1210"/>
    <mergeCell ref="D1211:E1211"/>
    <mergeCell ref="D1212:E1212"/>
    <mergeCell ref="A1218:H1219"/>
    <mergeCell ref="G1198:I1198"/>
    <mergeCell ref="J1198:K1198"/>
    <mergeCell ref="G1199:I1199"/>
    <mergeCell ref="J1199:K1199"/>
    <mergeCell ref="B1202:E1202"/>
    <mergeCell ref="H1202:K1202"/>
    <mergeCell ref="D1205:E1205"/>
    <mergeCell ref="H1205:I1205"/>
    <mergeCell ref="D1206:E1206"/>
    <mergeCell ref="H1206:I1206"/>
    <mergeCell ref="G1238:I1238"/>
    <mergeCell ref="J1238:K1238"/>
    <mergeCell ref="G1239:I1239"/>
    <mergeCell ref="J1239:K1239"/>
    <mergeCell ref="G1240:I1240"/>
    <mergeCell ref="J1240:K1240"/>
    <mergeCell ref="G1241:I1241"/>
    <mergeCell ref="J1241:K1241"/>
    <mergeCell ref="G1242:I1242"/>
    <mergeCell ref="J1242:K1242"/>
    <mergeCell ref="A1226:C1226"/>
    <mergeCell ref="G1226:I1226"/>
    <mergeCell ref="A1229:C1229"/>
    <mergeCell ref="G1229:I1229"/>
    <mergeCell ref="A1236:C1236"/>
    <mergeCell ref="G1236:I1236"/>
    <mergeCell ref="J1236:K1236"/>
    <mergeCell ref="G1237:I1237"/>
    <mergeCell ref="J1237:K1237"/>
    <mergeCell ref="D1252:E1252"/>
    <mergeCell ref="A1253:B1253"/>
    <mergeCell ref="D1253:E1253"/>
    <mergeCell ref="A1254:B1254"/>
    <mergeCell ref="D1254:E1254"/>
    <mergeCell ref="D1255:E1255"/>
    <mergeCell ref="D1256:E1256"/>
    <mergeCell ref="D1257:E1257"/>
    <mergeCell ref="A1263:H1264"/>
    <mergeCell ref="G1243:I1243"/>
    <mergeCell ref="J1243:K1243"/>
    <mergeCell ref="G1244:I1244"/>
    <mergeCell ref="J1244:K1244"/>
    <mergeCell ref="B1247:E1247"/>
    <mergeCell ref="H1247:K1247"/>
    <mergeCell ref="D1250:E1250"/>
    <mergeCell ref="H1250:I1250"/>
    <mergeCell ref="D1251:E1251"/>
    <mergeCell ref="H1251:I1251"/>
    <mergeCell ref="G1283:I1283"/>
    <mergeCell ref="J1283:K1283"/>
    <mergeCell ref="G1284:I1284"/>
    <mergeCell ref="J1284:K1284"/>
    <mergeCell ref="G1285:I1285"/>
    <mergeCell ref="J1285:K1285"/>
    <mergeCell ref="G1286:I1286"/>
    <mergeCell ref="J1286:K1286"/>
    <mergeCell ref="G1287:I1287"/>
    <mergeCell ref="J1287:K1287"/>
    <mergeCell ref="A1271:C1271"/>
    <mergeCell ref="G1271:I1271"/>
    <mergeCell ref="A1274:C1274"/>
    <mergeCell ref="G1274:I1274"/>
    <mergeCell ref="A1281:C1281"/>
    <mergeCell ref="G1281:I1281"/>
    <mergeCell ref="J1281:K1281"/>
    <mergeCell ref="G1282:I1282"/>
    <mergeCell ref="J1282:K1282"/>
    <mergeCell ref="D1297:E1297"/>
    <mergeCell ref="A1298:B1298"/>
    <mergeCell ref="D1298:E1298"/>
    <mergeCell ref="A1299:B1299"/>
    <mergeCell ref="D1299:E1299"/>
    <mergeCell ref="D1300:E1300"/>
    <mergeCell ref="D1301:E1301"/>
    <mergeCell ref="D1302:E1302"/>
    <mergeCell ref="G1288:I1288"/>
    <mergeCell ref="J1288:K1288"/>
    <mergeCell ref="G1289:I1289"/>
    <mergeCell ref="J1289:K1289"/>
    <mergeCell ref="B1292:E1292"/>
    <mergeCell ref="H1292:K1292"/>
    <mergeCell ref="D1295:E1295"/>
    <mergeCell ref="H1295:I1295"/>
    <mergeCell ref="D1296:E1296"/>
    <mergeCell ref="H1296:I1296"/>
    <mergeCell ref="A1308:H1309"/>
    <mergeCell ref="A1316:C1316"/>
    <mergeCell ref="G1316:I1316"/>
    <mergeCell ref="A1319:C1319"/>
    <mergeCell ref="G1319:I1319"/>
    <mergeCell ref="A1326:C1326"/>
    <mergeCell ref="G1326:I1326"/>
    <mergeCell ref="J1326:K1326"/>
    <mergeCell ref="G1327:I1327"/>
    <mergeCell ref="J1327:K1327"/>
    <mergeCell ref="G1328:I1328"/>
    <mergeCell ref="J1328:K1328"/>
    <mergeCell ref="G1329:I1329"/>
    <mergeCell ref="J1329:K1329"/>
    <mergeCell ref="G1330:I1330"/>
    <mergeCell ref="J1330:K1330"/>
    <mergeCell ref="G1331:I1331"/>
    <mergeCell ref="J1331:K1331"/>
    <mergeCell ref="D1345:E1345"/>
    <mergeCell ref="D1346:E1346"/>
    <mergeCell ref="D1347:E1347"/>
    <mergeCell ref="G1332:I1332"/>
    <mergeCell ref="J1332:K1332"/>
    <mergeCell ref="G1333:I1333"/>
    <mergeCell ref="J1333:K1333"/>
    <mergeCell ref="G1334:I1334"/>
    <mergeCell ref="J1334:K1334"/>
    <mergeCell ref="B1337:E1337"/>
    <mergeCell ref="H1337:K1337"/>
    <mergeCell ref="D1340:E1340"/>
    <mergeCell ref="H1340:I1340"/>
    <mergeCell ref="D1341:E1341"/>
    <mergeCell ref="H1341:I1341"/>
    <mergeCell ref="D1342:E1342"/>
    <mergeCell ref="A1343:B1343"/>
    <mergeCell ref="D1343:E1343"/>
    <mergeCell ref="A1344:B1344"/>
    <mergeCell ref="D1344:E1344"/>
    <mergeCell ref="A1353:H1354"/>
    <mergeCell ref="A1361:C1361"/>
    <mergeCell ref="G1361:I1361"/>
    <mergeCell ref="A1364:C1364"/>
    <mergeCell ref="G1364:I1364"/>
    <mergeCell ref="A1371:C1371"/>
    <mergeCell ref="G1371:I1371"/>
    <mergeCell ref="J1371:K1371"/>
    <mergeCell ref="G1372:I1372"/>
    <mergeCell ref="J1372:K1372"/>
    <mergeCell ref="G1373:I1373"/>
    <mergeCell ref="J1373:K1373"/>
    <mergeCell ref="G1374:I1374"/>
    <mergeCell ref="J1374:K1374"/>
    <mergeCell ref="G1375:I1375"/>
    <mergeCell ref="J1375:K1375"/>
    <mergeCell ref="G1376:I1376"/>
    <mergeCell ref="J1376:K1376"/>
    <mergeCell ref="G1377:I1377"/>
    <mergeCell ref="J1377:K1377"/>
    <mergeCell ref="G1378:I1378"/>
    <mergeCell ref="J1378:K1378"/>
    <mergeCell ref="G1379:I1379"/>
    <mergeCell ref="J1379:K1379"/>
    <mergeCell ref="B1382:E1382"/>
    <mergeCell ref="H1382:K1382"/>
    <mergeCell ref="D1385:E1385"/>
    <mergeCell ref="H1385:I1385"/>
    <mergeCell ref="D1386:E1386"/>
    <mergeCell ref="H1386:I1386"/>
    <mergeCell ref="D1387:E1387"/>
    <mergeCell ref="A1388:B1388"/>
    <mergeCell ref="D1388:E1388"/>
    <mergeCell ref="A1389:B1389"/>
    <mergeCell ref="D1389:E1389"/>
    <mergeCell ref="D1390:E1390"/>
    <mergeCell ref="D1391:E1391"/>
    <mergeCell ref="D1392:E1392"/>
    <mergeCell ref="A1398:H1399"/>
    <mergeCell ref="A1406:C1406"/>
    <mergeCell ref="G1406:I1406"/>
    <mergeCell ref="A1409:C1409"/>
    <mergeCell ref="G1409:I1409"/>
    <mergeCell ref="A1416:C1416"/>
    <mergeCell ref="G1416:I1416"/>
    <mergeCell ref="J1416:K1416"/>
    <mergeCell ref="G1417:I1417"/>
    <mergeCell ref="J1417:K1417"/>
    <mergeCell ref="G1418:I1418"/>
    <mergeCell ref="J1418:K1418"/>
    <mergeCell ref="G1419:I1419"/>
    <mergeCell ref="J1419:K1419"/>
    <mergeCell ref="A1433:B1433"/>
    <mergeCell ref="D1433:E1433"/>
    <mergeCell ref="A1434:B1434"/>
    <mergeCell ref="D1434:E1434"/>
    <mergeCell ref="D1435:E1435"/>
    <mergeCell ref="D1436:E1436"/>
    <mergeCell ref="D1437:E1437"/>
    <mergeCell ref="G1420:I1420"/>
    <mergeCell ref="J1420:K1420"/>
    <mergeCell ref="G1421:I1421"/>
    <mergeCell ref="J1421:K1421"/>
    <mergeCell ref="G1422:I1422"/>
    <mergeCell ref="J1422:K1422"/>
    <mergeCell ref="G1423:I1423"/>
    <mergeCell ref="J1423:K1423"/>
    <mergeCell ref="G1424:I1424"/>
    <mergeCell ref="J1424:K1424"/>
    <mergeCell ref="B1427:E1427"/>
    <mergeCell ref="H1427:K1427"/>
    <mergeCell ref="D1430:E1430"/>
    <mergeCell ref="H1430:I1430"/>
    <mergeCell ref="D1431:E1431"/>
    <mergeCell ref="H1431:I1431"/>
    <mergeCell ref="D1432:E1432"/>
    <mergeCell ref="A1533:H1534"/>
    <mergeCell ref="A1541:C1541"/>
    <mergeCell ref="G1541:I1541"/>
    <mergeCell ref="A1544:C1544"/>
    <mergeCell ref="G1544:I1544"/>
    <mergeCell ref="A1551:C1551"/>
    <mergeCell ref="G1551:I1551"/>
    <mergeCell ref="J1551:K1551"/>
    <mergeCell ref="G1552:I1552"/>
    <mergeCell ref="J1552:K1552"/>
    <mergeCell ref="G1553:I1553"/>
    <mergeCell ref="J1553:K1553"/>
    <mergeCell ref="G1554:I1554"/>
    <mergeCell ref="J1554:K1554"/>
    <mergeCell ref="G1555:I1555"/>
    <mergeCell ref="J1555:K1555"/>
    <mergeCell ref="G1556:I1556"/>
    <mergeCell ref="J1556:K1556"/>
    <mergeCell ref="G1557:I1557"/>
    <mergeCell ref="J1557:K1557"/>
    <mergeCell ref="J1558:K1558"/>
    <mergeCell ref="J1559:K1559"/>
    <mergeCell ref="G1560:I1560"/>
    <mergeCell ref="J1560:K1560"/>
    <mergeCell ref="B1562:E1562"/>
    <mergeCell ref="H1562:K1562"/>
    <mergeCell ref="D1565:E1565"/>
    <mergeCell ref="H1565:I1565"/>
    <mergeCell ref="D1566:E1566"/>
    <mergeCell ref="H1566:I1566"/>
    <mergeCell ref="D1567:E1567"/>
    <mergeCell ref="A1568:B1568"/>
    <mergeCell ref="D1568:E1568"/>
    <mergeCell ref="A1569:B1569"/>
    <mergeCell ref="D1569:E1569"/>
    <mergeCell ref="D1570:E1570"/>
    <mergeCell ref="D1571:E1571"/>
    <mergeCell ref="D1572:E1572"/>
    <mergeCell ref="A1578:H1579"/>
    <mergeCell ref="A1586:C1586"/>
    <mergeCell ref="G1586:I1586"/>
    <mergeCell ref="A1589:C1589"/>
    <mergeCell ref="G1589:I1589"/>
    <mergeCell ref="A1596:C1596"/>
    <mergeCell ref="G1596:I1596"/>
    <mergeCell ref="J1596:K1596"/>
    <mergeCell ref="G1597:I1597"/>
    <mergeCell ref="J1597:K1597"/>
    <mergeCell ref="G1598:I1598"/>
    <mergeCell ref="J1598:K1598"/>
    <mergeCell ref="G1599:I1599"/>
    <mergeCell ref="J1599:K1599"/>
    <mergeCell ref="G1600:I1600"/>
    <mergeCell ref="J1600:K1600"/>
    <mergeCell ref="G1601:I1601"/>
    <mergeCell ref="J1601:K1601"/>
    <mergeCell ref="G1602:I1602"/>
    <mergeCell ref="J1602:K1602"/>
    <mergeCell ref="J1603:K1603"/>
    <mergeCell ref="J1604:K1604"/>
    <mergeCell ref="G1605:I1605"/>
    <mergeCell ref="J1605:K1605"/>
    <mergeCell ref="B1607:E1607"/>
    <mergeCell ref="H1607:K1607"/>
    <mergeCell ref="D1610:E1610"/>
    <mergeCell ref="H1610:I1610"/>
    <mergeCell ref="D1611:E1611"/>
    <mergeCell ref="H1611:I1611"/>
    <mergeCell ref="D1612:E1612"/>
    <mergeCell ref="A1613:B1613"/>
    <mergeCell ref="D1613:E1613"/>
    <mergeCell ref="A1614:B1614"/>
    <mergeCell ref="D1614:E1614"/>
    <mergeCell ref="D1615:E1615"/>
    <mergeCell ref="D1616:E1616"/>
    <mergeCell ref="D1617:E1617"/>
    <mergeCell ref="A1623:H1624"/>
    <mergeCell ref="A1631:C1631"/>
    <mergeCell ref="G1631:I1631"/>
    <mergeCell ref="A1634:C1634"/>
    <mergeCell ref="G1634:I1634"/>
    <mergeCell ref="A1641:C1641"/>
    <mergeCell ref="G1641:I1641"/>
    <mergeCell ref="J1641:K1641"/>
    <mergeCell ref="G1642:I1642"/>
    <mergeCell ref="J1642:K1642"/>
    <mergeCell ref="D1656:E1656"/>
    <mergeCell ref="H1656:I1656"/>
    <mergeCell ref="D1657:E1657"/>
    <mergeCell ref="A1658:B1658"/>
    <mergeCell ref="D1658:E1658"/>
    <mergeCell ref="A1659:B1659"/>
    <mergeCell ref="D1659:E1659"/>
    <mergeCell ref="D1660:E1660"/>
    <mergeCell ref="D1661:E1661"/>
    <mergeCell ref="D1662:E1662"/>
    <mergeCell ref="G1643:I1643"/>
    <mergeCell ref="J1643:K1643"/>
    <mergeCell ref="G1644:I1644"/>
    <mergeCell ref="J1644:K1644"/>
    <mergeCell ref="G1645:I1645"/>
    <mergeCell ref="J1645:K1645"/>
    <mergeCell ref="G1646:I1646"/>
    <mergeCell ref="J1646:K1646"/>
    <mergeCell ref="G1647:I1647"/>
    <mergeCell ref="J1647:K1647"/>
    <mergeCell ref="J1648:K1648"/>
    <mergeCell ref="J1649:K1649"/>
    <mergeCell ref="G1650:I1650"/>
    <mergeCell ref="J1650:K1650"/>
    <mergeCell ref="B1652:E1652"/>
    <mergeCell ref="H1652:K1652"/>
    <mergeCell ref="D1655:E1655"/>
    <mergeCell ref="H1655:I1655"/>
  </mergeCells>
  <printOptions horizontalCentered="1"/>
  <pageMargins left="0" right="0" top="0" bottom="0" header="0" footer="0"/>
  <pageSetup paperSize="9" scale="87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C40D8"/>
  </sheetPr>
  <dimension ref="A3:Q5108"/>
  <sheetViews>
    <sheetView tabSelected="1" topLeftCell="A5047" zoomScaleNormal="100" workbookViewId="0">
      <selection activeCell="A5056" sqref="A5056:B5056"/>
    </sheetView>
  </sheetViews>
  <sheetFormatPr defaultRowHeight="15" x14ac:dyDescent="0.25"/>
  <cols>
    <col min="1" max="1" width="16" bestFit="1" customWidth="1"/>
    <col min="2" max="2" width="10.5703125" customWidth="1"/>
    <col min="3" max="3" width="10.85546875" customWidth="1"/>
    <col min="4" max="4" width="11" customWidth="1"/>
    <col min="5" max="5" width="12.28515625" bestFit="1" customWidth="1"/>
    <col min="6" max="6" width="9" customWidth="1"/>
    <col min="7" max="7" width="14.7109375" customWidth="1"/>
    <col min="8" max="8" width="10.140625" customWidth="1"/>
    <col min="9" max="9" width="12.28515625" customWidth="1"/>
    <col min="10" max="10" width="21.5703125" bestFit="1" customWidth="1"/>
    <col min="11" max="11" width="9.42578125" bestFit="1" customWidth="1"/>
    <col min="12" max="12" width="13" customWidth="1"/>
    <col min="13" max="13" width="10.5703125" bestFit="1" customWidth="1"/>
    <col min="14" max="14" width="11.5703125" bestFit="1" customWidth="1"/>
    <col min="15" max="15" width="12" bestFit="1" customWidth="1"/>
    <col min="16" max="17" width="10.5703125" bestFit="1" customWidth="1"/>
  </cols>
  <sheetData>
    <row r="3" spans="1:12" ht="15" customHeight="1" x14ac:dyDescent="0.25">
      <c r="A3" s="120" t="s">
        <v>24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</row>
    <row r="4" spans="1:12" ht="15" customHeight="1" x14ac:dyDescent="0.25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</row>
    <row r="5" spans="1:12" x14ac:dyDescent="0.25">
      <c r="A5" s="1" t="s">
        <v>4</v>
      </c>
      <c r="B5" s="2"/>
      <c r="C5" s="90"/>
      <c r="D5" s="2"/>
      <c r="E5" s="2"/>
      <c r="F5" s="2"/>
      <c r="G5" s="3" t="s">
        <v>5</v>
      </c>
      <c r="H5" s="3" t="s">
        <v>6</v>
      </c>
      <c r="I5" s="4" t="s">
        <v>7</v>
      </c>
      <c r="J5" s="5"/>
      <c r="K5" s="5"/>
      <c r="L5" s="5"/>
    </row>
    <row r="6" spans="1:12" x14ac:dyDescent="0.25">
      <c r="A6" s="91" t="s">
        <v>296</v>
      </c>
      <c r="B6" s="92" t="s">
        <v>42</v>
      </c>
      <c r="C6" s="64"/>
      <c r="D6" s="66"/>
      <c r="E6" s="2"/>
      <c r="F6" s="2"/>
      <c r="G6" s="91" t="s">
        <v>299</v>
      </c>
      <c r="H6" s="66"/>
      <c r="I6" s="33"/>
      <c r="J6" s="6"/>
      <c r="K6" s="33"/>
      <c r="L6" s="6"/>
    </row>
    <row r="7" spans="1:12" x14ac:dyDescent="0.25">
      <c r="A7" s="7" t="s">
        <v>2</v>
      </c>
      <c r="B7" s="5"/>
      <c r="C7" s="5"/>
      <c r="D7" s="5"/>
      <c r="E7" s="5"/>
      <c r="F7" s="5"/>
      <c r="G7" s="8" t="s">
        <v>8</v>
      </c>
      <c r="H7" s="93">
        <v>3</v>
      </c>
      <c r="I7" s="5"/>
      <c r="J7" s="5"/>
      <c r="K7" s="5"/>
      <c r="L7" s="5"/>
    </row>
    <row r="8" spans="1:12" x14ac:dyDescent="0.25">
      <c r="A8" s="7" t="s">
        <v>25</v>
      </c>
      <c r="B8" s="5"/>
      <c r="C8" s="7" t="s">
        <v>0</v>
      </c>
      <c r="D8" s="5"/>
      <c r="E8" s="5"/>
      <c r="F8" s="5"/>
      <c r="G8" s="7" t="s">
        <v>25</v>
      </c>
      <c r="H8" s="5"/>
      <c r="I8" s="7" t="s">
        <v>0</v>
      </c>
      <c r="J8" s="5"/>
      <c r="K8" s="5"/>
      <c r="L8" s="5"/>
    </row>
    <row r="9" spans="1:12" x14ac:dyDescent="0.25">
      <c r="A9" s="42" t="s">
        <v>297</v>
      </c>
      <c r="B9" s="6"/>
      <c r="C9" s="31">
        <v>821248</v>
      </c>
      <c r="D9" s="5"/>
      <c r="E9" s="5"/>
      <c r="F9" s="5"/>
      <c r="G9" s="42" t="s">
        <v>298</v>
      </c>
      <c r="H9" s="6"/>
      <c r="I9" s="9"/>
      <c r="J9" s="5"/>
      <c r="K9" s="5"/>
      <c r="L9" s="5"/>
    </row>
    <row r="10" spans="1:12" ht="16.5" thickBot="1" x14ac:dyDescent="0.3">
      <c r="A10" s="7"/>
      <c r="B10" s="62"/>
      <c r="C10" s="62"/>
      <c r="D10" s="62"/>
      <c r="E10" s="5"/>
      <c r="F10" s="5"/>
      <c r="G10" s="10"/>
      <c r="H10" s="5"/>
      <c r="I10" s="5"/>
      <c r="J10" s="5"/>
      <c r="K10" s="5"/>
      <c r="L10" s="5"/>
    </row>
    <row r="11" spans="1:12" ht="15.75" thickBot="1" x14ac:dyDescent="0.3">
      <c r="A11" s="121" t="s">
        <v>9</v>
      </c>
      <c r="B11" s="122"/>
      <c r="C11" s="123"/>
      <c r="D11" s="5"/>
      <c r="E11" s="5"/>
      <c r="F11" s="5"/>
      <c r="G11" s="121" t="s">
        <v>26</v>
      </c>
      <c r="H11" s="122"/>
      <c r="I11" s="123"/>
      <c r="J11" s="5"/>
      <c r="K11" s="5"/>
      <c r="L11" s="5"/>
    </row>
    <row r="12" spans="1:12" x14ac:dyDescent="0.25">
      <c r="A12" s="30" t="s">
        <v>38</v>
      </c>
      <c r="B12" s="11"/>
      <c r="C12" s="11"/>
      <c r="D12" s="11"/>
      <c r="E12" s="6"/>
      <c r="F12" s="5"/>
      <c r="G12" s="30"/>
      <c r="H12" s="11"/>
      <c r="I12" s="11"/>
      <c r="J12" s="11"/>
      <c r="K12" s="11"/>
      <c r="L12" s="6"/>
    </row>
    <row r="13" spans="1:12" ht="15.75" thickBot="1" x14ac:dyDescent="0.3">
      <c r="A13" s="7"/>
      <c r="B13" s="7"/>
      <c r="C13" s="7"/>
      <c r="D13" s="5"/>
      <c r="E13" s="5"/>
      <c r="F13" s="5"/>
      <c r="G13" s="7" t="str">
        <f>A15</f>
        <v>Cape Town</v>
      </c>
      <c r="H13" s="7"/>
      <c r="I13" s="7"/>
      <c r="J13" s="5"/>
      <c r="K13" s="5"/>
      <c r="L13" s="5"/>
    </row>
    <row r="14" spans="1:12" ht="15.75" thickBot="1" x14ac:dyDescent="0.3">
      <c r="A14" s="121"/>
      <c r="B14" s="122"/>
      <c r="C14" s="124"/>
      <c r="D14" s="12" t="s">
        <v>1</v>
      </c>
      <c r="E14" s="32"/>
      <c r="F14" s="5"/>
      <c r="G14" s="121" t="s">
        <v>27</v>
      </c>
      <c r="H14" s="122"/>
      <c r="I14" s="123"/>
      <c r="J14" s="5"/>
      <c r="K14" s="12" t="s">
        <v>1</v>
      </c>
      <c r="L14" s="32">
        <v>824286</v>
      </c>
    </row>
    <row r="15" spans="1:12" x14ac:dyDescent="0.25">
      <c r="A15" s="30" t="s">
        <v>65</v>
      </c>
      <c r="B15" s="11"/>
      <c r="C15" s="11"/>
      <c r="D15" s="11"/>
      <c r="E15" s="6"/>
      <c r="F15" s="5"/>
      <c r="G15" s="30" t="s">
        <v>38</v>
      </c>
      <c r="H15" s="11"/>
      <c r="I15" s="11"/>
      <c r="J15" s="11"/>
      <c r="K15" s="11"/>
      <c r="L15" s="6"/>
    </row>
    <row r="16" spans="1:12" x14ac:dyDescent="0.25">
      <c r="A16" s="76"/>
      <c r="B16" s="11"/>
      <c r="C16" s="11"/>
      <c r="D16" s="11"/>
      <c r="E16" s="6"/>
      <c r="F16" s="5"/>
      <c r="G16" s="34"/>
      <c r="H16" s="11"/>
      <c r="I16" s="11"/>
      <c r="J16" s="11"/>
      <c r="K16" s="11"/>
      <c r="L16" s="6"/>
    </row>
    <row r="17" spans="1:12" x14ac:dyDescent="0.25">
      <c r="A17" s="13"/>
      <c r="B17" s="11"/>
      <c r="C17" s="11"/>
      <c r="D17" s="11"/>
      <c r="E17" s="6"/>
      <c r="F17" s="5"/>
      <c r="G17" s="13"/>
      <c r="H17" s="11"/>
      <c r="I17" s="11"/>
      <c r="J17" s="11"/>
      <c r="K17" s="11"/>
      <c r="L17" s="6"/>
    </row>
    <row r="18" spans="1:12" x14ac:dyDescent="0.25">
      <c r="A18" s="13"/>
      <c r="B18" s="11"/>
      <c r="C18" s="11"/>
      <c r="D18" s="11"/>
      <c r="E18" s="6"/>
      <c r="F18" s="5"/>
      <c r="G18" s="13"/>
      <c r="H18" s="11"/>
      <c r="I18" s="11"/>
      <c r="J18" s="11"/>
      <c r="K18" s="11"/>
      <c r="L18" s="6"/>
    </row>
    <row r="19" spans="1:12" ht="15.75" thickBot="1" x14ac:dyDescent="0.3">
      <c r="A19" s="13"/>
      <c r="B19" s="11"/>
      <c r="C19" s="11" t="s">
        <v>29</v>
      </c>
      <c r="D19" s="43"/>
      <c r="E19" s="6"/>
      <c r="F19" s="5"/>
      <c r="G19" s="13"/>
      <c r="H19" s="11"/>
      <c r="I19" s="14" t="s">
        <v>28</v>
      </c>
      <c r="J19" s="43"/>
      <c r="K19" s="59"/>
      <c r="L19" s="6"/>
    </row>
    <row r="20" spans="1:12" ht="15.75" thickBot="1" x14ac:dyDescent="0.3">
      <c r="A20" s="15" t="s">
        <v>10</v>
      </c>
      <c r="B20" s="5"/>
      <c r="C20" s="5"/>
      <c r="D20" s="5"/>
      <c r="E20" s="5"/>
      <c r="F20" s="5"/>
      <c r="G20" s="15" t="s">
        <v>14</v>
      </c>
      <c r="H20" s="5"/>
      <c r="I20" s="5"/>
      <c r="J20" s="5"/>
      <c r="K20" s="5"/>
      <c r="L20" s="5"/>
    </row>
    <row r="21" spans="1:12" ht="15.75" thickBot="1" x14ac:dyDescent="0.3">
      <c r="A21" s="121" t="s">
        <v>11</v>
      </c>
      <c r="B21" s="122"/>
      <c r="C21" s="123"/>
      <c r="D21" s="16" t="s">
        <v>12</v>
      </c>
      <c r="E21" s="16" t="s">
        <v>13</v>
      </c>
      <c r="F21" s="5"/>
      <c r="G21" s="121" t="s">
        <v>15</v>
      </c>
      <c r="H21" s="122"/>
      <c r="I21" s="123"/>
      <c r="J21" s="121"/>
      <c r="K21" s="123"/>
      <c r="L21" s="5"/>
    </row>
    <row r="22" spans="1:12" x14ac:dyDescent="0.25">
      <c r="A22" s="45" t="s">
        <v>300</v>
      </c>
      <c r="B22" s="46" t="s">
        <v>66</v>
      </c>
      <c r="C22" s="47"/>
      <c r="D22" s="56">
        <v>311.02</v>
      </c>
      <c r="E22" s="57">
        <v>7106.8</v>
      </c>
      <c r="F22" s="44">
        <f>E22/D22</f>
        <v>22.849977493408787</v>
      </c>
      <c r="G22" s="125" t="s">
        <v>50</v>
      </c>
      <c r="H22" s="126"/>
      <c r="I22" s="127"/>
      <c r="J22" s="128"/>
      <c r="K22" s="129"/>
      <c r="L22" s="5"/>
    </row>
    <row r="23" spans="1:12" x14ac:dyDescent="0.25">
      <c r="A23" s="45" t="s">
        <v>301</v>
      </c>
      <c r="B23" s="46" t="s">
        <v>66</v>
      </c>
      <c r="C23" s="47"/>
      <c r="D23" s="56">
        <v>716</v>
      </c>
      <c r="E23" s="57">
        <v>16360.5</v>
      </c>
      <c r="F23" s="44">
        <f>E23/D23</f>
        <v>22.84986033519553</v>
      </c>
      <c r="G23" s="110" t="s">
        <v>59</v>
      </c>
      <c r="H23" s="111"/>
      <c r="I23" s="112"/>
      <c r="J23" s="113"/>
      <c r="K23" s="114"/>
      <c r="L23" s="5"/>
    </row>
    <row r="24" spans="1:12" x14ac:dyDescent="0.25">
      <c r="A24" s="45" t="s">
        <v>302</v>
      </c>
      <c r="B24" s="46" t="s">
        <v>47</v>
      </c>
      <c r="C24" s="47"/>
      <c r="D24" s="56">
        <v>428</v>
      </c>
      <c r="E24" s="57">
        <v>9672.7999999999993</v>
      </c>
      <c r="F24" s="44">
        <f>E24/D24</f>
        <v>22.599999999999998</v>
      </c>
      <c r="G24" s="110" t="s">
        <v>61</v>
      </c>
      <c r="H24" s="111"/>
      <c r="I24" s="112"/>
      <c r="J24" s="113"/>
      <c r="K24" s="114"/>
      <c r="L24" s="5"/>
    </row>
    <row r="25" spans="1:12" x14ac:dyDescent="0.25">
      <c r="A25" s="45"/>
      <c r="B25" s="46"/>
      <c r="C25" s="47"/>
      <c r="D25" s="56"/>
      <c r="E25" s="57"/>
      <c r="F25" s="44"/>
      <c r="G25" s="110" t="s">
        <v>51</v>
      </c>
      <c r="H25" s="111"/>
      <c r="I25" s="112"/>
      <c r="J25" s="113"/>
      <c r="K25" s="114"/>
      <c r="L25" s="5"/>
    </row>
    <row r="26" spans="1:12" x14ac:dyDescent="0.25">
      <c r="A26" s="48"/>
      <c r="B26" s="46"/>
      <c r="C26" s="39"/>
      <c r="D26" s="52"/>
      <c r="E26" s="53"/>
      <c r="F26" s="44"/>
      <c r="G26" s="110" t="s">
        <v>58</v>
      </c>
      <c r="H26" s="111"/>
      <c r="I26" s="112"/>
      <c r="J26" s="113"/>
      <c r="K26" s="114"/>
      <c r="L26" s="5"/>
    </row>
    <row r="27" spans="1:12" x14ac:dyDescent="0.25">
      <c r="A27" s="48"/>
      <c r="B27" s="35"/>
      <c r="C27" s="39"/>
      <c r="D27" s="52"/>
      <c r="E27" s="53"/>
      <c r="F27" s="44"/>
      <c r="G27" s="110" t="s">
        <v>51</v>
      </c>
      <c r="H27" s="111"/>
      <c r="I27" s="112"/>
      <c r="J27" s="113"/>
      <c r="K27" s="114"/>
      <c r="L27" s="5"/>
    </row>
    <row r="28" spans="1:12" x14ac:dyDescent="0.25">
      <c r="A28" s="48"/>
      <c r="B28" s="35"/>
      <c r="C28" s="39"/>
      <c r="D28" s="52"/>
      <c r="E28" s="53"/>
      <c r="F28" s="44"/>
      <c r="G28" s="77"/>
      <c r="H28" s="78" t="s">
        <v>69</v>
      </c>
      <c r="I28" s="79"/>
      <c r="J28" s="113"/>
      <c r="K28" s="114"/>
      <c r="L28" s="5"/>
    </row>
    <row r="29" spans="1:12" x14ac:dyDescent="0.25">
      <c r="A29" s="38"/>
      <c r="B29" s="35"/>
      <c r="C29" s="39"/>
      <c r="D29" s="52"/>
      <c r="E29" s="53"/>
      <c r="F29" s="44"/>
      <c r="G29" s="77"/>
      <c r="H29" s="78" t="s">
        <v>72</v>
      </c>
      <c r="I29" s="79"/>
      <c r="J29" s="113"/>
      <c r="K29" s="114"/>
      <c r="L29" s="5"/>
    </row>
    <row r="30" spans="1:12" ht="15.75" thickBot="1" x14ac:dyDescent="0.3">
      <c r="A30" s="5"/>
      <c r="B30" s="5"/>
      <c r="C30" s="7" t="s">
        <v>35</v>
      </c>
      <c r="D30" s="17">
        <f>SUM(D22:D29)</f>
        <v>1455.02</v>
      </c>
      <c r="E30" s="17">
        <f>SUM(E22:E29)</f>
        <v>33140.1</v>
      </c>
      <c r="F30" s="89">
        <f>AVERAGE(F22:F26)</f>
        <v>22.766612609534771</v>
      </c>
      <c r="G30" s="110" t="s">
        <v>73</v>
      </c>
      <c r="H30" s="111"/>
      <c r="I30" s="112"/>
      <c r="J30" s="113"/>
      <c r="K30" s="114"/>
      <c r="L30" s="7" t="s">
        <v>36</v>
      </c>
    </row>
    <row r="31" spans="1:12" ht="15.75" thickBot="1" x14ac:dyDescent="0.3">
      <c r="A31" s="5"/>
      <c r="B31" s="5"/>
      <c r="C31" s="5"/>
      <c r="D31" s="5"/>
      <c r="E31" s="5"/>
      <c r="F31" s="5"/>
      <c r="G31" s="130"/>
      <c r="H31" s="131"/>
      <c r="I31" s="132"/>
      <c r="J31" s="133"/>
      <c r="K31" s="134"/>
      <c r="L31" s="18">
        <f>J22+J23+J24+J25+J26+J27+J28+J29+J30</f>
        <v>0</v>
      </c>
    </row>
    <row r="32" spans="1:12" ht="15.75" thickBo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5.75" thickBot="1" x14ac:dyDescent="0.3">
      <c r="A33" s="19"/>
      <c r="B33" s="20"/>
      <c r="C33" s="20"/>
      <c r="D33" s="20"/>
      <c r="E33" s="21" t="s">
        <v>13</v>
      </c>
      <c r="F33" s="5"/>
      <c r="G33" s="19"/>
      <c r="H33" s="20"/>
      <c r="I33" s="20"/>
      <c r="J33" s="20"/>
      <c r="K33" s="21" t="s">
        <v>13</v>
      </c>
      <c r="L33" s="5"/>
    </row>
    <row r="34" spans="1:12" x14ac:dyDescent="0.25">
      <c r="A34" s="22" t="s">
        <v>31</v>
      </c>
      <c r="B34" s="115">
        <v>18555</v>
      </c>
      <c r="C34" s="116"/>
      <c r="D34" s="116"/>
      <c r="E34" s="117"/>
      <c r="F34" s="5"/>
      <c r="G34" s="22" t="s">
        <v>32</v>
      </c>
      <c r="H34" s="115">
        <v>42762</v>
      </c>
      <c r="I34" s="116"/>
      <c r="J34" s="116"/>
      <c r="K34" s="117"/>
      <c r="L34" s="5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7" t="s">
        <v>16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9" t="s">
        <v>17</v>
      </c>
      <c r="B37" s="23">
        <f>L14-C9</f>
        <v>3038</v>
      </c>
      <c r="C37" s="5"/>
      <c r="D37" s="106" t="s">
        <v>18</v>
      </c>
      <c r="E37" s="107"/>
      <c r="F37" s="24" t="s">
        <v>19</v>
      </c>
      <c r="G37" s="9" t="s">
        <v>20</v>
      </c>
      <c r="H37" s="118">
        <f>B34+H34</f>
        <v>61317</v>
      </c>
      <c r="I37" s="119"/>
      <c r="J37" s="60"/>
      <c r="K37" s="5"/>
      <c r="L37" s="5"/>
    </row>
    <row r="38" spans="1:12" x14ac:dyDescent="0.25">
      <c r="A38" s="9" t="s">
        <v>41</v>
      </c>
      <c r="B38" s="40">
        <f>B37/D30</f>
        <v>2.0879438083325317</v>
      </c>
      <c r="C38" s="5"/>
      <c r="D38" s="102">
        <f>E30</f>
        <v>33140.1</v>
      </c>
      <c r="E38" s="103"/>
      <c r="F38" s="25">
        <f>H38/B37</f>
        <v>11.83768926925609</v>
      </c>
      <c r="G38" s="9" t="s">
        <v>21</v>
      </c>
      <c r="H38" s="104">
        <f>L31+D38+D40+D42+D44+A41</f>
        <v>35962.9</v>
      </c>
      <c r="I38" s="105"/>
      <c r="J38" s="5"/>
      <c r="K38" s="5"/>
      <c r="L38" s="5"/>
    </row>
    <row r="39" spans="1:12" x14ac:dyDescent="0.25">
      <c r="A39" s="9" t="s">
        <v>43</v>
      </c>
      <c r="B39" s="23">
        <f>D30/B37*100</f>
        <v>47.894009216589865</v>
      </c>
      <c r="C39" s="5"/>
      <c r="D39" s="106" t="s">
        <v>33</v>
      </c>
      <c r="E39" s="107"/>
      <c r="F39" s="5"/>
      <c r="G39" s="13" t="s">
        <v>22</v>
      </c>
      <c r="H39" s="6"/>
      <c r="I39" s="26">
        <f>H37-H38</f>
        <v>25354.1</v>
      </c>
      <c r="J39" s="5"/>
      <c r="K39" s="5"/>
      <c r="L39" s="5"/>
    </row>
    <row r="40" spans="1:12" x14ac:dyDescent="0.25">
      <c r="A40" s="106" t="s">
        <v>40</v>
      </c>
      <c r="B40" s="107"/>
      <c r="C40" s="5"/>
      <c r="D40" s="149">
        <v>1000</v>
      </c>
      <c r="E40" s="150"/>
      <c r="F40" s="5"/>
      <c r="G40" s="5"/>
      <c r="H40" s="5"/>
      <c r="I40" s="5"/>
      <c r="J40" s="5"/>
      <c r="K40" s="5"/>
      <c r="L40" s="5"/>
    </row>
    <row r="41" spans="1:12" x14ac:dyDescent="0.25">
      <c r="A41" s="108">
        <f>B37*0.6</f>
        <v>1822.8</v>
      </c>
      <c r="B41" s="109"/>
      <c r="C41" s="5"/>
      <c r="D41" s="106" t="s">
        <v>34</v>
      </c>
      <c r="E41" s="107"/>
      <c r="F41" s="5"/>
      <c r="G41" s="145" t="s">
        <v>292</v>
      </c>
      <c r="H41" s="146"/>
      <c r="I41" s="23">
        <f>B37/2.3</f>
        <v>1320.8695652173915</v>
      </c>
      <c r="J41" s="60"/>
      <c r="K41" s="5"/>
      <c r="L41" s="5"/>
    </row>
    <row r="42" spans="1:12" x14ac:dyDescent="0.25">
      <c r="A42" s="5"/>
      <c r="B42" s="5"/>
      <c r="C42" s="5"/>
      <c r="D42" s="108">
        <v>0</v>
      </c>
      <c r="E42" s="109"/>
      <c r="F42" s="5"/>
      <c r="G42" s="145" t="s">
        <v>294</v>
      </c>
      <c r="H42" s="146"/>
      <c r="I42" s="23">
        <f>I41-D30</f>
        <v>-134.1504347826085</v>
      </c>
      <c r="J42" s="5"/>
      <c r="K42" s="5"/>
      <c r="L42" s="5"/>
    </row>
    <row r="43" spans="1:12" x14ac:dyDescent="0.25">
      <c r="A43" s="5"/>
      <c r="B43" s="5"/>
      <c r="C43" s="5"/>
      <c r="D43" s="106" t="s">
        <v>37</v>
      </c>
      <c r="E43" s="107"/>
      <c r="F43" s="5"/>
      <c r="G43" s="147" t="s">
        <v>295</v>
      </c>
      <c r="H43" s="148"/>
      <c r="I43" s="86">
        <f>I42*F30</f>
        <v>-3054.1509800963067</v>
      </c>
      <c r="J43" s="87">
        <f>I39-I43</f>
        <v>28408.250980096305</v>
      </c>
      <c r="K43" s="5"/>
      <c r="L43" s="5"/>
    </row>
    <row r="44" spans="1:12" x14ac:dyDescent="0.25">
      <c r="A44" s="5"/>
      <c r="B44" s="5"/>
      <c r="C44" s="5"/>
      <c r="D44" s="108">
        <v>0</v>
      </c>
      <c r="E44" s="109"/>
      <c r="F44" s="5"/>
      <c r="G44" s="5"/>
      <c r="H44" s="5"/>
      <c r="I44" s="5"/>
      <c r="J44" s="88" t="s">
        <v>293</v>
      </c>
      <c r="K44" s="44"/>
      <c r="L44" s="5"/>
    </row>
    <row r="45" spans="1:1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s="49" customFormat="1" x14ac:dyDescent="0.25"/>
    <row r="49" spans="1:12" x14ac:dyDescent="0.25">
      <c r="A49" s="120" t="s">
        <v>24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</row>
    <row r="50" spans="1:12" x14ac:dyDescent="0.25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</row>
    <row r="51" spans="1:12" x14ac:dyDescent="0.25">
      <c r="A51" s="1" t="s">
        <v>4</v>
      </c>
      <c r="B51" s="2"/>
      <c r="C51" s="90"/>
      <c r="D51" s="2"/>
      <c r="E51" s="2"/>
      <c r="F51" s="2"/>
      <c r="G51" s="3" t="s">
        <v>5</v>
      </c>
      <c r="H51" s="3" t="s">
        <v>6</v>
      </c>
      <c r="I51" s="4" t="s">
        <v>7</v>
      </c>
      <c r="J51" s="5"/>
      <c r="K51" s="5"/>
      <c r="L51" s="5"/>
    </row>
    <row r="52" spans="1:12" x14ac:dyDescent="0.25">
      <c r="A52" s="91" t="s">
        <v>296</v>
      </c>
      <c r="B52" s="92" t="s">
        <v>42</v>
      </c>
      <c r="C52" s="64"/>
      <c r="D52" s="66"/>
      <c r="E52" s="2"/>
      <c r="F52" s="2"/>
      <c r="G52" s="91" t="s">
        <v>299</v>
      </c>
      <c r="H52" s="66"/>
      <c r="I52" s="33"/>
      <c r="J52" s="6"/>
      <c r="K52" s="33"/>
      <c r="L52" s="6"/>
    </row>
    <row r="53" spans="1:12" x14ac:dyDescent="0.25">
      <c r="A53" s="7" t="s">
        <v>2</v>
      </c>
      <c r="B53" s="5"/>
      <c r="C53" s="5"/>
      <c r="D53" s="5"/>
      <c r="E53" s="5"/>
      <c r="F53" s="5"/>
      <c r="G53" s="8" t="s">
        <v>8</v>
      </c>
      <c r="H53" s="93">
        <v>3</v>
      </c>
      <c r="I53" s="5"/>
      <c r="J53" s="5"/>
      <c r="K53" s="5"/>
      <c r="L53" s="5"/>
    </row>
    <row r="54" spans="1:12" x14ac:dyDescent="0.25">
      <c r="A54" s="7" t="s">
        <v>25</v>
      </c>
      <c r="B54" s="5"/>
      <c r="C54" s="7" t="s">
        <v>0</v>
      </c>
      <c r="D54" s="5"/>
      <c r="E54" s="5"/>
      <c r="F54" s="5"/>
      <c r="G54" s="7" t="s">
        <v>25</v>
      </c>
      <c r="H54" s="5"/>
      <c r="I54" s="7" t="s">
        <v>0</v>
      </c>
      <c r="J54" s="5"/>
      <c r="K54" s="5"/>
      <c r="L54" s="5"/>
    </row>
    <row r="55" spans="1:12" x14ac:dyDescent="0.25">
      <c r="A55" s="42" t="s">
        <v>302</v>
      </c>
      <c r="B55" s="6"/>
      <c r="C55" s="31">
        <f>L14</f>
        <v>824286</v>
      </c>
      <c r="D55" s="5"/>
      <c r="E55" s="5"/>
      <c r="F55" s="5"/>
      <c r="G55" s="42" t="s">
        <v>303</v>
      </c>
      <c r="H55" s="6"/>
      <c r="I55" s="9"/>
      <c r="J55" s="5"/>
      <c r="K55" s="5"/>
      <c r="L55" s="5"/>
    </row>
    <row r="56" spans="1:12" ht="16.5" thickBot="1" x14ac:dyDescent="0.3">
      <c r="A56" s="7"/>
      <c r="B56" s="62"/>
      <c r="C56" s="62"/>
      <c r="D56" s="62"/>
      <c r="E56" s="5"/>
      <c r="F56" s="5"/>
      <c r="G56" s="10"/>
      <c r="H56" s="5"/>
      <c r="I56" s="5"/>
      <c r="J56" s="5"/>
      <c r="K56" s="5"/>
      <c r="L56" s="5"/>
    </row>
    <row r="57" spans="1:12" ht="15.75" thickBot="1" x14ac:dyDescent="0.3">
      <c r="A57" s="121" t="s">
        <v>9</v>
      </c>
      <c r="B57" s="122"/>
      <c r="C57" s="123"/>
      <c r="D57" s="5"/>
      <c r="E57" s="5"/>
      <c r="F57" s="5"/>
      <c r="G57" s="121" t="s">
        <v>26</v>
      </c>
      <c r="H57" s="122"/>
      <c r="I57" s="123"/>
      <c r="J57" s="5"/>
      <c r="K57" s="5"/>
      <c r="L57" s="5"/>
    </row>
    <row r="58" spans="1:12" x14ac:dyDescent="0.25">
      <c r="A58" s="30" t="s">
        <v>38</v>
      </c>
      <c r="B58" s="11"/>
      <c r="C58" s="11"/>
      <c r="D58" s="11"/>
      <c r="E58" s="6"/>
      <c r="F58" s="5"/>
      <c r="G58" s="30"/>
      <c r="H58" s="11"/>
      <c r="I58" s="11"/>
      <c r="J58" s="11"/>
      <c r="K58" s="11"/>
      <c r="L58" s="6"/>
    </row>
    <row r="59" spans="1:12" ht="15.75" thickBot="1" x14ac:dyDescent="0.3">
      <c r="A59" s="7"/>
      <c r="B59" s="7"/>
      <c r="C59" s="7"/>
      <c r="D59" s="5"/>
      <c r="E59" s="5"/>
      <c r="F59" s="5"/>
      <c r="G59" s="7" t="str">
        <f>A61</f>
        <v>Johannesburg</v>
      </c>
      <c r="H59" s="7"/>
      <c r="I59" s="7"/>
      <c r="J59" s="5"/>
      <c r="K59" s="5"/>
      <c r="L59" s="5"/>
    </row>
    <row r="60" spans="1:12" ht="15.75" thickBot="1" x14ac:dyDescent="0.3">
      <c r="A60" s="121"/>
      <c r="B60" s="122"/>
      <c r="C60" s="124"/>
      <c r="D60" s="12" t="s">
        <v>1</v>
      </c>
      <c r="E60" s="32"/>
      <c r="F60" s="5"/>
      <c r="G60" s="121" t="s">
        <v>27</v>
      </c>
      <c r="H60" s="122"/>
      <c r="I60" s="123"/>
      <c r="J60" s="5"/>
      <c r="K60" s="12" t="s">
        <v>1</v>
      </c>
      <c r="L60" s="32">
        <v>827252</v>
      </c>
    </row>
    <row r="61" spans="1:12" x14ac:dyDescent="0.25">
      <c r="A61" s="30" t="s">
        <v>68</v>
      </c>
      <c r="B61" s="11"/>
      <c r="C61" s="11"/>
      <c r="D61" s="11"/>
      <c r="E61" s="6"/>
      <c r="F61" s="5"/>
      <c r="G61" s="30" t="s">
        <v>38</v>
      </c>
      <c r="H61" s="11"/>
      <c r="I61" s="11"/>
      <c r="J61" s="11"/>
      <c r="K61" s="11"/>
      <c r="L61" s="6"/>
    </row>
    <row r="62" spans="1:12" x14ac:dyDescent="0.25">
      <c r="A62" s="76"/>
      <c r="B62" s="11"/>
      <c r="C62" s="11"/>
      <c r="D62" s="11"/>
      <c r="E62" s="6"/>
      <c r="F62" s="5"/>
      <c r="G62" s="34"/>
      <c r="H62" s="11"/>
      <c r="I62" s="11"/>
      <c r="J62" s="11"/>
      <c r="K62" s="11"/>
      <c r="L62" s="6"/>
    </row>
    <row r="63" spans="1:12" x14ac:dyDescent="0.25">
      <c r="A63" s="13"/>
      <c r="B63" s="11"/>
      <c r="C63" s="11"/>
      <c r="D63" s="11"/>
      <c r="E63" s="6"/>
      <c r="F63" s="5"/>
      <c r="G63" s="13"/>
      <c r="H63" s="11"/>
      <c r="I63" s="11"/>
      <c r="J63" s="11"/>
      <c r="K63" s="11"/>
      <c r="L63" s="6"/>
    </row>
    <row r="64" spans="1:12" x14ac:dyDescent="0.25">
      <c r="A64" s="13"/>
      <c r="B64" s="11"/>
      <c r="C64" s="11"/>
      <c r="D64" s="11"/>
      <c r="E64" s="6"/>
      <c r="F64" s="5"/>
      <c r="G64" s="13"/>
      <c r="H64" s="11"/>
      <c r="I64" s="11"/>
      <c r="J64" s="11"/>
      <c r="K64" s="11"/>
      <c r="L64" s="6"/>
    </row>
    <row r="65" spans="1:12" ht="15.75" thickBot="1" x14ac:dyDescent="0.3">
      <c r="A65" s="13"/>
      <c r="B65" s="11"/>
      <c r="C65" s="11" t="s">
        <v>29</v>
      </c>
      <c r="D65" s="43"/>
      <c r="E65" s="6"/>
      <c r="F65" s="5"/>
      <c r="G65" s="13"/>
      <c r="H65" s="11"/>
      <c r="I65" s="14" t="s">
        <v>28</v>
      </c>
      <c r="J65" s="43"/>
      <c r="K65" s="59"/>
      <c r="L65" s="6"/>
    </row>
    <row r="66" spans="1:12" ht="15.75" thickBot="1" x14ac:dyDescent="0.3">
      <c r="A66" s="15" t="s">
        <v>10</v>
      </c>
      <c r="B66" s="5"/>
      <c r="C66" s="5"/>
      <c r="D66" s="5"/>
      <c r="E66" s="5"/>
      <c r="F66" s="5"/>
      <c r="G66" s="15" t="s">
        <v>14</v>
      </c>
      <c r="H66" s="5"/>
      <c r="I66" s="5"/>
      <c r="J66" s="5"/>
      <c r="K66" s="5"/>
      <c r="L66" s="5"/>
    </row>
    <row r="67" spans="1:12" ht="15.75" thickBot="1" x14ac:dyDescent="0.3">
      <c r="A67" s="121" t="s">
        <v>11</v>
      </c>
      <c r="B67" s="122"/>
      <c r="C67" s="123"/>
      <c r="D67" s="16" t="s">
        <v>12</v>
      </c>
      <c r="E67" s="16" t="s">
        <v>13</v>
      </c>
      <c r="F67" s="5"/>
      <c r="G67" s="121" t="s">
        <v>15</v>
      </c>
      <c r="H67" s="122"/>
      <c r="I67" s="123"/>
      <c r="J67" s="121"/>
      <c r="K67" s="123"/>
      <c r="L67" s="5"/>
    </row>
    <row r="68" spans="1:12" x14ac:dyDescent="0.25">
      <c r="A68" s="45" t="s">
        <v>304</v>
      </c>
      <c r="B68" s="46" t="s">
        <v>67</v>
      </c>
      <c r="C68" s="47"/>
      <c r="D68" s="56">
        <v>732.5</v>
      </c>
      <c r="E68" s="57">
        <v>17257.900000000001</v>
      </c>
      <c r="F68" s="44">
        <f>E68/D68</f>
        <v>23.560273037542665</v>
      </c>
      <c r="G68" s="125" t="s">
        <v>69</v>
      </c>
      <c r="H68" s="126"/>
      <c r="I68" s="127"/>
      <c r="J68" s="128">
        <f>345+345</f>
        <v>690</v>
      </c>
      <c r="K68" s="129"/>
      <c r="L68" s="5"/>
    </row>
    <row r="69" spans="1:12" x14ac:dyDescent="0.25">
      <c r="A69" s="94">
        <v>45298</v>
      </c>
      <c r="B69" s="46" t="s">
        <v>47</v>
      </c>
      <c r="C69" s="47"/>
      <c r="D69" s="56">
        <v>442.43700000000001</v>
      </c>
      <c r="E69" s="57">
        <v>9999</v>
      </c>
      <c r="F69" s="44">
        <f>E69/D69</f>
        <v>22.599827772089586</v>
      </c>
      <c r="G69" s="110" t="s">
        <v>59</v>
      </c>
      <c r="H69" s="111"/>
      <c r="I69" s="112"/>
      <c r="J69" s="113"/>
      <c r="K69" s="114"/>
      <c r="L69" s="5"/>
    </row>
    <row r="70" spans="1:12" x14ac:dyDescent="0.25">
      <c r="A70" s="45"/>
      <c r="B70" s="46"/>
      <c r="C70" s="47"/>
      <c r="D70" s="56"/>
      <c r="E70" s="57"/>
      <c r="F70" s="44"/>
      <c r="G70" s="110" t="s">
        <v>61</v>
      </c>
      <c r="H70" s="111"/>
      <c r="I70" s="112"/>
      <c r="J70" s="113"/>
      <c r="K70" s="114"/>
      <c r="L70" s="5"/>
    </row>
    <row r="71" spans="1:12" x14ac:dyDescent="0.25">
      <c r="A71" s="45"/>
      <c r="B71" s="46"/>
      <c r="C71" s="47"/>
      <c r="D71" s="56"/>
      <c r="E71" s="57"/>
      <c r="F71" s="44"/>
      <c r="G71" s="110" t="s">
        <v>51</v>
      </c>
      <c r="H71" s="111"/>
      <c r="I71" s="112"/>
      <c r="J71" s="113"/>
      <c r="K71" s="114"/>
      <c r="L71" s="5"/>
    </row>
    <row r="72" spans="1:12" x14ac:dyDescent="0.25">
      <c r="A72" s="48"/>
      <c r="B72" s="46"/>
      <c r="C72" s="39"/>
      <c r="D72" s="52"/>
      <c r="E72" s="53"/>
      <c r="F72" s="44"/>
      <c r="G72" s="110" t="s">
        <v>58</v>
      </c>
      <c r="H72" s="111"/>
      <c r="I72" s="112"/>
      <c r="J72" s="113"/>
      <c r="K72" s="114"/>
      <c r="L72" s="5"/>
    </row>
    <row r="73" spans="1:12" x14ac:dyDescent="0.25">
      <c r="A73" s="48"/>
      <c r="B73" s="35"/>
      <c r="C73" s="39"/>
      <c r="D73" s="52"/>
      <c r="E73" s="53"/>
      <c r="F73" s="44"/>
      <c r="G73" s="110" t="s">
        <v>51</v>
      </c>
      <c r="H73" s="111"/>
      <c r="I73" s="112"/>
      <c r="J73" s="113"/>
      <c r="K73" s="114"/>
      <c r="L73" s="5"/>
    </row>
    <row r="74" spans="1:12" x14ac:dyDescent="0.25">
      <c r="A74" s="48"/>
      <c r="B74" s="35"/>
      <c r="C74" s="39"/>
      <c r="D74" s="52"/>
      <c r="E74" s="53"/>
      <c r="F74" s="44"/>
      <c r="G74" s="77"/>
      <c r="H74" s="78" t="s">
        <v>69</v>
      </c>
      <c r="I74" s="79"/>
      <c r="J74" s="113"/>
      <c r="K74" s="114"/>
      <c r="L74" s="5"/>
    </row>
    <row r="75" spans="1:12" x14ac:dyDescent="0.25">
      <c r="A75" s="38"/>
      <c r="B75" s="35"/>
      <c r="C75" s="39"/>
      <c r="D75" s="52"/>
      <c r="E75" s="53"/>
      <c r="F75" s="44"/>
      <c r="G75" s="77"/>
      <c r="H75" s="78" t="s">
        <v>72</v>
      </c>
      <c r="I75" s="79"/>
      <c r="J75" s="113"/>
      <c r="K75" s="114"/>
      <c r="L75" s="5"/>
    </row>
    <row r="76" spans="1:12" ht="15.75" thickBot="1" x14ac:dyDescent="0.3">
      <c r="A76" s="5"/>
      <c r="B76" s="5"/>
      <c r="C76" s="7" t="s">
        <v>35</v>
      </c>
      <c r="D76" s="17">
        <f>SUM(D68:D75)</f>
        <v>1174.9369999999999</v>
      </c>
      <c r="E76" s="17">
        <f>SUM(E68:E75)</f>
        <v>27256.9</v>
      </c>
      <c r="F76" s="89">
        <f>AVERAGE(F68:F72)</f>
        <v>23.080050404816127</v>
      </c>
      <c r="G76" s="110" t="s">
        <v>73</v>
      </c>
      <c r="H76" s="111"/>
      <c r="I76" s="112"/>
      <c r="J76" s="113"/>
      <c r="K76" s="114"/>
      <c r="L76" s="7" t="s">
        <v>36</v>
      </c>
    </row>
    <row r="77" spans="1:12" ht="15.75" thickBot="1" x14ac:dyDescent="0.3">
      <c r="A77" s="5"/>
      <c r="B77" s="5"/>
      <c r="C77" s="5"/>
      <c r="D77" s="5"/>
      <c r="E77" s="5"/>
      <c r="F77" s="5"/>
      <c r="G77" s="130"/>
      <c r="H77" s="131"/>
      <c r="I77" s="132"/>
      <c r="J77" s="133"/>
      <c r="K77" s="134"/>
      <c r="L77" s="18">
        <f>J68+J69+J70+J71+J72+J73+J74+J75+J76</f>
        <v>690</v>
      </c>
    </row>
    <row r="78" spans="1:12" ht="15.75" thickBo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75" thickBot="1" x14ac:dyDescent="0.3">
      <c r="A79" s="19"/>
      <c r="B79" s="20"/>
      <c r="C79" s="20"/>
      <c r="D79" s="20"/>
      <c r="E79" s="21" t="s">
        <v>13</v>
      </c>
      <c r="F79" s="5"/>
      <c r="G79" s="19"/>
      <c r="H79" s="20"/>
      <c r="I79" s="20"/>
      <c r="J79" s="20"/>
      <c r="K79" s="21" t="s">
        <v>13</v>
      </c>
      <c r="L79" s="5"/>
    </row>
    <row r="80" spans="1:12" x14ac:dyDescent="0.25">
      <c r="A80" s="22" t="s">
        <v>31</v>
      </c>
      <c r="B80" s="115">
        <v>18014</v>
      </c>
      <c r="C80" s="116"/>
      <c r="D80" s="116"/>
      <c r="E80" s="117"/>
      <c r="F80" s="5"/>
      <c r="G80" s="22" t="s">
        <v>32</v>
      </c>
      <c r="H80" s="115">
        <v>42762</v>
      </c>
      <c r="I80" s="116"/>
      <c r="J80" s="116"/>
      <c r="K80" s="117"/>
      <c r="L80" s="5"/>
    </row>
    <row r="81" spans="1:1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25">
      <c r="A82" s="7" t="s">
        <v>16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25">
      <c r="A83" s="9" t="s">
        <v>17</v>
      </c>
      <c r="B83" s="23">
        <f>L60-C55</f>
        <v>2966</v>
      </c>
      <c r="C83" s="5"/>
      <c r="D83" s="106" t="s">
        <v>18</v>
      </c>
      <c r="E83" s="107"/>
      <c r="F83" s="24" t="s">
        <v>19</v>
      </c>
      <c r="G83" s="9" t="s">
        <v>20</v>
      </c>
      <c r="H83" s="118">
        <f>B80+H80</f>
        <v>60776</v>
      </c>
      <c r="I83" s="119"/>
      <c r="J83" s="60"/>
      <c r="K83" s="5"/>
      <c r="L83" s="5"/>
    </row>
    <row r="84" spans="1:12" x14ac:dyDescent="0.25">
      <c r="A84" s="9" t="s">
        <v>41</v>
      </c>
      <c r="B84" s="40">
        <f>B83/D76</f>
        <v>2.5243906694571709</v>
      </c>
      <c r="C84" s="5"/>
      <c r="D84" s="102">
        <f>E76</f>
        <v>27256.9</v>
      </c>
      <c r="E84" s="103"/>
      <c r="F84" s="25">
        <f>H84/B83</f>
        <v>11.708192852326366</v>
      </c>
      <c r="G84" s="9" t="s">
        <v>21</v>
      </c>
      <c r="H84" s="104">
        <f>L77+D84+D86+D88+D90+A87</f>
        <v>34726.5</v>
      </c>
      <c r="I84" s="105"/>
      <c r="J84" s="5"/>
      <c r="K84" s="5"/>
      <c r="L84" s="5"/>
    </row>
    <row r="85" spans="1:12" x14ac:dyDescent="0.25">
      <c r="A85" s="9" t="s">
        <v>43</v>
      </c>
      <c r="B85" s="23">
        <f>D76/B83*100</f>
        <v>39.613519892110581</v>
      </c>
      <c r="C85" s="5"/>
      <c r="D85" s="106" t="s">
        <v>33</v>
      </c>
      <c r="E85" s="107"/>
      <c r="F85" s="5"/>
      <c r="G85" s="13" t="s">
        <v>22</v>
      </c>
      <c r="H85" s="6"/>
      <c r="I85" s="26">
        <f>H83-H84</f>
        <v>26049.5</v>
      </c>
      <c r="J85" s="5"/>
      <c r="K85" s="5"/>
      <c r="L85" s="5"/>
    </row>
    <row r="86" spans="1:12" x14ac:dyDescent="0.25">
      <c r="A86" s="106" t="s">
        <v>40</v>
      </c>
      <c r="B86" s="107"/>
      <c r="C86" s="5"/>
      <c r="D86" s="149">
        <v>1000</v>
      </c>
      <c r="E86" s="150"/>
      <c r="F86" s="5"/>
      <c r="G86" s="5"/>
      <c r="H86" s="5"/>
      <c r="I86" s="5"/>
      <c r="J86" s="5"/>
      <c r="K86" s="5"/>
      <c r="L86" s="5"/>
    </row>
    <row r="87" spans="1:12" x14ac:dyDescent="0.25">
      <c r="A87" s="108">
        <f>B83*0.6</f>
        <v>1779.6</v>
      </c>
      <c r="B87" s="109"/>
      <c r="C87" s="5"/>
      <c r="D87" s="106" t="s">
        <v>34</v>
      </c>
      <c r="E87" s="107"/>
      <c r="F87" s="5"/>
      <c r="G87" s="145" t="s">
        <v>292</v>
      </c>
      <c r="H87" s="146"/>
      <c r="I87" s="23">
        <f>B83/2.3</f>
        <v>1289.5652173913045</v>
      </c>
      <c r="J87" s="60"/>
      <c r="K87" s="5"/>
      <c r="L87" s="5"/>
    </row>
    <row r="88" spans="1:12" x14ac:dyDescent="0.25">
      <c r="A88" s="5"/>
      <c r="B88" s="5"/>
      <c r="C88" s="5"/>
      <c r="D88" s="108">
        <v>0</v>
      </c>
      <c r="E88" s="109"/>
      <c r="F88" s="5"/>
      <c r="G88" s="145" t="s">
        <v>294</v>
      </c>
      <c r="H88" s="146"/>
      <c r="I88" s="23">
        <f>I87-D76</f>
        <v>114.62821739130459</v>
      </c>
      <c r="J88" s="5"/>
      <c r="K88" s="5"/>
      <c r="L88" s="5"/>
    </row>
    <row r="89" spans="1:12" x14ac:dyDescent="0.25">
      <c r="A89" s="5"/>
      <c r="B89" s="5"/>
      <c r="C89" s="5"/>
      <c r="D89" s="106" t="s">
        <v>37</v>
      </c>
      <c r="E89" s="107"/>
      <c r="F89" s="5"/>
      <c r="G89" s="147" t="s">
        <v>295</v>
      </c>
      <c r="H89" s="148"/>
      <c r="I89" s="86">
        <f>I88*F76</f>
        <v>2645.6250352055304</v>
      </c>
      <c r="J89" s="87">
        <f>I85-I89</f>
        <v>23403.874964794471</v>
      </c>
      <c r="K89" s="5"/>
      <c r="L89" s="5"/>
    </row>
    <row r="90" spans="1:12" x14ac:dyDescent="0.25">
      <c r="A90" s="5"/>
      <c r="B90" s="5"/>
      <c r="C90" s="5"/>
      <c r="D90" s="108">
        <v>4000</v>
      </c>
      <c r="E90" s="109"/>
      <c r="F90" s="5" t="s">
        <v>78</v>
      </c>
      <c r="G90" s="5"/>
      <c r="H90" s="5"/>
      <c r="I90" s="5"/>
      <c r="J90" s="88" t="s">
        <v>293</v>
      </c>
      <c r="K90" s="44"/>
      <c r="L90" s="5"/>
    </row>
    <row r="91" spans="1:1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s="49" customFormat="1" x14ac:dyDescent="0.25"/>
    <row r="95" spans="1:12" x14ac:dyDescent="0.25">
      <c r="A95" s="120" t="s">
        <v>24</v>
      </c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</row>
    <row r="96" spans="1:12" x14ac:dyDescent="0.25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</row>
    <row r="97" spans="1:12" x14ac:dyDescent="0.25">
      <c r="A97" s="1" t="s">
        <v>4</v>
      </c>
      <c r="B97" s="2"/>
      <c r="C97" s="90"/>
      <c r="D97" s="2"/>
      <c r="E97" s="2"/>
      <c r="F97" s="2"/>
      <c r="G97" s="3" t="s">
        <v>5</v>
      </c>
      <c r="H97" s="3" t="s">
        <v>6</v>
      </c>
      <c r="I97" s="4" t="s">
        <v>7</v>
      </c>
      <c r="J97" s="5"/>
      <c r="K97" s="5"/>
      <c r="L97" s="5"/>
    </row>
    <row r="98" spans="1:12" x14ac:dyDescent="0.25">
      <c r="A98" s="91" t="s">
        <v>296</v>
      </c>
      <c r="B98" s="92" t="s">
        <v>42</v>
      </c>
      <c r="C98" s="64"/>
      <c r="D98" s="66"/>
      <c r="E98" s="2"/>
      <c r="F98" s="2"/>
      <c r="G98" s="91" t="s">
        <v>299</v>
      </c>
      <c r="H98" s="66"/>
      <c r="I98" s="33"/>
      <c r="J98" s="6"/>
      <c r="K98" s="33"/>
      <c r="L98" s="6"/>
    </row>
    <row r="99" spans="1:12" x14ac:dyDescent="0.25">
      <c r="A99" s="7" t="s">
        <v>2</v>
      </c>
      <c r="B99" s="5"/>
      <c r="C99" s="5"/>
      <c r="D99" s="5"/>
      <c r="E99" s="5"/>
      <c r="F99" s="5"/>
      <c r="G99" s="8" t="s">
        <v>8</v>
      </c>
      <c r="H99" s="93">
        <v>3</v>
      </c>
      <c r="I99" s="5"/>
      <c r="J99" s="5"/>
      <c r="K99" s="5"/>
      <c r="L99" s="5"/>
    </row>
    <row r="100" spans="1:12" x14ac:dyDescent="0.25">
      <c r="A100" s="7" t="s">
        <v>25</v>
      </c>
      <c r="B100" s="5"/>
      <c r="C100" s="7" t="s">
        <v>0</v>
      </c>
      <c r="D100" s="5"/>
      <c r="E100" s="5"/>
      <c r="F100" s="5"/>
      <c r="G100" s="7" t="s">
        <v>25</v>
      </c>
      <c r="H100" s="5"/>
      <c r="I100" s="7" t="s">
        <v>0</v>
      </c>
      <c r="J100" s="5"/>
      <c r="K100" s="5"/>
      <c r="L100" s="5"/>
    </row>
    <row r="101" spans="1:12" x14ac:dyDescent="0.25">
      <c r="A101" s="42">
        <v>45298</v>
      </c>
      <c r="B101" s="6"/>
      <c r="C101" s="31">
        <f>L60</f>
        <v>827252</v>
      </c>
      <c r="D101" s="5"/>
      <c r="E101" s="5"/>
      <c r="F101" s="5"/>
      <c r="G101" s="42">
        <v>45358</v>
      </c>
      <c r="H101" s="6"/>
      <c r="I101" s="9"/>
      <c r="J101" s="5"/>
      <c r="K101" s="5"/>
      <c r="L101" s="5"/>
    </row>
    <row r="102" spans="1:12" ht="16.5" thickBot="1" x14ac:dyDescent="0.3">
      <c r="A102" s="7"/>
      <c r="B102" s="62"/>
      <c r="C102" s="62"/>
      <c r="D102" s="62"/>
      <c r="E102" s="5"/>
      <c r="F102" s="5"/>
      <c r="G102" s="10"/>
      <c r="H102" s="5"/>
      <c r="I102" s="5"/>
      <c r="J102" s="5"/>
      <c r="K102" s="5"/>
      <c r="L102" s="5"/>
    </row>
    <row r="103" spans="1:12" ht="15.75" thickBot="1" x14ac:dyDescent="0.3">
      <c r="A103" s="121" t="s">
        <v>9</v>
      </c>
      <c r="B103" s="122"/>
      <c r="C103" s="123"/>
      <c r="D103" s="5"/>
      <c r="E103" s="5"/>
      <c r="F103" s="5"/>
      <c r="G103" s="121" t="s">
        <v>26</v>
      </c>
      <c r="H103" s="122"/>
      <c r="I103" s="123"/>
      <c r="J103" s="5"/>
      <c r="K103" s="5"/>
      <c r="L103" s="5"/>
    </row>
    <row r="104" spans="1:12" x14ac:dyDescent="0.25">
      <c r="A104" s="30" t="s">
        <v>38</v>
      </c>
      <c r="B104" s="11"/>
      <c r="C104" s="11"/>
      <c r="D104" s="11"/>
      <c r="E104" s="6"/>
      <c r="F104" s="5"/>
      <c r="G104" s="30"/>
      <c r="H104" s="11"/>
      <c r="I104" s="11"/>
      <c r="J104" s="11"/>
      <c r="K104" s="11"/>
      <c r="L104" s="6"/>
    </row>
    <row r="105" spans="1:12" ht="15.75" thickBot="1" x14ac:dyDescent="0.3">
      <c r="A105" s="7"/>
      <c r="B105" s="7"/>
      <c r="C105" s="7"/>
      <c r="D105" s="5"/>
      <c r="E105" s="5"/>
      <c r="F105" s="5"/>
      <c r="G105" s="7" t="str">
        <f>A107</f>
        <v>Johannesburg</v>
      </c>
      <c r="H105" s="7"/>
      <c r="I105" s="7"/>
      <c r="J105" s="5"/>
      <c r="K105" s="5"/>
      <c r="L105" s="5"/>
    </row>
    <row r="106" spans="1:12" ht="15.75" thickBot="1" x14ac:dyDescent="0.3">
      <c r="A106" s="121"/>
      <c r="B106" s="122"/>
      <c r="C106" s="124"/>
      <c r="D106" s="12" t="s">
        <v>1</v>
      </c>
      <c r="E106" s="32"/>
      <c r="F106" s="5"/>
      <c r="G106" s="121" t="s">
        <v>27</v>
      </c>
      <c r="H106" s="122"/>
      <c r="I106" s="123"/>
      <c r="J106" s="5"/>
      <c r="K106" s="12" t="s">
        <v>1</v>
      </c>
      <c r="L106" s="32">
        <v>830269</v>
      </c>
    </row>
    <row r="107" spans="1:12" x14ac:dyDescent="0.25">
      <c r="A107" s="30" t="s">
        <v>68</v>
      </c>
      <c r="B107" s="11"/>
      <c r="C107" s="11"/>
      <c r="D107" s="11"/>
      <c r="E107" s="6"/>
      <c r="F107" s="5"/>
      <c r="G107" s="30" t="s">
        <v>38</v>
      </c>
      <c r="H107" s="11"/>
      <c r="I107" s="11"/>
      <c r="J107" s="11"/>
      <c r="K107" s="11"/>
      <c r="L107" s="6"/>
    </row>
    <row r="108" spans="1:12" x14ac:dyDescent="0.25">
      <c r="A108" s="76"/>
      <c r="B108" s="11"/>
      <c r="C108" s="11"/>
      <c r="D108" s="11"/>
      <c r="E108" s="6"/>
      <c r="F108" s="5"/>
      <c r="G108" s="34"/>
      <c r="H108" s="11"/>
      <c r="I108" s="11"/>
      <c r="J108" s="11"/>
      <c r="K108" s="11"/>
      <c r="L108" s="6"/>
    </row>
    <row r="109" spans="1:12" x14ac:dyDescent="0.25">
      <c r="A109" s="13"/>
      <c r="B109" s="11"/>
      <c r="C109" s="11"/>
      <c r="D109" s="11"/>
      <c r="E109" s="6"/>
      <c r="F109" s="5"/>
      <c r="G109" s="13"/>
      <c r="H109" s="11"/>
      <c r="I109" s="11"/>
      <c r="J109" s="11"/>
      <c r="K109" s="11"/>
      <c r="L109" s="6"/>
    </row>
    <row r="110" spans="1:12" x14ac:dyDescent="0.25">
      <c r="A110" s="13"/>
      <c r="B110" s="11"/>
      <c r="C110" s="11"/>
      <c r="D110" s="11"/>
      <c r="E110" s="6"/>
      <c r="F110" s="5"/>
      <c r="G110" s="13"/>
      <c r="H110" s="11"/>
      <c r="I110" s="11"/>
      <c r="J110" s="11"/>
      <c r="K110" s="11"/>
      <c r="L110" s="6"/>
    </row>
    <row r="111" spans="1:12" ht="15.75" thickBot="1" x14ac:dyDescent="0.3">
      <c r="A111" s="13"/>
      <c r="B111" s="11"/>
      <c r="C111" s="11" t="s">
        <v>29</v>
      </c>
      <c r="D111" s="43"/>
      <c r="E111" s="6"/>
      <c r="F111" s="5"/>
      <c r="G111" s="13"/>
      <c r="H111" s="11"/>
      <c r="I111" s="14" t="s">
        <v>28</v>
      </c>
      <c r="J111" s="43"/>
      <c r="K111" s="59"/>
      <c r="L111" s="6"/>
    </row>
    <row r="112" spans="1:12" ht="15.75" thickBot="1" x14ac:dyDescent="0.3">
      <c r="A112" s="15" t="s">
        <v>10</v>
      </c>
      <c r="B112" s="5"/>
      <c r="C112" s="5"/>
      <c r="D112" s="5"/>
      <c r="E112" s="5"/>
      <c r="F112" s="5"/>
      <c r="G112" s="15" t="s">
        <v>14</v>
      </c>
      <c r="H112" s="5"/>
      <c r="I112" s="5"/>
      <c r="J112" s="5"/>
      <c r="K112" s="5"/>
      <c r="L112" s="5"/>
    </row>
    <row r="113" spans="1:12" ht="15.75" thickBot="1" x14ac:dyDescent="0.3">
      <c r="A113" s="121" t="s">
        <v>11</v>
      </c>
      <c r="B113" s="122"/>
      <c r="C113" s="123"/>
      <c r="D113" s="16" t="s">
        <v>12</v>
      </c>
      <c r="E113" s="16" t="s">
        <v>13</v>
      </c>
      <c r="F113" s="5"/>
      <c r="G113" s="121" t="s">
        <v>15</v>
      </c>
      <c r="H113" s="122"/>
      <c r="I113" s="123"/>
      <c r="J113" s="121"/>
      <c r="K113" s="123"/>
      <c r="L113" s="5"/>
    </row>
    <row r="114" spans="1:12" x14ac:dyDescent="0.25">
      <c r="A114" s="45">
        <v>45358</v>
      </c>
      <c r="B114" s="46" t="s">
        <v>67</v>
      </c>
      <c r="C114" s="47"/>
      <c r="D114" s="56">
        <v>699.77</v>
      </c>
      <c r="E114" s="57">
        <v>16752.490000000002</v>
      </c>
      <c r="F114" s="44">
        <f>E114/D114</f>
        <v>23.939994569644316</v>
      </c>
      <c r="G114" s="125" t="s">
        <v>69</v>
      </c>
      <c r="H114" s="126"/>
      <c r="I114" s="127"/>
      <c r="J114" s="128">
        <f>345+345</f>
        <v>690</v>
      </c>
      <c r="K114" s="129"/>
      <c r="L114" s="5"/>
    </row>
    <row r="115" spans="1:12" x14ac:dyDescent="0.25">
      <c r="A115" s="94">
        <v>45542</v>
      </c>
      <c r="B115" s="46" t="s">
        <v>47</v>
      </c>
      <c r="C115" s="47"/>
      <c r="D115" s="56">
        <v>740.2</v>
      </c>
      <c r="E115" s="57">
        <v>16284.4</v>
      </c>
      <c r="F115" s="44">
        <f>E115/D115</f>
        <v>21.999999999999996</v>
      </c>
      <c r="G115" s="110" t="s">
        <v>59</v>
      </c>
      <c r="H115" s="111"/>
      <c r="I115" s="112"/>
      <c r="J115" s="113"/>
      <c r="K115" s="114"/>
      <c r="L115" s="5"/>
    </row>
    <row r="116" spans="1:12" x14ac:dyDescent="0.25">
      <c r="A116" s="45"/>
      <c r="B116" s="46"/>
      <c r="C116" s="47"/>
      <c r="D116" s="56"/>
      <c r="E116" s="57"/>
      <c r="F116" s="44"/>
      <c r="G116" s="110" t="s">
        <v>61</v>
      </c>
      <c r="H116" s="111"/>
      <c r="I116" s="112"/>
      <c r="J116" s="113"/>
      <c r="K116" s="114"/>
      <c r="L116" s="5"/>
    </row>
    <row r="117" spans="1:12" x14ac:dyDescent="0.25">
      <c r="A117" s="45"/>
      <c r="B117" s="46"/>
      <c r="C117" s="47"/>
      <c r="D117" s="56"/>
      <c r="E117" s="57"/>
      <c r="F117" s="44"/>
      <c r="G117" s="110" t="s">
        <v>51</v>
      </c>
      <c r="H117" s="111"/>
      <c r="I117" s="112"/>
      <c r="J117" s="113"/>
      <c r="K117" s="114"/>
      <c r="L117" s="5"/>
    </row>
    <row r="118" spans="1:12" x14ac:dyDescent="0.25">
      <c r="A118" s="48"/>
      <c r="B118" s="46"/>
      <c r="C118" s="39"/>
      <c r="D118" s="52"/>
      <c r="E118" s="53"/>
      <c r="F118" s="44"/>
      <c r="G118" s="110" t="s">
        <v>58</v>
      </c>
      <c r="H118" s="111"/>
      <c r="I118" s="112"/>
      <c r="J118" s="113"/>
      <c r="K118" s="114"/>
      <c r="L118" s="5"/>
    </row>
    <row r="119" spans="1:12" x14ac:dyDescent="0.25">
      <c r="A119" s="48"/>
      <c r="B119" s="35"/>
      <c r="C119" s="39"/>
      <c r="D119" s="52"/>
      <c r="E119" s="53"/>
      <c r="F119" s="44"/>
      <c r="G119" s="110" t="s">
        <v>51</v>
      </c>
      <c r="H119" s="111"/>
      <c r="I119" s="112"/>
      <c r="J119" s="113"/>
      <c r="K119" s="114"/>
      <c r="L119" s="5"/>
    </row>
    <row r="120" spans="1:12" x14ac:dyDescent="0.25">
      <c r="A120" s="48"/>
      <c r="B120" s="35"/>
      <c r="C120" s="39"/>
      <c r="D120" s="52"/>
      <c r="E120" s="53"/>
      <c r="F120" s="44"/>
      <c r="G120" s="77"/>
      <c r="H120" s="78" t="s">
        <v>69</v>
      </c>
      <c r="I120" s="79"/>
      <c r="J120" s="113"/>
      <c r="K120" s="114"/>
      <c r="L120" s="5"/>
    </row>
    <row r="121" spans="1:12" x14ac:dyDescent="0.25">
      <c r="A121" s="38"/>
      <c r="B121" s="35"/>
      <c r="C121" s="39"/>
      <c r="D121" s="52"/>
      <c r="E121" s="53"/>
      <c r="F121" s="44"/>
      <c r="G121" s="77"/>
      <c r="H121" s="78" t="s">
        <v>72</v>
      </c>
      <c r="I121" s="79"/>
      <c r="J121" s="113"/>
      <c r="K121" s="114"/>
      <c r="L121" s="5"/>
    </row>
    <row r="122" spans="1:12" ht="15.75" thickBot="1" x14ac:dyDescent="0.3">
      <c r="A122" s="5"/>
      <c r="B122" s="5"/>
      <c r="C122" s="7" t="s">
        <v>35</v>
      </c>
      <c r="D122" s="17">
        <f>SUM(D114:D121)</f>
        <v>1439.97</v>
      </c>
      <c r="E122" s="17">
        <f>SUM(E114:E121)</f>
        <v>33036.89</v>
      </c>
      <c r="F122" s="89">
        <f>AVERAGE(F114:F118)</f>
        <v>22.969997284822156</v>
      </c>
      <c r="G122" s="110" t="s">
        <v>73</v>
      </c>
      <c r="H122" s="111"/>
      <c r="I122" s="112"/>
      <c r="J122" s="113"/>
      <c r="K122" s="114"/>
      <c r="L122" s="7" t="s">
        <v>36</v>
      </c>
    </row>
    <row r="123" spans="1:12" ht="15.75" thickBot="1" x14ac:dyDescent="0.3">
      <c r="A123" s="5"/>
      <c r="B123" s="5"/>
      <c r="C123" s="5"/>
      <c r="D123" s="5"/>
      <c r="E123" s="5"/>
      <c r="F123" s="5"/>
      <c r="G123" s="130"/>
      <c r="H123" s="131"/>
      <c r="I123" s="132"/>
      <c r="J123" s="133"/>
      <c r="K123" s="134"/>
      <c r="L123" s="18">
        <f>J114+J115+J116+J117+J118+J119+J120+J121+J122</f>
        <v>690</v>
      </c>
    </row>
    <row r="124" spans="1:12" ht="15.75" thickBo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75" thickBot="1" x14ac:dyDescent="0.3">
      <c r="A125" s="19"/>
      <c r="B125" s="20"/>
      <c r="C125" s="20"/>
      <c r="D125" s="20"/>
      <c r="E125" s="21" t="s">
        <v>13</v>
      </c>
      <c r="F125" s="5"/>
      <c r="G125" s="19"/>
      <c r="H125" s="20"/>
      <c r="I125" s="20"/>
      <c r="J125" s="20"/>
      <c r="K125" s="21" t="s">
        <v>13</v>
      </c>
      <c r="L125" s="5"/>
    </row>
    <row r="126" spans="1:12" x14ac:dyDescent="0.25">
      <c r="A126" s="22" t="s">
        <v>31</v>
      </c>
      <c r="B126" s="115">
        <v>18014</v>
      </c>
      <c r="C126" s="116"/>
      <c r="D126" s="116"/>
      <c r="E126" s="117"/>
      <c r="F126" s="5"/>
      <c r="G126" s="22" t="s">
        <v>32</v>
      </c>
      <c r="H126" s="115">
        <v>42762</v>
      </c>
      <c r="I126" s="116"/>
      <c r="J126" s="116"/>
      <c r="K126" s="117"/>
      <c r="L126" s="5"/>
    </row>
    <row r="127" spans="1:1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x14ac:dyDescent="0.25">
      <c r="A128" s="7" t="s">
        <v>16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25">
      <c r="A129" s="9" t="s">
        <v>17</v>
      </c>
      <c r="B129" s="23">
        <f>L106-C101</f>
        <v>3017</v>
      </c>
      <c r="C129" s="5"/>
      <c r="D129" s="106" t="s">
        <v>18</v>
      </c>
      <c r="E129" s="107"/>
      <c r="F129" s="24" t="s">
        <v>19</v>
      </c>
      <c r="G129" s="9" t="s">
        <v>20</v>
      </c>
      <c r="H129" s="118">
        <f>B126+H126</f>
        <v>60776</v>
      </c>
      <c r="I129" s="119"/>
      <c r="J129" s="60"/>
      <c r="K129" s="5"/>
      <c r="L129" s="5"/>
    </row>
    <row r="130" spans="1:12" x14ac:dyDescent="0.25">
      <c r="A130" s="9" t="s">
        <v>41</v>
      </c>
      <c r="B130" s="40">
        <f>B129/D122</f>
        <v>2.0951825385251079</v>
      </c>
      <c r="C130" s="5"/>
      <c r="D130" s="102">
        <f>E122</f>
        <v>33036.89</v>
      </c>
      <c r="E130" s="103"/>
      <c r="F130" s="25">
        <f>H130/B129</f>
        <v>13.436224726549552</v>
      </c>
      <c r="G130" s="9" t="s">
        <v>21</v>
      </c>
      <c r="H130" s="104">
        <f>L123+D130+D132+D134+D136+A133</f>
        <v>40537.089999999997</v>
      </c>
      <c r="I130" s="105"/>
      <c r="J130" s="5"/>
      <c r="K130" s="5"/>
      <c r="L130" s="5"/>
    </row>
    <row r="131" spans="1:12" x14ac:dyDescent="0.25">
      <c r="A131" s="9" t="s">
        <v>43</v>
      </c>
      <c r="B131" s="23">
        <f>D122/B129*100</f>
        <v>47.72853828306264</v>
      </c>
      <c r="C131" s="5"/>
      <c r="D131" s="106" t="s">
        <v>33</v>
      </c>
      <c r="E131" s="107"/>
      <c r="F131" s="5"/>
      <c r="G131" s="13" t="s">
        <v>22</v>
      </c>
      <c r="H131" s="6"/>
      <c r="I131" s="26">
        <f>H129-H130</f>
        <v>20238.910000000003</v>
      </c>
      <c r="J131" s="5"/>
      <c r="K131" s="5"/>
      <c r="L131" s="5"/>
    </row>
    <row r="132" spans="1:12" x14ac:dyDescent="0.25">
      <c r="A132" s="106" t="s">
        <v>40</v>
      </c>
      <c r="B132" s="107"/>
      <c r="C132" s="5"/>
      <c r="D132" s="149">
        <v>1000</v>
      </c>
      <c r="E132" s="150"/>
      <c r="F132" s="5"/>
      <c r="G132" s="5"/>
      <c r="H132" s="5"/>
      <c r="I132" s="5"/>
      <c r="J132" s="5"/>
      <c r="K132" s="5"/>
      <c r="L132" s="5"/>
    </row>
    <row r="133" spans="1:12" x14ac:dyDescent="0.25">
      <c r="A133" s="108">
        <f>B129*0.6</f>
        <v>1810.2</v>
      </c>
      <c r="B133" s="109"/>
      <c r="C133" s="5"/>
      <c r="D133" s="106" t="s">
        <v>34</v>
      </c>
      <c r="E133" s="107"/>
      <c r="F133" s="5"/>
      <c r="G133" s="145" t="s">
        <v>292</v>
      </c>
      <c r="H133" s="146"/>
      <c r="I133" s="23">
        <f>B129/2.3</f>
        <v>1311.7391304347827</v>
      </c>
      <c r="J133" s="60"/>
      <c r="K133" s="5"/>
      <c r="L133" s="5"/>
    </row>
    <row r="134" spans="1:12" x14ac:dyDescent="0.25">
      <c r="A134" s="5"/>
      <c r="B134" s="5"/>
      <c r="C134" s="5"/>
      <c r="D134" s="108">
        <v>0</v>
      </c>
      <c r="E134" s="109"/>
      <c r="F134" s="5"/>
      <c r="G134" s="145" t="s">
        <v>294</v>
      </c>
      <c r="H134" s="146"/>
      <c r="I134" s="23">
        <f>I133-D122</f>
        <v>-128.23086956521729</v>
      </c>
      <c r="J134" s="5"/>
      <c r="K134" s="5"/>
      <c r="L134" s="5"/>
    </row>
    <row r="135" spans="1:12" x14ac:dyDescent="0.25">
      <c r="A135" s="5"/>
      <c r="B135" s="5"/>
      <c r="C135" s="5"/>
      <c r="D135" s="106" t="s">
        <v>37</v>
      </c>
      <c r="E135" s="107"/>
      <c r="F135" s="5"/>
      <c r="G135" s="147" t="s">
        <v>295</v>
      </c>
      <c r="H135" s="148"/>
      <c r="I135" s="86">
        <f>I134*F122</f>
        <v>-2945.4627257434254</v>
      </c>
      <c r="J135" s="87">
        <f>I131-I135</f>
        <v>23184.372725743429</v>
      </c>
      <c r="K135" s="5"/>
      <c r="L135" s="5"/>
    </row>
    <row r="136" spans="1:12" x14ac:dyDescent="0.25">
      <c r="A136" s="5"/>
      <c r="B136" s="5"/>
      <c r="C136" s="5"/>
      <c r="D136" s="108">
        <v>4000</v>
      </c>
      <c r="E136" s="109"/>
      <c r="F136" s="5" t="s">
        <v>78</v>
      </c>
      <c r="G136" s="5"/>
      <c r="H136" s="5"/>
      <c r="I136" s="5"/>
      <c r="J136" s="88" t="s">
        <v>293</v>
      </c>
      <c r="K136" s="44"/>
      <c r="L136" s="5"/>
    </row>
    <row r="137" spans="1:1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s="49" customFormat="1" x14ac:dyDescent="0.25"/>
    <row r="141" spans="1:12" x14ac:dyDescent="0.25">
      <c r="A141" s="120" t="s">
        <v>24</v>
      </c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</row>
    <row r="142" spans="1:12" x14ac:dyDescent="0.25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</row>
    <row r="143" spans="1:12" x14ac:dyDescent="0.25">
      <c r="A143" s="1" t="s">
        <v>4</v>
      </c>
      <c r="B143" s="2"/>
      <c r="C143" s="90"/>
      <c r="D143" s="2"/>
      <c r="E143" s="2"/>
      <c r="F143" s="2"/>
      <c r="G143" s="3" t="s">
        <v>5</v>
      </c>
      <c r="H143" s="3" t="s">
        <v>6</v>
      </c>
      <c r="I143" s="4" t="s">
        <v>7</v>
      </c>
      <c r="J143" s="5"/>
      <c r="K143" s="5"/>
      <c r="L143" s="5"/>
    </row>
    <row r="144" spans="1:12" x14ac:dyDescent="0.25">
      <c r="A144" s="91" t="s">
        <v>296</v>
      </c>
      <c r="B144" s="92" t="s">
        <v>42</v>
      </c>
      <c r="C144" s="64"/>
      <c r="D144" s="66"/>
      <c r="E144" s="2"/>
      <c r="F144" s="2"/>
      <c r="G144" s="91" t="s">
        <v>299</v>
      </c>
      <c r="H144" s="66"/>
      <c r="I144" s="33"/>
      <c r="J144" s="6"/>
      <c r="K144" s="33"/>
      <c r="L144" s="6"/>
    </row>
    <row r="145" spans="1:12" x14ac:dyDescent="0.25">
      <c r="A145" s="7" t="s">
        <v>2</v>
      </c>
      <c r="B145" s="5"/>
      <c r="C145" s="5"/>
      <c r="D145" s="5"/>
      <c r="E145" s="5"/>
      <c r="F145" s="5"/>
      <c r="G145" s="8" t="s">
        <v>8</v>
      </c>
      <c r="H145" s="93">
        <v>3</v>
      </c>
      <c r="I145" s="5"/>
      <c r="J145" s="5"/>
      <c r="K145" s="5"/>
      <c r="L145" s="5"/>
    </row>
    <row r="146" spans="1:12" x14ac:dyDescent="0.25">
      <c r="A146" s="7" t="s">
        <v>25</v>
      </c>
      <c r="B146" s="5"/>
      <c r="C146" s="7" t="s">
        <v>0</v>
      </c>
      <c r="D146" s="5"/>
      <c r="E146" s="5"/>
      <c r="F146" s="5"/>
      <c r="G146" s="7" t="s">
        <v>25</v>
      </c>
      <c r="H146" s="5"/>
      <c r="I146" s="7" t="s">
        <v>0</v>
      </c>
      <c r="J146" s="5"/>
      <c r="K146" s="5"/>
      <c r="L146" s="5"/>
    </row>
    <row r="147" spans="1:12" x14ac:dyDescent="0.25">
      <c r="A147" s="42">
        <v>45542</v>
      </c>
      <c r="B147" s="6"/>
      <c r="C147" s="31">
        <f>L106</f>
        <v>830269</v>
      </c>
      <c r="D147" s="5"/>
      <c r="E147" s="5"/>
      <c r="F147" s="5"/>
      <c r="G147" s="42">
        <v>45603</v>
      </c>
      <c r="H147" s="6"/>
      <c r="I147" s="9"/>
      <c r="J147" s="5"/>
      <c r="K147" s="5"/>
      <c r="L147" s="5"/>
    </row>
    <row r="148" spans="1:12" ht="16.5" thickBot="1" x14ac:dyDescent="0.3">
      <c r="A148" s="7"/>
      <c r="B148" s="62"/>
      <c r="C148" s="62"/>
      <c r="D148" s="62"/>
      <c r="E148" s="5"/>
      <c r="F148" s="5"/>
      <c r="G148" s="10"/>
      <c r="H148" s="5"/>
      <c r="I148" s="5"/>
      <c r="J148" s="5"/>
      <c r="K148" s="5"/>
      <c r="L148" s="5"/>
    </row>
    <row r="149" spans="1:12" ht="15.75" thickBot="1" x14ac:dyDescent="0.3">
      <c r="A149" s="121" t="s">
        <v>9</v>
      </c>
      <c r="B149" s="122"/>
      <c r="C149" s="123"/>
      <c r="D149" s="5"/>
      <c r="E149" s="5"/>
      <c r="F149" s="5"/>
      <c r="G149" s="121" t="s">
        <v>26</v>
      </c>
      <c r="H149" s="122"/>
      <c r="I149" s="123"/>
      <c r="J149" s="5"/>
      <c r="K149" s="5"/>
      <c r="L149" s="5"/>
    </row>
    <row r="150" spans="1:12" x14ac:dyDescent="0.25">
      <c r="A150" s="30" t="s">
        <v>38</v>
      </c>
      <c r="B150" s="11"/>
      <c r="C150" s="11"/>
      <c r="D150" s="11"/>
      <c r="E150" s="6"/>
      <c r="F150" s="5"/>
      <c r="G150" s="30"/>
      <c r="H150" s="11"/>
      <c r="I150" s="11"/>
      <c r="J150" s="11"/>
      <c r="K150" s="11"/>
      <c r="L150" s="6"/>
    </row>
    <row r="151" spans="1:12" ht="15.75" thickBot="1" x14ac:dyDescent="0.3">
      <c r="A151" s="7"/>
      <c r="B151" s="7"/>
      <c r="C151" s="7"/>
      <c r="D151" s="5"/>
      <c r="E151" s="5"/>
      <c r="F151" s="5"/>
      <c r="G151" s="7" t="str">
        <f>A153</f>
        <v>Cape Town</v>
      </c>
      <c r="H151" s="7"/>
      <c r="I151" s="7"/>
      <c r="J151" s="5"/>
      <c r="K151" s="5"/>
      <c r="L151" s="5"/>
    </row>
    <row r="152" spans="1:12" ht="15.75" thickBot="1" x14ac:dyDescent="0.3">
      <c r="A152" s="121"/>
      <c r="B152" s="122"/>
      <c r="C152" s="124"/>
      <c r="D152" s="12" t="s">
        <v>1</v>
      </c>
      <c r="E152" s="32"/>
      <c r="F152" s="5"/>
      <c r="G152" s="121" t="s">
        <v>27</v>
      </c>
      <c r="H152" s="122"/>
      <c r="I152" s="123"/>
      <c r="J152" s="5"/>
      <c r="K152" s="12" t="s">
        <v>1</v>
      </c>
      <c r="L152" s="32">
        <v>833831</v>
      </c>
    </row>
    <row r="153" spans="1:12" x14ac:dyDescent="0.25">
      <c r="A153" s="30" t="s">
        <v>65</v>
      </c>
      <c r="B153" s="11"/>
      <c r="C153" s="11"/>
      <c r="D153" s="11"/>
      <c r="E153" s="6"/>
      <c r="F153" s="5"/>
      <c r="G153" s="30" t="s">
        <v>38</v>
      </c>
      <c r="H153" s="11"/>
      <c r="I153" s="11"/>
      <c r="J153" s="11"/>
      <c r="K153" s="11"/>
      <c r="L153" s="6"/>
    </row>
    <row r="154" spans="1:12" x14ac:dyDescent="0.25">
      <c r="A154" s="76" t="s">
        <v>307</v>
      </c>
      <c r="B154" s="11"/>
      <c r="C154" s="11"/>
      <c r="D154" s="11"/>
      <c r="E154" s="6"/>
      <c r="F154" s="5"/>
      <c r="G154" s="34"/>
      <c r="H154" s="11"/>
      <c r="I154" s="11"/>
      <c r="J154" s="11"/>
      <c r="K154" s="11"/>
      <c r="L154" s="6"/>
    </row>
    <row r="155" spans="1:12" x14ac:dyDescent="0.25">
      <c r="A155" s="13"/>
      <c r="B155" s="11"/>
      <c r="C155" s="11"/>
      <c r="D155" s="11"/>
      <c r="E155" s="6"/>
      <c r="F155" s="5"/>
      <c r="G155" s="13"/>
      <c r="H155" s="11"/>
      <c r="I155" s="11"/>
      <c r="J155" s="11"/>
      <c r="K155" s="11"/>
      <c r="L155" s="6"/>
    </row>
    <row r="156" spans="1:12" x14ac:dyDescent="0.25">
      <c r="A156" s="13"/>
      <c r="B156" s="11"/>
      <c r="C156" s="11"/>
      <c r="D156" s="11"/>
      <c r="E156" s="6"/>
      <c r="F156" s="5"/>
      <c r="G156" s="13"/>
      <c r="H156" s="11"/>
      <c r="I156" s="11"/>
      <c r="J156" s="11"/>
      <c r="K156" s="11"/>
      <c r="L156" s="6"/>
    </row>
    <row r="157" spans="1:12" ht="15.75" thickBot="1" x14ac:dyDescent="0.3">
      <c r="A157" s="13"/>
      <c r="B157" s="11"/>
      <c r="C157" s="11" t="s">
        <v>29</v>
      </c>
      <c r="D157" s="43"/>
      <c r="E157" s="6"/>
      <c r="F157" s="5"/>
      <c r="G157" s="13"/>
      <c r="H157" s="11"/>
      <c r="I157" s="14" t="s">
        <v>28</v>
      </c>
      <c r="J157" s="43"/>
      <c r="K157" s="59"/>
      <c r="L157" s="6"/>
    </row>
    <row r="158" spans="1:12" ht="15.75" thickBot="1" x14ac:dyDescent="0.3">
      <c r="A158" s="15" t="s">
        <v>10</v>
      </c>
      <c r="B158" s="5"/>
      <c r="C158" s="5"/>
      <c r="D158" s="5"/>
      <c r="E158" s="5"/>
      <c r="F158" s="5"/>
      <c r="G158" s="15" t="s">
        <v>14</v>
      </c>
      <c r="H158" s="5"/>
      <c r="I158" s="5"/>
      <c r="J158" s="5"/>
      <c r="K158" s="5"/>
      <c r="L158" s="5"/>
    </row>
    <row r="159" spans="1:12" ht="15.75" thickBot="1" x14ac:dyDescent="0.3">
      <c r="A159" s="121" t="s">
        <v>11</v>
      </c>
      <c r="B159" s="122"/>
      <c r="C159" s="123"/>
      <c r="D159" s="16" t="s">
        <v>12</v>
      </c>
      <c r="E159" s="16" t="s">
        <v>13</v>
      </c>
      <c r="F159" s="5"/>
      <c r="G159" s="121" t="s">
        <v>15</v>
      </c>
      <c r="H159" s="122"/>
      <c r="I159" s="123"/>
      <c r="J159" s="121"/>
      <c r="K159" s="123"/>
      <c r="L159" s="5"/>
    </row>
    <row r="160" spans="1:12" x14ac:dyDescent="0.25">
      <c r="A160" s="45">
        <v>45572</v>
      </c>
      <c r="B160" s="46" t="s">
        <v>66</v>
      </c>
      <c r="C160" s="47"/>
      <c r="D160" s="56">
        <v>300</v>
      </c>
      <c r="E160" s="57">
        <v>6675</v>
      </c>
      <c r="F160" s="44">
        <f>E160/D160</f>
        <v>22.25</v>
      </c>
      <c r="G160" s="125" t="s">
        <v>69</v>
      </c>
      <c r="H160" s="126"/>
      <c r="I160" s="127"/>
      <c r="J160" s="128">
        <v>0</v>
      </c>
      <c r="K160" s="129"/>
      <c r="L160" s="5"/>
    </row>
    <row r="161" spans="1:12" x14ac:dyDescent="0.25">
      <c r="A161" s="94">
        <v>45633</v>
      </c>
      <c r="B161" s="46" t="s">
        <v>305</v>
      </c>
      <c r="C161" s="47"/>
      <c r="D161" s="56">
        <v>200</v>
      </c>
      <c r="E161" s="57">
        <v>4556</v>
      </c>
      <c r="F161" s="44">
        <f>E161/D161</f>
        <v>22.78</v>
      </c>
      <c r="G161" s="110" t="s">
        <v>59</v>
      </c>
      <c r="H161" s="111"/>
      <c r="I161" s="112"/>
      <c r="J161" s="113"/>
      <c r="K161" s="114"/>
      <c r="L161" s="5"/>
    </row>
    <row r="162" spans="1:12" x14ac:dyDescent="0.25">
      <c r="A162" s="45">
        <v>45633</v>
      </c>
      <c r="B162" s="46" t="s">
        <v>66</v>
      </c>
      <c r="C162" s="47"/>
      <c r="D162" s="56">
        <v>613.73</v>
      </c>
      <c r="E162" s="57">
        <v>13655.5</v>
      </c>
      <c r="F162" s="44">
        <f>E162/D162</f>
        <v>22.250012220357487</v>
      </c>
      <c r="G162" s="110" t="s">
        <v>61</v>
      </c>
      <c r="H162" s="111"/>
      <c r="I162" s="112"/>
      <c r="J162" s="113"/>
      <c r="K162" s="114"/>
      <c r="L162" s="5"/>
    </row>
    <row r="163" spans="1:12" x14ac:dyDescent="0.25">
      <c r="A163" s="45" t="s">
        <v>306</v>
      </c>
      <c r="B163" s="46" t="s">
        <v>47</v>
      </c>
      <c r="C163" s="47"/>
      <c r="D163" s="56">
        <f>454.5+139.3</f>
        <v>593.79999999999995</v>
      </c>
      <c r="E163" s="57">
        <v>13063.5</v>
      </c>
      <c r="F163" s="44">
        <f>E163/D163</f>
        <v>21.999831593129002</v>
      </c>
      <c r="G163" s="110" t="s">
        <v>51</v>
      </c>
      <c r="H163" s="111"/>
      <c r="I163" s="112"/>
      <c r="J163" s="113"/>
      <c r="K163" s="114"/>
      <c r="L163" s="5"/>
    </row>
    <row r="164" spans="1:12" x14ac:dyDescent="0.25">
      <c r="A164" s="48"/>
      <c r="B164" s="46"/>
      <c r="C164" s="39"/>
      <c r="D164" s="52"/>
      <c r="E164" s="53"/>
      <c r="F164" s="44"/>
      <c r="G164" s="110" t="s">
        <v>58</v>
      </c>
      <c r="H164" s="111"/>
      <c r="I164" s="112"/>
      <c r="J164" s="113"/>
      <c r="K164" s="114"/>
      <c r="L164" s="5"/>
    </row>
    <row r="165" spans="1:12" x14ac:dyDescent="0.25">
      <c r="A165" s="48"/>
      <c r="B165" s="35"/>
      <c r="C165" s="39"/>
      <c r="D165" s="52"/>
      <c r="E165" s="53"/>
      <c r="F165" s="44"/>
      <c r="G165" s="110" t="s">
        <v>51</v>
      </c>
      <c r="H165" s="111"/>
      <c r="I165" s="112"/>
      <c r="J165" s="113"/>
      <c r="K165" s="114"/>
      <c r="L165" s="5"/>
    </row>
    <row r="166" spans="1:12" x14ac:dyDescent="0.25">
      <c r="A166" s="48"/>
      <c r="B166" s="35"/>
      <c r="C166" s="39"/>
      <c r="D166" s="52"/>
      <c r="E166" s="53"/>
      <c r="F166" s="44"/>
      <c r="G166" s="77"/>
      <c r="H166" s="78" t="s">
        <v>69</v>
      </c>
      <c r="I166" s="79"/>
      <c r="J166" s="113"/>
      <c r="K166" s="114"/>
      <c r="L166" s="5"/>
    </row>
    <row r="167" spans="1:12" x14ac:dyDescent="0.25">
      <c r="A167" s="38"/>
      <c r="B167" s="35"/>
      <c r="C167" s="39"/>
      <c r="D167" s="52"/>
      <c r="E167" s="53"/>
      <c r="F167" s="44"/>
      <c r="G167" s="77"/>
      <c r="H167" s="78" t="s">
        <v>72</v>
      </c>
      <c r="I167" s="79"/>
      <c r="J167" s="113"/>
      <c r="K167" s="114"/>
      <c r="L167" s="5"/>
    </row>
    <row r="168" spans="1:12" ht="15.75" thickBot="1" x14ac:dyDescent="0.3">
      <c r="A168" s="5"/>
      <c r="B168" s="5"/>
      <c r="C168" s="7" t="s">
        <v>35</v>
      </c>
      <c r="D168" s="17">
        <f>SUM(D160:D167)</f>
        <v>1707.53</v>
      </c>
      <c r="E168" s="17">
        <f>SUM(E160:E167)</f>
        <v>37950</v>
      </c>
      <c r="F168" s="89">
        <f>AVERAGE(F160:F164)</f>
        <v>22.319960953371623</v>
      </c>
      <c r="G168" s="110" t="s">
        <v>73</v>
      </c>
      <c r="H168" s="111"/>
      <c r="I168" s="112"/>
      <c r="J168" s="113"/>
      <c r="K168" s="114"/>
      <c r="L168" s="7" t="s">
        <v>36</v>
      </c>
    </row>
    <row r="169" spans="1:12" ht="15.75" thickBot="1" x14ac:dyDescent="0.3">
      <c r="A169" s="5"/>
      <c r="B169" s="5"/>
      <c r="C169" s="5"/>
      <c r="D169" s="5"/>
      <c r="E169" s="5"/>
      <c r="F169" s="5"/>
      <c r="G169" s="130"/>
      <c r="H169" s="131"/>
      <c r="I169" s="132"/>
      <c r="J169" s="133"/>
      <c r="K169" s="134"/>
      <c r="L169" s="18">
        <f>J160+J161+J162+J163+J164+J165+J166+J167+J168</f>
        <v>0</v>
      </c>
    </row>
    <row r="170" spans="1:12" ht="15.75" thickBo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75" thickBot="1" x14ac:dyDescent="0.3">
      <c r="A171" s="19"/>
      <c r="B171" s="20"/>
      <c r="C171" s="20"/>
      <c r="D171" s="20"/>
      <c r="E171" s="21" t="s">
        <v>13</v>
      </c>
      <c r="F171" s="5"/>
      <c r="G171" s="19"/>
      <c r="H171" s="20"/>
      <c r="I171" s="20"/>
      <c r="J171" s="20"/>
      <c r="K171" s="21" t="s">
        <v>13</v>
      </c>
      <c r="L171" s="5"/>
    </row>
    <row r="172" spans="1:12" x14ac:dyDescent="0.25">
      <c r="A172" s="22" t="s">
        <v>31</v>
      </c>
      <c r="B172" s="115">
        <v>18733</v>
      </c>
      <c r="C172" s="116"/>
      <c r="D172" s="116"/>
      <c r="E172" s="117"/>
      <c r="F172" s="5"/>
      <c r="G172" s="22" t="s">
        <v>32</v>
      </c>
      <c r="H172" s="115">
        <v>42762</v>
      </c>
      <c r="I172" s="116"/>
      <c r="J172" s="116"/>
      <c r="K172" s="117"/>
      <c r="L172" s="95"/>
    </row>
    <row r="173" spans="1:1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x14ac:dyDescent="0.25">
      <c r="A174" s="7" t="s">
        <v>16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x14ac:dyDescent="0.25">
      <c r="A175" s="9" t="s">
        <v>17</v>
      </c>
      <c r="B175" s="23">
        <f>L152-C147</f>
        <v>3562</v>
      </c>
      <c r="C175" s="5"/>
      <c r="D175" s="106" t="s">
        <v>18</v>
      </c>
      <c r="E175" s="107"/>
      <c r="F175" s="24" t="s">
        <v>19</v>
      </c>
      <c r="G175" s="9" t="s">
        <v>20</v>
      </c>
      <c r="H175" s="118">
        <f>B172+H172</f>
        <v>61495</v>
      </c>
      <c r="I175" s="119"/>
      <c r="J175" s="60"/>
      <c r="K175" s="5"/>
      <c r="L175" s="5"/>
    </row>
    <row r="176" spans="1:12" x14ac:dyDescent="0.25">
      <c r="A176" s="9" t="s">
        <v>41</v>
      </c>
      <c r="B176" s="40">
        <f>B175/D168</f>
        <v>2.0860541249641296</v>
      </c>
      <c r="C176" s="5"/>
      <c r="D176" s="102">
        <f>E168</f>
        <v>37950</v>
      </c>
      <c r="E176" s="103"/>
      <c r="F176" s="25">
        <f>H176/B175</f>
        <v>11.534868051656373</v>
      </c>
      <c r="G176" s="9" t="s">
        <v>21</v>
      </c>
      <c r="H176" s="104">
        <f>L169+D176+D178+D180+D182+A179</f>
        <v>41087.199999999997</v>
      </c>
      <c r="I176" s="105"/>
      <c r="J176" s="5"/>
      <c r="K176" s="5"/>
      <c r="L176" s="5"/>
    </row>
    <row r="177" spans="1:12" x14ac:dyDescent="0.25">
      <c r="A177" s="9" t="s">
        <v>43</v>
      </c>
      <c r="B177" s="23">
        <f>D168/B175*100</f>
        <v>47.937394722066259</v>
      </c>
      <c r="C177" s="5"/>
      <c r="D177" s="106" t="s">
        <v>33</v>
      </c>
      <c r="E177" s="107"/>
      <c r="F177" s="5"/>
      <c r="G177" s="13" t="s">
        <v>22</v>
      </c>
      <c r="H177" s="6"/>
      <c r="I177" s="26">
        <f>H175-H176</f>
        <v>20407.800000000003</v>
      </c>
      <c r="J177" s="5"/>
      <c r="K177" s="5"/>
      <c r="L177" s="5"/>
    </row>
    <row r="178" spans="1:12" x14ac:dyDescent="0.25">
      <c r="A178" s="106" t="s">
        <v>40</v>
      </c>
      <c r="B178" s="107"/>
      <c r="C178" s="5"/>
      <c r="D178" s="149">
        <v>1000</v>
      </c>
      <c r="E178" s="150"/>
      <c r="F178" s="5"/>
      <c r="G178" s="5"/>
      <c r="H178" s="5"/>
      <c r="I178" s="5"/>
      <c r="J178" s="5"/>
      <c r="K178" s="5"/>
      <c r="L178" s="5"/>
    </row>
    <row r="179" spans="1:12" x14ac:dyDescent="0.25">
      <c r="A179" s="108">
        <f>B175*0.6</f>
        <v>2137.1999999999998</v>
      </c>
      <c r="B179" s="109"/>
      <c r="C179" s="5"/>
      <c r="D179" s="106" t="s">
        <v>34</v>
      </c>
      <c r="E179" s="107"/>
      <c r="F179" s="5"/>
      <c r="G179" s="145" t="s">
        <v>292</v>
      </c>
      <c r="H179" s="146"/>
      <c r="I179" s="23">
        <f>B175/2.3</f>
        <v>1548.6956521739132</v>
      </c>
      <c r="J179" s="60"/>
      <c r="K179" s="5"/>
      <c r="L179" s="5"/>
    </row>
    <row r="180" spans="1:12" x14ac:dyDescent="0.25">
      <c r="A180" s="5"/>
      <c r="B180" s="5"/>
      <c r="C180" s="5"/>
      <c r="D180" s="108">
        <v>0</v>
      </c>
      <c r="E180" s="109"/>
      <c r="F180" s="5"/>
      <c r="G180" s="145" t="s">
        <v>294</v>
      </c>
      <c r="H180" s="146"/>
      <c r="I180" s="23">
        <f>I179-D168</f>
        <v>-158.83434782608674</v>
      </c>
      <c r="J180" s="5"/>
      <c r="K180" s="5"/>
      <c r="L180" s="5"/>
    </row>
    <row r="181" spans="1:12" x14ac:dyDescent="0.25">
      <c r="A181" s="5"/>
      <c r="B181" s="5"/>
      <c r="C181" s="5"/>
      <c r="D181" s="106" t="s">
        <v>37</v>
      </c>
      <c r="E181" s="107"/>
      <c r="F181" s="5"/>
      <c r="G181" s="147" t="s">
        <v>295</v>
      </c>
      <c r="H181" s="148"/>
      <c r="I181" s="86">
        <f>I180*F168</f>
        <v>-3545.1764415325028</v>
      </c>
      <c r="J181" s="87">
        <f>I177-I181</f>
        <v>23952.976441532504</v>
      </c>
      <c r="K181" s="5"/>
      <c r="L181" s="5"/>
    </row>
    <row r="182" spans="1:12" x14ac:dyDescent="0.25">
      <c r="A182" s="5"/>
      <c r="B182" s="5"/>
      <c r="C182" s="5"/>
      <c r="D182" s="108">
        <v>0</v>
      </c>
      <c r="E182" s="109"/>
      <c r="F182" s="5" t="s">
        <v>78</v>
      </c>
      <c r="G182" s="5"/>
      <c r="H182" s="5"/>
      <c r="I182" s="5"/>
      <c r="J182" s="88" t="s">
        <v>293</v>
      </c>
      <c r="K182" s="44"/>
      <c r="L182" s="5"/>
    </row>
    <row r="183" spans="1:1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s="49" customFormat="1" x14ac:dyDescent="0.25"/>
    <row r="187" spans="1:12" x14ac:dyDescent="0.25">
      <c r="A187" s="120" t="s">
        <v>24</v>
      </c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</row>
    <row r="188" spans="1:12" x14ac:dyDescent="0.25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</row>
    <row r="189" spans="1:12" x14ac:dyDescent="0.25">
      <c r="A189" s="1" t="s">
        <v>4</v>
      </c>
      <c r="B189" s="2"/>
      <c r="C189" s="90"/>
      <c r="D189" s="2"/>
      <c r="E189" s="2"/>
      <c r="F189" s="2"/>
      <c r="G189" s="3" t="s">
        <v>5</v>
      </c>
      <c r="H189" s="3" t="s">
        <v>6</v>
      </c>
      <c r="I189" s="4" t="s">
        <v>7</v>
      </c>
      <c r="J189" s="5"/>
      <c r="K189" s="5"/>
      <c r="L189" s="5"/>
    </row>
    <row r="190" spans="1:12" x14ac:dyDescent="0.25">
      <c r="A190" s="91" t="s">
        <v>296</v>
      </c>
      <c r="B190" s="92" t="s">
        <v>42</v>
      </c>
      <c r="C190" s="64"/>
      <c r="D190" s="66"/>
      <c r="E190" s="2"/>
      <c r="F190" s="2"/>
      <c r="G190" s="91" t="s">
        <v>299</v>
      </c>
      <c r="H190" s="66"/>
      <c r="I190" s="33"/>
      <c r="J190" s="6"/>
      <c r="K190" s="33"/>
      <c r="L190" s="6"/>
    </row>
    <row r="191" spans="1:12" x14ac:dyDescent="0.25">
      <c r="A191" s="7" t="s">
        <v>2</v>
      </c>
      <c r="B191" s="5"/>
      <c r="C191" s="5"/>
      <c r="D191" s="5"/>
      <c r="E191" s="5"/>
      <c r="F191" s="5"/>
      <c r="G191" s="8" t="s">
        <v>8</v>
      </c>
      <c r="H191" s="93">
        <v>3</v>
      </c>
      <c r="I191" s="5"/>
      <c r="J191" s="5"/>
      <c r="K191" s="5"/>
      <c r="L191" s="5"/>
    </row>
    <row r="192" spans="1:12" x14ac:dyDescent="0.25">
      <c r="A192" s="7" t="s">
        <v>25</v>
      </c>
      <c r="B192" s="5"/>
      <c r="C192" s="7" t="s">
        <v>0</v>
      </c>
      <c r="D192" s="5"/>
      <c r="E192" s="5"/>
      <c r="F192" s="5"/>
      <c r="G192" s="7" t="s">
        <v>25</v>
      </c>
      <c r="H192" s="5"/>
      <c r="I192" s="7" t="s">
        <v>0</v>
      </c>
      <c r="J192" s="5"/>
      <c r="K192" s="5"/>
      <c r="L192" s="5"/>
    </row>
    <row r="193" spans="1:12" x14ac:dyDescent="0.25">
      <c r="A193" s="42" t="s">
        <v>306</v>
      </c>
      <c r="B193" s="6"/>
      <c r="C193" s="31">
        <f>L152</f>
        <v>833831</v>
      </c>
      <c r="D193" s="5"/>
      <c r="E193" s="5"/>
      <c r="F193" s="5"/>
      <c r="G193" s="42" t="s">
        <v>308</v>
      </c>
      <c r="H193" s="6"/>
      <c r="I193" s="9"/>
      <c r="J193" s="5"/>
      <c r="K193" s="5"/>
      <c r="L193" s="5"/>
    </row>
    <row r="194" spans="1:12" ht="16.5" thickBot="1" x14ac:dyDescent="0.3">
      <c r="A194" s="7"/>
      <c r="B194" s="62"/>
      <c r="C194" s="62"/>
      <c r="D194" s="62"/>
      <c r="E194" s="5"/>
      <c r="F194" s="5"/>
      <c r="G194" s="10"/>
      <c r="H194" s="5"/>
      <c r="I194" s="5"/>
      <c r="J194" s="5"/>
      <c r="K194" s="5"/>
      <c r="L194" s="5"/>
    </row>
    <row r="195" spans="1:12" ht="15.75" thickBot="1" x14ac:dyDescent="0.3">
      <c r="A195" s="121" t="s">
        <v>9</v>
      </c>
      <c r="B195" s="122"/>
      <c r="C195" s="123"/>
      <c r="D195" s="5"/>
      <c r="E195" s="5"/>
      <c r="F195" s="5"/>
      <c r="G195" s="121" t="s">
        <v>26</v>
      </c>
      <c r="H195" s="122"/>
      <c r="I195" s="123"/>
      <c r="J195" s="5"/>
      <c r="K195" s="5"/>
      <c r="L195" s="5"/>
    </row>
    <row r="196" spans="1:12" x14ac:dyDescent="0.25">
      <c r="A196" s="30" t="s">
        <v>38</v>
      </c>
      <c r="B196" s="11"/>
      <c r="C196" s="11"/>
      <c r="D196" s="11"/>
      <c r="E196" s="6"/>
      <c r="F196" s="5"/>
      <c r="G196" s="30"/>
      <c r="H196" s="11"/>
      <c r="I196" s="11"/>
      <c r="J196" s="11"/>
      <c r="K196" s="11"/>
      <c r="L196" s="6"/>
    </row>
    <row r="197" spans="1:12" ht="15.75" thickBot="1" x14ac:dyDescent="0.3">
      <c r="A197" s="7"/>
      <c r="B197" s="7"/>
      <c r="C197" s="7"/>
      <c r="D197" s="5"/>
      <c r="E197" s="5"/>
      <c r="F197" s="5"/>
      <c r="G197" s="7" t="str">
        <f>A199</f>
        <v>Cape Town</v>
      </c>
      <c r="H197" s="7"/>
      <c r="I197" s="7"/>
      <c r="J197" s="5"/>
      <c r="K197" s="5"/>
      <c r="L197" s="5"/>
    </row>
    <row r="198" spans="1:12" ht="15.75" thickBot="1" x14ac:dyDescent="0.3">
      <c r="A198" s="121"/>
      <c r="B198" s="122"/>
      <c r="C198" s="124"/>
      <c r="D198" s="12" t="s">
        <v>1</v>
      </c>
      <c r="E198" s="32"/>
      <c r="F198" s="5"/>
      <c r="G198" s="121" t="s">
        <v>27</v>
      </c>
      <c r="H198" s="122"/>
      <c r="I198" s="123"/>
      <c r="J198" s="5"/>
      <c r="K198" s="12" t="s">
        <v>1</v>
      </c>
      <c r="L198" s="32">
        <v>836879</v>
      </c>
    </row>
    <row r="199" spans="1:12" x14ac:dyDescent="0.25">
      <c r="A199" s="30" t="s">
        <v>65</v>
      </c>
      <c r="B199" s="11"/>
      <c r="C199" s="11"/>
      <c r="D199" s="11"/>
      <c r="E199" s="6"/>
      <c r="F199" s="5"/>
      <c r="G199" s="30" t="s">
        <v>38</v>
      </c>
      <c r="H199" s="11"/>
      <c r="I199" s="11"/>
      <c r="J199" s="11"/>
      <c r="K199" s="11"/>
      <c r="L199" s="6"/>
    </row>
    <row r="200" spans="1:12" x14ac:dyDescent="0.25">
      <c r="A200" s="76"/>
      <c r="B200" s="11"/>
      <c r="C200" s="11"/>
      <c r="D200" s="11"/>
      <c r="E200" s="6"/>
      <c r="F200" s="5"/>
      <c r="G200" s="34"/>
      <c r="H200" s="11"/>
      <c r="I200" s="11"/>
      <c r="J200" s="11"/>
      <c r="K200" s="11"/>
      <c r="L200" s="6"/>
    </row>
    <row r="201" spans="1:12" x14ac:dyDescent="0.25">
      <c r="A201" s="13"/>
      <c r="B201" s="11"/>
      <c r="C201" s="11"/>
      <c r="D201" s="11"/>
      <c r="E201" s="6"/>
      <c r="F201" s="5"/>
      <c r="G201" s="13"/>
      <c r="H201" s="11"/>
      <c r="I201" s="11"/>
      <c r="J201" s="11"/>
      <c r="K201" s="11"/>
      <c r="L201" s="6"/>
    </row>
    <row r="202" spans="1:12" x14ac:dyDescent="0.25">
      <c r="A202" s="13"/>
      <c r="B202" s="11"/>
      <c r="C202" s="11"/>
      <c r="D202" s="11"/>
      <c r="E202" s="6"/>
      <c r="F202" s="5"/>
      <c r="G202" s="13"/>
      <c r="H202" s="11"/>
      <c r="I202" s="11"/>
      <c r="J202" s="11"/>
      <c r="K202" s="11"/>
      <c r="L202" s="6"/>
    </row>
    <row r="203" spans="1:12" ht="15.75" thickBot="1" x14ac:dyDescent="0.3">
      <c r="A203" s="13"/>
      <c r="B203" s="11"/>
      <c r="C203" s="11" t="s">
        <v>29</v>
      </c>
      <c r="D203" s="43"/>
      <c r="E203" s="6"/>
      <c r="F203" s="5"/>
      <c r="G203" s="13"/>
      <c r="H203" s="11"/>
      <c r="I203" s="14" t="s">
        <v>28</v>
      </c>
      <c r="J203" s="43"/>
      <c r="K203" s="59"/>
      <c r="L203" s="6"/>
    </row>
    <row r="204" spans="1:12" ht="15.75" thickBot="1" x14ac:dyDescent="0.3">
      <c r="A204" s="15" t="s">
        <v>10</v>
      </c>
      <c r="B204" s="5"/>
      <c r="C204" s="5"/>
      <c r="D204" s="5"/>
      <c r="E204" s="5"/>
      <c r="F204" s="5"/>
      <c r="G204" s="15" t="s">
        <v>14</v>
      </c>
      <c r="H204" s="5"/>
      <c r="I204" s="5"/>
      <c r="J204" s="5"/>
      <c r="K204" s="5"/>
      <c r="L204" s="5"/>
    </row>
    <row r="205" spans="1:12" ht="15.75" thickBot="1" x14ac:dyDescent="0.3">
      <c r="A205" s="121" t="s">
        <v>11</v>
      </c>
      <c r="B205" s="122"/>
      <c r="C205" s="123"/>
      <c r="D205" s="16" t="s">
        <v>12</v>
      </c>
      <c r="E205" s="16" t="s">
        <v>13</v>
      </c>
      <c r="F205" s="5"/>
      <c r="G205" s="121" t="s">
        <v>15</v>
      </c>
      <c r="H205" s="122"/>
      <c r="I205" s="123"/>
      <c r="J205" s="121"/>
      <c r="K205" s="123"/>
      <c r="L205" s="5"/>
    </row>
    <row r="206" spans="1:12" x14ac:dyDescent="0.25">
      <c r="A206" s="45" t="s">
        <v>309</v>
      </c>
      <c r="B206" s="46" t="s">
        <v>66</v>
      </c>
      <c r="C206" s="47"/>
      <c r="D206" s="56">
        <v>274.95</v>
      </c>
      <c r="E206" s="57">
        <v>6117.65</v>
      </c>
      <c r="F206" s="44">
        <f>E206/D206</f>
        <v>22.250045462811421</v>
      </c>
      <c r="G206" s="125" t="s">
        <v>69</v>
      </c>
      <c r="H206" s="126"/>
      <c r="I206" s="127"/>
      <c r="J206" s="128">
        <v>0</v>
      </c>
      <c r="K206" s="129"/>
      <c r="L206" s="5"/>
    </row>
    <row r="207" spans="1:12" x14ac:dyDescent="0.25">
      <c r="A207" s="94" t="s">
        <v>310</v>
      </c>
      <c r="B207" s="46" t="s">
        <v>66</v>
      </c>
      <c r="C207" s="47"/>
      <c r="D207" s="56">
        <v>699.5</v>
      </c>
      <c r="E207" s="57">
        <v>15563.85</v>
      </c>
      <c r="F207" s="44">
        <f>E207/D207</f>
        <v>22.249964260185848</v>
      </c>
      <c r="G207" s="110" t="s">
        <v>59</v>
      </c>
      <c r="H207" s="111"/>
      <c r="I207" s="112"/>
      <c r="J207" s="113"/>
      <c r="K207" s="114"/>
      <c r="L207" s="5"/>
    </row>
    <row r="208" spans="1:12" x14ac:dyDescent="0.25">
      <c r="A208" s="45" t="s">
        <v>311</v>
      </c>
      <c r="B208" s="46" t="s">
        <v>47</v>
      </c>
      <c r="C208" s="47"/>
      <c r="D208" s="56">
        <v>394.56</v>
      </c>
      <c r="E208" s="57">
        <v>8680.32</v>
      </c>
      <c r="F208" s="44">
        <f>E208/D208</f>
        <v>22</v>
      </c>
      <c r="G208" s="110" t="s">
        <v>61</v>
      </c>
      <c r="H208" s="111"/>
      <c r="I208" s="112"/>
      <c r="J208" s="113"/>
      <c r="K208" s="114"/>
      <c r="L208" s="5"/>
    </row>
    <row r="209" spans="1:12" x14ac:dyDescent="0.25">
      <c r="A209" s="45"/>
      <c r="B209" s="46"/>
      <c r="C209" s="47"/>
      <c r="D209" s="56"/>
      <c r="E209" s="57"/>
      <c r="F209" s="44" t="e">
        <f>E209/D209</f>
        <v>#DIV/0!</v>
      </c>
      <c r="G209" s="110" t="s">
        <v>51</v>
      </c>
      <c r="H209" s="111"/>
      <c r="I209" s="112"/>
      <c r="J209" s="113"/>
      <c r="K209" s="114"/>
      <c r="L209" s="5"/>
    </row>
    <row r="210" spans="1:12" x14ac:dyDescent="0.25">
      <c r="A210" s="48"/>
      <c r="B210" s="46"/>
      <c r="C210" s="39"/>
      <c r="D210" s="52"/>
      <c r="E210" s="53"/>
      <c r="F210" s="44"/>
      <c r="G210" s="110" t="s">
        <v>58</v>
      </c>
      <c r="H210" s="111"/>
      <c r="I210" s="112"/>
      <c r="J210" s="113"/>
      <c r="K210" s="114"/>
      <c r="L210" s="5"/>
    </row>
    <row r="211" spans="1:12" x14ac:dyDescent="0.25">
      <c r="A211" s="48"/>
      <c r="B211" s="35"/>
      <c r="C211" s="39"/>
      <c r="D211" s="52"/>
      <c r="E211" s="53"/>
      <c r="F211" s="44"/>
      <c r="G211" s="110" t="s">
        <v>51</v>
      </c>
      <c r="H211" s="111"/>
      <c r="I211" s="112"/>
      <c r="J211" s="113"/>
      <c r="K211" s="114"/>
      <c r="L211" s="5"/>
    </row>
    <row r="212" spans="1:12" x14ac:dyDescent="0.25">
      <c r="A212" s="48"/>
      <c r="B212" s="35"/>
      <c r="C212" s="39"/>
      <c r="D212" s="52"/>
      <c r="E212" s="53"/>
      <c r="F212" s="44"/>
      <c r="G212" s="77"/>
      <c r="H212" s="78" t="s">
        <v>69</v>
      </c>
      <c r="I212" s="79"/>
      <c r="J212" s="113"/>
      <c r="K212" s="114"/>
      <c r="L212" s="5"/>
    </row>
    <row r="213" spans="1:12" x14ac:dyDescent="0.25">
      <c r="A213" s="38"/>
      <c r="B213" s="35"/>
      <c r="C213" s="39"/>
      <c r="D213" s="52"/>
      <c r="E213" s="53"/>
      <c r="F213" s="44"/>
      <c r="G213" s="77"/>
      <c r="H213" s="78" t="s">
        <v>72</v>
      </c>
      <c r="I213" s="79"/>
      <c r="J213" s="113"/>
      <c r="K213" s="114"/>
      <c r="L213" s="5"/>
    </row>
    <row r="214" spans="1:12" ht="15.75" thickBot="1" x14ac:dyDescent="0.3">
      <c r="A214" s="5"/>
      <c r="B214" s="5"/>
      <c r="C214" s="7" t="s">
        <v>35</v>
      </c>
      <c r="D214" s="17">
        <f>SUM(D206:D213)</f>
        <v>1369.01</v>
      </c>
      <c r="E214" s="17">
        <f>SUM(E206:E213)</f>
        <v>30361.82</v>
      </c>
      <c r="F214" s="89" t="e">
        <f>AVERAGE(F206:F210)</f>
        <v>#DIV/0!</v>
      </c>
      <c r="G214" s="110" t="s">
        <v>73</v>
      </c>
      <c r="H214" s="111"/>
      <c r="I214" s="112"/>
      <c r="J214" s="113"/>
      <c r="K214" s="114"/>
      <c r="L214" s="7" t="s">
        <v>36</v>
      </c>
    </row>
    <row r="215" spans="1:12" ht="15.75" thickBot="1" x14ac:dyDescent="0.3">
      <c r="A215" s="5"/>
      <c r="B215" s="5"/>
      <c r="C215" s="5"/>
      <c r="D215" s="5"/>
      <c r="E215" s="5"/>
      <c r="F215" s="5"/>
      <c r="G215" s="130"/>
      <c r="H215" s="131"/>
      <c r="I215" s="132"/>
      <c r="J215" s="133"/>
      <c r="K215" s="134"/>
      <c r="L215" s="18">
        <f>J206+J207+J208+J209+J210+J211+J212+J213+J214</f>
        <v>0</v>
      </c>
    </row>
    <row r="216" spans="1:12" ht="15.75" thickBo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75" thickBot="1" x14ac:dyDescent="0.3">
      <c r="A217" s="19"/>
      <c r="B217" s="20"/>
      <c r="C217" s="20"/>
      <c r="D217" s="20"/>
      <c r="E217" s="21" t="s">
        <v>13</v>
      </c>
      <c r="F217" s="5"/>
      <c r="G217" s="19"/>
      <c r="H217" s="20"/>
      <c r="I217" s="20"/>
      <c r="J217" s="20"/>
      <c r="K217" s="21" t="s">
        <v>13</v>
      </c>
      <c r="L217" s="5"/>
    </row>
    <row r="218" spans="1:12" x14ac:dyDescent="0.25">
      <c r="A218" s="22" t="s">
        <v>31</v>
      </c>
      <c r="B218" s="115">
        <v>18733</v>
      </c>
      <c r="C218" s="116"/>
      <c r="D218" s="116"/>
      <c r="E218" s="117"/>
      <c r="F218" s="5"/>
      <c r="G218" s="22" t="s">
        <v>32</v>
      </c>
      <c r="H218" s="115">
        <v>42762</v>
      </c>
      <c r="I218" s="116"/>
      <c r="J218" s="116"/>
      <c r="K218" s="117"/>
      <c r="L218" s="95"/>
    </row>
    <row r="219" spans="1:1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x14ac:dyDescent="0.25">
      <c r="A220" s="7" t="s">
        <v>16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x14ac:dyDescent="0.25">
      <c r="A221" s="9" t="s">
        <v>17</v>
      </c>
      <c r="B221" s="23">
        <f>L198-C193</f>
        <v>3048</v>
      </c>
      <c r="C221" s="5"/>
      <c r="D221" s="106" t="s">
        <v>18</v>
      </c>
      <c r="E221" s="107"/>
      <c r="F221" s="24" t="s">
        <v>19</v>
      </c>
      <c r="G221" s="9" t="s">
        <v>20</v>
      </c>
      <c r="H221" s="118">
        <f>B218+H218</f>
        <v>61495</v>
      </c>
      <c r="I221" s="119"/>
      <c r="J221" s="60"/>
      <c r="K221" s="5"/>
      <c r="L221" s="5"/>
    </row>
    <row r="222" spans="1:12" x14ac:dyDescent="0.25">
      <c r="A222" s="9" t="s">
        <v>41</v>
      </c>
      <c r="B222" s="40">
        <f>B221/D214</f>
        <v>2.2264263957166128</v>
      </c>
      <c r="C222" s="5"/>
      <c r="D222" s="102">
        <f>E214</f>
        <v>30361.82</v>
      </c>
      <c r="E222" s="103"/>
      <c r="F222" s="25">
        <f>H222/B221</f>
        <v>10.889311023622048</v>
      </c>
      <c r="G222" s="9" t="s">
        <v>21</v>
      </c>
      <c r="H222" s="104">
        <f>L215+D222+D224+D226+D228+A225</f>
        <v>33190.620000000003</v>
      </c>
      <c r="I222" s="105"/>
      <c r="J222" s="5"/>
      <c r="K222" s="5"/>
      <c r="L222" s="5"/>
    </row>
    <row r="223" spans="1:12" x14ac:dyDescent="0.25">
      <c r="A223" s="9" t="s">
        <v>43</v>
      </c>
      <c r="B223" s="23">
        <f>D214/B221*100</f>
        <v>44.915026246719158</v>
      </c>
      <c r="C223" s="5"/>
      <c r="D223" s="106" t="s">
        <v>33</v>
      </c>
      <c r="E223" s="107"/>
      <c r="F223" s="5"/>
      <c r="G223" s="13" t="s">
        <v>22</v>
      </c>
      <c r="H223" s="6"/>
      <c r="I223" s="26">
        <f>H221-H222</f>
        <v>28304.379999999997</v>
      </c>
      <c r="J223" s="5"/>
      <c r="K223" s="5"/>
      <c r="L223" s="5"/>
    </row>
    <row r="224" spans="1:12" x14ac:dyDescent="0.25">
      <c r="A224" s="106" t="s">
        <v>40</v>
      </c>
      <c r="B224" s="107"/>
      <c r="C224" s="5"/>
      <c r="D224" s="149">
        <v>1000</v>
      </c>
      <c r="E224" s="150"/>
      <c r="F224" s="5"/>
      <c r="G224" s="5"/>
      <c r="H224" s="5"/>
      <c r="I224" s="5"/>
      <c r="J224" s="5"/>
      <c r="K224" s="5"/>
      <c r="L224" s="5"/>
    </row>
    <row r="225" spans="1:12" x14ac:dyDescent="0.25">
      <c r="A225" s="108">
        <f>B221*0.6</f>
        <v>1828.8</v>
      </c>
      <c r="B225" s="109"/>
      <c r="C225" s="5"/>
      <c r="D225" s="106" t="s">
        <v>34</v>
      </c>
      <c r="E225" s="107"/>
      <c r="F225" s="5"/>
      <c r="G225" s="145" t="s">
        <v>292</v>
      </c>
      <c r="H225" s="146"/>
      <c r="I225" s="23">
        <f>B221/2.3</f>
        <v>1325.217391304348</v>
      </c>
      <c r="J225" s="60"/>
      <c r="K225" s="5"/>
      <c r="L225" s="5"/>
    </row>
    <row r="226" spans="1:12" x14ac:dyDescent="0.25">
      <c r="A226" s="5"/>
      <c r="B226" s="5"/>
      <c r="C226" s="5"/>
      <c r="D226" s="108">
        <v>0</v>
      </c>
      <c r="E226" s="109"/>
      <c r="F226" s="5"/>
      <c r="G226" s="145" t="s">
        <v>294</v>
      </c>
      <c r="H226" s="146"/>
      <c r="I226" s="23">
        <f>I225-D214</f>
        <v>-43.792608695652007</v>
      </c>
      <c r="J226" s="5"/>
      <c r="K226" s="5"/>
      <c r="L226" s="5"/>
    </row>
    <row r="227" spans="1:12" x14ac:dyDescent="0.25">
      <c r="A227" s="5"/>
      <c r="B227" s="5"/>
      <c r="C227" s="5"/>
      <c r="D227" s="106" t="s">
        <v>37</v>
      </c>
      <c r="E227" s="107"/>
      <c r="F227" s="5"/>
      <c r="G227" s="147" t="s">
        <v>295</v>
      </c>
      <c r="H227" s="148"/>
      <c r="I227" s="86" t="e">
        <f>I226*F214</f>
        <v>#DIV/0!</v>
      </c>
      <c r="J227" s="87" t="e">
        <f>I223-I227</f>
        <v>#DIV/0!</v>
      </c>
      <c r="K227" s="5"/>
      <c r="L227" s="5"/>
    </row>
    <row r="228" spans="1:12" x14ac:dyDescent="0.25">
      <c r="A228" s="5"/>
      <c r="B228" s="5"/>
      <c r="C228" s="5"/>
      <c r="D228" s="108">
        <v>0</v>
      </c>
      <c r="E228" s="109"/>
      <c r="F228" s="5" t="s">
        <v>78</v>
      </c>
      <c r="G228" s="5"/>
      <c r="H228" s="5"/>
      <c r="I228" s="5"/>
      <c r="J228" s="88" t="s">
        <v>293</v>
      </c>
      <c r="K228" s="44"/>
      <c r="L228" s="5"/>
    </row>
    <row r="229" spans="1:1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s="49" customFormat="1" x14ac:dyDescent="0.25"/>
    <row r="233" spans="1:12" x14ac:dyDescent="0.25">
      <c r="A233" s="120" t="s">
        <v>24</v>
      </c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</row>
    <row r="234" spans="1:12" x14ac:dyDescent="0.25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</row>
    <row r="235" spans="1:12" x14ac:dyDescent="0.25">
      <c r="A235" s="1" t="s">
        <v>4</v>
      </c>
      <c r="B235" s="2"/>
      <c r="C235" s="90"/>
      <c r="D235" s="2"/>
      <c r="E235" s="2"/>
      <c r="F235" s="2"/>
      <c r="G235" s="3" t="s">
        <v>5</v>
      </c>
      <c r="H235" s="3" t="s">
        <v>6</v>
      </c>
      <c r="I235" s="4" t="s">
        <v>7</v>
      </c>
      <c r="J235" s="5"/>
      <c r="K235" s="5"/>
      <c r="L235" s="5"/>
    </row>
    <row r="236" spans="1:12" x14ac:dyDescent="0.25">
      <c r="A236" s="91" t="s">
        <v>296</v>
      </c>
      <c r="B236" s="92" t="s">
        <v>42</v>
      </c>
      <c r="C236" s="64"/>
      <c r="D236" s="66"/>
      <c r="E236" s="2"/>
      <c r="F236" s="2"/>
      <c r="G236" s="91" t="s">
        <v>299</v>
      </c>
      <c r="H236" s="66"/>
      <c r="I236" s="33"/>
      <c r="J236" s="6"/>
      <c r="K236" s="33"/>
      <c r="L236" s="6"/>
    </row>
    <row r="237" spans="1:12" x14ac:dyDescent="0.25">
      <c r="A237" s="7" t="s">
        <v>2</v>
      </c>
      <c r="B237" s="5"/>
      <c r="C237" s="5"/>
      <c r="D237" s="5"/>
      <c r="E237" s="5"/>
      <c r="F237" s="5"/>
      <c r="G237" s="8" t="s">
        <v>8</v>
      </c>
      <c r="H237" s="93">
        <v>3</v>
      </c>
      <c r="I237" s="5"/>
      <c r="J237" s="5"/>
      <c r="K237" s="5"/>
      <c r="L237" s="5"/>
    </row>
    <row r="238" spans="1:12" x14ac:dyDescent="0.25">
      <c r="A238" s="7" t="s">
        <v>25</v>
      </c>
      <c r="B238" s="5"/>
      <c r="C238" s="7" t="s">
        <v>0</v>
      </c>
      <c r="D238" s="5"/>
      <c r="E238" s="5"/>
      <c r="F238" s="5"/>
      <c r="G238" s="7" t="s">
        <v>25</v>
      </c>
      <c r="H238" s="5"/>
      <c r="I238" s="7" t="s">
        <v>0</v>
      </c>
      <c r="J238" s="5"/>
      <c r="K238" s="5"/>
      <c r="L238" s="5"/>
    </row>
    <row r="239" spans="1:12" x14ac:dyDescent="0.25">
      <c r="A239" s="42" t="s">
        <v>311</v>
      </c>
      <c r="B239" s="6"/>
      <c r="C239" s="31">
        <f>L198</f>
        <v>836879</v>
      </c>
      <c r="D239" s="5"/>
      <c r="E239" s="5"/>
      <c r="F239" s="5"/>
      <c r="G239" s="42" t="s">
        <v>319</v>
      </c>
      <c r="H239" s="6"/>
      <c r="I239" s="9"/>
      <c r="J239" s="5"/>
      <c r="K239" s="5"/>
      <c r="L239" s="5"/>
    </row>
    <row r="240" spans="1:12" ht="16.5" thickBot="1" x14ac:dyDescent="0.3">
      <c r="A240" s="7"/>
      <c r="B240" s="62"/>
      <c r="C240" s="62"/>
      <c r="D240" s="62"/>
      <c r="E240" s="5"/>
      <c r="F240" s="5"/>
      <c r="G240" s="10"/>
      <c r="H240" s="5"/>
      <c r="I240" s="5"/>
      <c r="J240" s="5"/>
      <c r="K240" s="5"/>
      <c r="L240" s="5"/>
    </row>
    <row r="241" spans="1:12" ht="15.75" thickBot="1" x14ac:dyDescent="0.3">
      <c r="A241" s="121" t="s">
        <v>9</v>
      </c>
      <c r="B241" s="122"/>
      <c r="C241" s="123"/>
      <c r="D241" s="5"/>
      <c r="E241" s="5"/>
      <c r="F241" s="5"/>
      <c r="G241" s="121" t="s">
        <v>26</v>
      </c>
      <c r="H241" s="122"/>
      <c r="I241" s="123"/>
      <c r="J241" s="5"/>
      <c r="K241" s="5"/>
      <c r="L241" s="5"/>
    </row>
    <row r="242" spans="1:12" x14ac:dyDescent="0.25">
      <c r="A242" s="30" t="s">
        <v>38</v>
      </c>
      <c r="B242" s="11"/>
      <c r="C242" s="11"/>
      <c r="D242" s="11"/>
      <c r="E242" s="6"/>
      <c r="F242" s="5"/>
      <c r="G242" s="30"/>
      <c r="H242" s="11"/>
      <c r="I242" s="11"/>
      <c r="J242" s="11"/>
      <c r="K242" s="11"/>
      <c r="L242" s="6"/>
    </row>
    <row r="243" spans="1:12" ht="15.75" thickBot="1" x14ac:dyDescent="0.3">
      <c r="A243" s="7"/>
      <c r="B243" s="7"/>
      <c r="C243" s="7"/>
      <c r="D243" s="5"/>
      <c r="E243" s="5"/>
      <c r="F243" s="5"/>
      <c r="G243" s="7" t="str">
        <f>A245</f>
        <v>Cape Town</v>
      </c>
      <c r="H243" s="7"/>
      <c r="I243" s="7"/>
      <c r="J243" s="5"/>
      <c r="K243" s="5"/>
      <c r="L243" s="5"/>
    </row>
    <row r="244" spans="1:12" ht="15.75" thickBot="1" x14ac:dyDescent="0.3">
      <c r="A244" s="121"/>
      <c r="B244" s="122"/>
      <c r="C244" s="124"/>
      <c r="D244" s="12" t="s">
        <v>1</v>
      </c>
      <c r="E244" s="32"/>
      <c r="F244" s="5"/>
      <c r="G244" s="121" t="s">
        <v>27</v>
      </c>
      <c r="H244" s="122"/>
      <c r="I244" s="123"/>
      <c r="J244" s="5"/>
      <c r="K244" s="12" t="s">
        <v>1</v>
      </c>
      <c r="L244" s="32">
        <v>841381</v>
      </c>
    </row>
    <row r="245" spans="1:12" x14ac:dyDescent="0.25">
      <c r="A245" s="30" t="s">
        <v>65</v>
      </c>
      <c r="B245" s="11"/>
      <c r="C245" s="11"/>
      <c r="D245" s="11"/>
      <c r="E245" s="6"/>
      <c r="F245" s="5"/>
      <c r="G245" s="30" t="s">
        <v>39</v>
      </c>
      <c r="H245" s="11"/>
      <c r="I245" s="11"/>
      <c r="J245" s="11"/>
      <c r="K245" s="11"/>
      <c r="L245" s="6"/>
    </row>
    <row r="246" spans="1:12" x14ac:dyDescent="0.25">
      <c r="A246" s="76"/>
      <c r="B246" s="11"/>
      <c r="C246" s="11"/>
      <c r="D246" s="11"/>
      <c r="E246" s="6"/>
      <c r="F246" s="5"/>
      <c r="G246" s="34" t="s">
        <v>321</v>
      </c>
      <c r="H246" s="11"/>
      <c r="I246" s="11"/>
      <c r="J246" s="11"/>
      <c r="K246" s="11"/>
      <c r="L246" s="6"/>
    </row>
    <row r="247" spans="1:12" x14ac:dyDescent="0.25">
      <c r="A247" s="13"/>
      <c r="B247" s="11"/>
      <c r="C247" s="11"/>
      <c r="D247" s="11"/>
      <c r="E247" s="6"/>
      <c r="F247" s="5"/>
      <c r="G247" s="13" t="s">
        <v>322</v>
      </c>
      <c r="H247" s="11"/>
      <c r="I247" s="11"/>
      <c r="J247" s="11"/>
      <c r="K247" s="11"/>
      <c r="L247" s="6"/>
    </row>
    <row r="248" spans="1:12" x14ac:dyDescent="0.25">
      <c r="A248" s="13"/>
      <c r="B248" s="11"/>
      <c r="C248" s="11"/>
      <c r="D248" s="11"/>
      <c r="E248" s="6"/>
      <c r="F248" s="5"/>
      <c r="G248" s="13"/>
      <c r="H248" s="11"/>
      <c r="I248" s="11"/>
      <c r="J248" s="11"/>
      <c r="K248" s="11"/>
      <c r="L248" s="6"/>
    </row>
    <row r="249" spans="1:12" ht="15.75" thickBot="1" x14ac:dyDescent="0.3">
      <c r="A249" s="13"/>
      <c r="B249" s="11"/>
      <c r="C249" s="11" t="s">
        <v>29</v>
      </c>
      <c r="D249" s="43"/>
      <c r="E249" s="6"/>
      <c r="F249" s="5"/>
      <c r="G249" s="13"/>
      <c r="H249" s="11"/>
      <c r="I249" s="14" t="s">
        <v>28</v>
      </c>
      <c r="J249" s="43"/>
      <c r="K249" s="59"/>
      <c r="L249" s="6"/>
    </row>
    <row r="250" spans="1:12" ht="15.75" thickBot="1" x14ac:dyDescent="0.3">
      <c r="A250" s="15" t="s">
        <v>10</v>
      </c>
      <c r="B250" s="5"/>
      <c r="C250" s="5"/>
      <c r="D250" s="5"/>
      <c r="E250" s="5"/>
      <c r="F250" s="5"/>
      <c r="G250" s="15" t="s">
        <v>14</v>
      </c>
      <c r="H250" s="5"/>
      <c r="I250" s="5"/>
      <c r="J250" s="5"/>
      <c r="K250" s="5"/>
      <c r="L250" s="5"/>
    </row>
    <row r="251" spans="1:12" ht="15.75" thickBot="1" x14ac:dyDescent="0.3">
      <c r="A251" s="121" t="s">
        <v>11</v>
      </c>
      <c r="B251" s="122"/>
      <c r="C251" s="123"/>
      <c r="D251" s="16" t="s">
        <v>12</v>
      </c>
      <c r="E251" s="16" t="s">
        <v>13</v>
      </c>
      <c r="F251" s="5"/>
      <c r="G251" s="121" t="s">
        <v>15</v>
      </c>
      <c r="H251" s="122"/>
      <c r="I251" s="123"/>
      <c r="J251" s="121"/>
      <c r="K251" s="123"/>
      <c r="L251" s="5"/>
    </row>
    <row r="252" spans="1:12" x14ac:dyDescent="0.25">
      <c r="A252" s="45" t="s">
        <v>323</v>
      </c>
      <c r="B252" s="46" t="s">
        <v>66</v>
      </c>
      <c r="C252" s="47"/>
      <c r="D252" s="56">
        <v>297.86</v>
      </c>
      <c r="E252" s="57">
        <v>6627.35</v>
      </c>
      <c r="F252" s="44">
        <f>E252/D252</f>
        <v>22.249882495131942</v>
      </c>
      <c r="G252" s="125" t="s">
        <v>69</v>
      </c>
      <c r="H252" s="126"/>
      <c r="I252" s="127"/>
      <c r="J252" s="128">
        <v>0</v>
      </c>
      <c r="K252" s="129"/>
      <c r="L252" s="5"/>
    </row>
    <row r="253" spans="1:12" x14ac:dyDescent="0.25">
      <c r="A253" s="94" t="s">
        <v>313</v>
      </c>
      <c r="B253" s="46" t="s">
        <v>47</v>
      </c>
      <c r="C253" s="47"/>
      <c r="D253" s="56">
        <v>381.81</v>
      </c>
      <c r="E253" s="57">
        <v>8399.82</v>
      </c>
      <c r="F253" s="44">
        <f>E253/D253</f>
        <v>22</v>
      </c>
      <c r="G253" s="110" t="s">
        <v>59</v>
      </c>
      <c r="H253" s="111"/>
      <c r="I253" s="112"/>
      <c r="J253" s="113"/>
      <c r="K253" s="114"/>
      <c r="L253" s="5"/>
    </row>
    <row r="254" spans="1:12" x14ac:dyDescent="0.25">
      <c r="A254" s="45" t="s">
        <v>324</v>
      </c>
      <c r="B254" s="46" t="s">
        <v>47</v>
      </c>
      <c r="C254" s="47"/>
      <c r="D254" s="56">
        <f>454.5+127.6</f>
        <v>582.1</v>
      </c>
      <c r="E254" s="57">
        <v>12808.18</v>
      </c>
      <c r="F254" s="44">
        <f>E254/D254</f>
        <v>22.00340147740938</v>
      </c>
      <c r="G254" s="110" t="s">
        <v>61</v>
      </c>
      <c r="H254" s="111"/>
      <c r="I254" s="112"/>
      <c r="J254" s="113"/>
      <c r="K254" s="114"/>
      <c r="L254" s="5"/>
    </row>
    <row r="255" spans="1:12" x14ac:dyDescent="0.25">
      <c r="A255" s="45"/>
      <c r="B255" s="46"/>
      <c r="C255" s="47"/>
      <c r="D255" s="56"/>
      <c r="E255" s="57"/>
      <c r="F255" s="44"/>
      <c r="G255" s="110" t="s">
        <v>51</v>
      </c>
      <c r="H255" s="111"/>
      <c r="I255" s="112"/>
      <c r="J255" s="113"/>
      <c r="K255" s="114"/>
      <c r="L255" s="5"/>
    </row>
    <row r="256" spans="1:12" x14ac:dyDescent="0.25">
      <c r="A256" s="48"/>
      <c r="B256" s="46"/>
      <c r="C256" s="39"/>
      <c r="D256" s="52"/>
      <c r="E256" s="53"/>
      <c r="F256" s="44"/>
      <c r="G256" s="110" t="s">
        <v>58</v>
      </c>
      <c r="H256" s="111"/>
      <c r="I256" s="112"/>
      <c r="J256" s="113"/>
      <c r="K256" s="114"/>
      <c r="L256" s="5"/>
    </row>
    <row r="257" spans="1:14" x14ac:dyDescent="0.25">
      <c r="A257" s="48"/>
      <c r="B257" s="35"/>
      <c r="C257" s="39"/>
      <c r="D257" s="52"/>
      <c r="E257" s="53"/>
      <c r="F257" s="44"/>
      <c r="G257" s="110" t="s">
        <v>51</v>
      </c>
      <c r="H257" s="111"/>
      <c r="I257" s="112"/>
      <c r="J257" s="113"/>
      <c r="K257" s="114"/>
      <c r="L257" s="5"/>
    </row>
    <row r="258" spans="1:14" x14ac:dyDescent="0.25">
      <c r="A258" s="48"/>
      <c r="B258" s="35"/>
      <c r="C258" s="39"/>
      <c r="D258" s="52"/>
      <c r="E258" s="53"/>
      <c r="F258" s="44"/>
      <c r="G258" s="77"/>
      <c r="H258" s="78" t="s">
        <v>69</v>
      </c>
      <c r="I258" s="79"/>
      <c r="J258" s="113"/>
      <c r="K258" s="114"/>
      <c r="L258" s="5"/>
    </row>
    <row r="259" spans="1:14" x14ac:dyDescent="0.25">
      <c r="A259" s="38"/>
      <c r="B259" s="35"/>
      <c r="C259" s="39"/>
      <c r="D259" s="52"/>
      <c r="E259" s="53"/>
      <c r="F259" s="44"/>
      <c r="G259" s="77"/>
      <c r="H259" s="78" t="s">
        <v>72</v>
      </c>
      <c r="I259" s="79"/>
      <c r="J259" s="113"/>
      <c r="K259" s="114"/>
      <c r="L259" s="5"/>
    </row>
    <row r="260" spans="1:14" ht="15.75" thickBot="1" x14ac:dyDescent="0.3">
      <c r="A260" s="5"/>
      <c r="B260" s="5"/>
      <c r="C260" s="7" t="s">
        <v>35</v>
      </c>
      <c r="D260" s="17">
        <f>SUM(D252:D259)</f>
        <v>1261.77</v>
      </c>
      <c r="E260" s="17">
        <f>SUM(E252:E259)</f>
        <v>27835.35</v>
      </c>
      <c r="F260" s="89">
        <f>AVERAGE(F252:F256)</f>
        <v>22.084427990847107</v>
      </c>
      <c r="G260" s="110" t="s">
        <v>73</v>
      </c>
      <c r="H260" s="111"/>
      <c r="I260" s="112"/>
      <c r="J260" s="113"/>
      <c r="K260" s="114"/>
      <c r="L260" s="7" t="s">
        <v>36</v>
      </c>
    </row>
    <row r="261" spans="1:14" ht="15.75" thickBot="1" x14ac:dyDescent="0.3">
      <c r="A261" s="5"/>
      <c r="B261" s="5"/>
      <c r="C261" s="5"/>
      <c r="D261" s="5"/>
      <c r="E261" s="5"/>
      <c r="F261" s="5"/>
      <c r="G261" s="130"/>
      <c r="H261" s="131"/>
      <c r="I261" s="132"/>
      <c r="J261" s="133"/>
      <c r="K261" s="134"/>
      <c r="L261" s="18">
        <f>J252+J253+J254+J255+J256+J257+J258+J259+J260</f>
        <v>0</v>
      </c>
    </row>
    <row r="262" spans="1:14" ht="15.75" thickBo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4" ht="15.75" thickBot="1" x14ac:dyDescent="0.3">
      <c r="A263" s="19"/>
      <c r="B263" s="20"/>
      <c r="C263" s="20"/>
      <c r="D263" s="20"/>
      <c r="E263" s="21" t="s">
        <v>13</v>
      </c>
      <c r="F263" s="5"/>
      <c r="G263" s="19"/>
      <c r="H263" s="20"/>
      <c r="I263" s="20"/>
      <c r="J263" s="20"/>
      <c r="K263" s="21" t="s">
        <v>13</v>
      </c>
      <c r="L263" s="5"/>
    </row>
    <row r="264" spans="1:14" x14ac:dyDescent="0.25">
      <c r="A264" s="22" t="s">
        <v>31</v>
      </c>
      <c r="B264" s="115">
        <v>18733</v>
      </c>
      <c r="C264" s="116"/>
      <c r="D264" s="116"/>
      <c r="E264" s="117"/>
      <c r="F264" s="5"/>
      <c r="G264" s="22" t="s">
        <v>32</v>
      </c>
      <c r="H264" s="115">
        <f>63000+1600+12892</f>
        <v>77492</v>
      </c>
      <c r="I264" s="116"/>
      <c r="J264" s="116"/>
      <c r="K264" s="117"/>
      <c r="L264" s="95">
        <v>63000</v>
      </c>
      <c r="M264">
        <v>1600</v>
      </c>
      <c r="N264">
        <v>12892</v>
      </c>
    </row>
    <row r="265" spans="1:14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4" x14ac:dyDescent="0.25">
      <c r="A266" s="7" t="s">
        <v>16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4" x14ac:dyDescent="0.25">
      <c r="A267" s="9" t="s">
        <v>17</v>
      </c>
      <c r="B267" s="23">
        <f>L244-C239</f>
        <v>4502</v>
      </c>
      <c r="C267" s="5"/>
      <c r="D267" s="106" t="s">
        <v>18</v>
      </c>
      <c r="E267" s="107"/>
      <c r="F267" s="24" t="s">
        <v>19</v>
      </c>
      <c r="G267" s="9" t="s">
        <v>20</v>
      </c>
      <c r="H267" s="118">
        <f>B264+H264</f>
        <v>96225</v>
      </c>
      <c r="I267" s="119"/>
      <c r="J267" s="60"/>
      <c r="K267" s="5"/>
      <c r="L267" s="5"/>
    </row>
    <row r="268" spans="1:14" x14ac:dyDescent="0.25">
      <c r="A268" s="9" t="s">
        <v>41</v>
      </c>
      <c r="B268" s="40">
        <f>B267/D260</f>
        <v>3.5680036773738477</v>
      </c>
      <c r="C268" s="5"/>
      <c r="D268" s="102">
        <f>E260</f>
        <v>27835.35</v>
      </c>
      <c r="E268" s="103"/>
      <c r="F268" s="25">
        <f>H268/B267</f>
        <v>7.3382829853398484</v>
      </c>
      <c r="G268" s="9" t="s">
        <v>21</v>
      </c>
      <c r="H268" s="104">
        <f>L261+D268+D270+D272+D274+A271</f>
        <v>33036.949999999997</v>
      </c>
      <c r="I268" s="105"/>
      <c r="J268" s="5"/>
      <c r="K268" s="5"/>
      <c r="L268" s="5"/>
    </row>
    <row r="269" spans="1:14" x14ac:dyDescent="0.25">
      <c r="A269" s="9" t="s">
        <v>43</v>
      </c>
      <c r="B269" s="23">
        <f>D260/B267*100</f>
        <v>28.026876943580632</v>
      </c>
      <c r="C269" s="5"/>
      <c r="D269" s="106" t="s">
        <v>33</v>
      </c>
      <c r="E269" s="107"/>
      <c r="F269" s="5"/>
      <c r="G269" s="13" t="s">
        <v>22</v>
      </c>
      <c r="H269" s="6"/>
      <c r="I269" s="26">
        <f>H267-H268</f>
        <v>63188.05</v>
      </c>
      <c r="J269" s="5"/>
      <c r="K269" s="5"/>
      <c r="L269" s="5"/>
    </row>
    <row r="270" spans="1:14" x14ac:dyDescent="0.25">
      <c r="A270" s="106" t="s">
        <v>40</v>
      </c>
      <c r="B270" s="107"/>
      <c r="C270" s="5"/>
      <c r="D270" s="149">
        <v>1000</v>
      </c>
      <c r="E270" s="150"/>
      <c r="F270" s="5"/>
      <c r="G270" s="5"/>
      <c r="H270" s="5"/>
      <c r="I270" s="5"/>
      <c r="J270" s="5"/>
      <c r="K270" s="5"/>
      <c r="L270" s="5"/>
    </row>
    <row r="271" spans="1:14" x14ac:dyDescent="0.25">
      <c r="A271" s="108">
        <f>B267*0.8</f>
        <v>3601.6000000000004</v>
      </c>
      <c r="B271" s="109"/>
      <c r="C271" s="5"/>
      <c r="D271" s="106" t="s">
        <v>34</v>
      </c>
      <c r="E271" s="107"/>
      <c r="F271" s="5"/>
      <c r="G271" s="145" t="s">
        <v>292</v>
      </c>
      <c r="H271" s="146"/>
      <c r="I271" s="23">
        <f>B267/2.3</f>
        <v>1957.3913043478262</v>
      </c>
      <c r="J271" s="60"/>
      <c r="K271" s="5"/>
      <c r="L271" s="5"/>
    </row>
    <row r="272" spans="1:14" x14ac:dyDescent="0.25">
      <c r="A272" s="5"/>
      <c r="B272" s="5"/>
      <c r="C272" s="5"/>
      <c r="D272" s="108">
        <v>600</v>
      </c>
      <c r="E272" s="109"/>
      <c r="F272" s="5"/>
      <c r="G272" s="145" t="s">
        <v>294</v>
      </c>
      <c r="H272" s="146"/>
      <c r="I272" s="23">
        <f>I271-D260</f>
        <v>695.62130434782625</v>
      </c>
      <c r="J272" s="5"/>
      <c r="K272" s="5"/>
      <c r="L272" s="5"/>
    </row>
    <row r="273" spans="1:12" x14ac:dyDescent="0.25">
      <c r="A273" s="5"/>
      <c r="B273" s="5"/>
      <c r="C273" s="5"/>
      <c r="D273" s="106" t="s">
        <v>37</v>
      </c>
      <c r="E273" s="107"/>
      <c r="F273" s="5"/>
      <c r="G273" s="147" t="s">
        <v>295</v>
      </c>
      <c r="H273" s="148"/>
      <c r="I273" s="86">
        <f>I272*F260</f>
        <v>15362.398604768709</v>
      </c>
      <c r="J273" s="87">
        <f>I269-I273</f>
        <v>47825.651395231296</v>
      </c>
      <c r="K273" s="5"/>
      <c r="L273" s="5"/>
    </row>
    <row r="274" spans="1:12" x14ac:dyDescent="0.25">
      <c r="A274" s="5"/>
      <c r="B274" s="5"/>
      <c r="C274" s="5"/>
      <c r="D274" s="108">
        <v>0</v>
      </c>
      <c r="E274" s="109"/>
      <c r="F274" s="5" t="s">
        <v>78</v>
      </c>
      <c r="G274" s="5"/>
      <c r="H274" s="5"/>
      <c r="I274" s="5"/>
      <c r="J274" s="88" t="s">
        <v>293</v>
      </c>
      <c r="K274" s="44"/>
      <c r="L274" s="5"/>
    </row>
    <row r="275" spans="1:1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s="49" customFormat="1" x14ac:dyDescent="0.25"/>
    <row r="279" spans="1:12" x14ac:dyDescent="0.25">
      <c r="A279" s="120" t="s">
        <v>24</v>
      </c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</row>
    <row r="280" spans="1:12" x14ac:dyDescent="0.25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</row>
    <row r="281" spans="1:12" x14ac:dyDescent="0.25">
      <c r="A281" s="1" t="s">
        <v>4</v>
      </c>
      <c r="B281" s="2"/>
      <c r="C281" s="90"/>
      <c r="D281" s="2"/>
      <c r="E281" s="2"/>
      <c r="F281" s="2"/>
      <c r="G281" s="3" t="s">
        <v>5</v>
      </c>
      <c r="H281" s="3" t="s">
        <v>6</v>
      </c>
      <c r="I281" s="4" t="s">
        <v>7</v>
      </c>
      <c r="J281" s="5"/>
      <c r="K281" s="5"/>
      <c r="L281" s="5"/>
    </row>
    <row r="282" spans="1:12" x14ac:dyDescent="0.25">
      <c r="A282" s="91" t="s">
        <v>296</v>
      </c>
      <c r="B282" s="92" t="s">
        <v>42</v>
      </c>
      <c r="C282" s="64"/>
      <c r="D282" s="66"/>
      <c r="E282" s="2"/>
      <c r="F282" s="2"/>
      <c r="G282" s="91" t="s">
        <v>299</v>
      </c>
      <c r="H282" s="66"/>
      <c r="I282" s="33"/>
      <c r="J282" s="6"/>
      <c r="K282" s="33"/>
      <c r="L282" s="6"/>
    </row>
    <row r="283" spans="1:12" x14ac:dyDescent="0.25">
      <c r="A283" s="7" t="s">
        <v>2</v>
      </c>
      <c r="B283" s="5"/>
      <c r="C283" s="5"/>
      <c r="D283" s="5"/>
      <c r="E283" s="5"/>
      <c r="F283" s="5"/>
      <c r="G283" s="8" t="s">
        <v>8</v>
      </c>
      <c r="H283" s="93">
        <v>3</v>
      </c>
      <c r="I283" s="5"/>
      <c r="J283" s="5"/>
      <c r="K283" s="5"/>
      <c r="L283" s="5"/>
    </row>
    <row r="284" spans="1:12" x14ac:dyDescent="0.25">
      <c r="A284" s="7" t="s">
        <v>25</v>
      </c>
      <c r="B284" s="5"/>
      <c r="C284" s="7" t="s">
        <v>0</v>
      </c>
      <c r="D284" s="5"/>
      <c r="E284" s="5"/>
      <c r="F284" s="5"/>
      <c r="G284" s="7" t="s">
        <v>25</v>
      </c>
      <c r="H284" s="5"/>
      <c r="I284" s="7" t="s">
        <v>0</v>
      </c>
      <c r="J284" s="5"/>
      <c r="K284" s="5"/>
      <c r="L284" s="5"/>
    </row>
    <row r="285" spans="1:12" x14ac:dyDescent="0.25">
      <c r="A285" s="42" t="s">
        <v>324</v>
      </c>
      <c r="B285" s="6"/>
      <c r="C285" s="31">
        <f>L244</f>
        <v>841381</v>
      </c>
      <c r="D285" s="5"/>
      <c r="E285" s="5"/>
      <c r="F285" s="5"/>
      <c r="G285" s="42">
        <v>45330</v>
      </c>
      <c r="H285" s="6"/>
      <c r="I285" s="9"/>
      <c r="J285" s="5"/>
      <c r="K285" s="5"/>
      <c r="L285" s="5"/>
    </row>
    <row r="286" spans="1:12" ht="16.5" thickBot="1" x14ac:dyDescent="0.3">
      <c r="A286" s="7"/>
      <c r="B286" s="62"/>
      <c r="C286" s="62"/>
      <c r="D286" s="62"/>
      <c r="E286" s="5"/>
      <c r="F286" s="5"/>
      <c r="G286" s="10"/>
      <c r="H286" s="5"/>
      <c r="I286" s="5"/>
      <c r="J286" s="5"/>
      <c r="K286" s="5"/>
      <c r="L286" s="5"/>
    </row>
    <row r="287" spans="1:12" ht="15.75" thickBot="1" x14ac:dyDescent="0.3">
      <c r="A287" s="121" t="s">
        <v>9</v>
      </c>
      <c r="B287" s="122"/>
      <c r="C287" s="123"/>
      <c r="D287" s="5"/>
      <c r="E287" s="5"/>
      <c r="F287" s="5"/>
      <c r="G287" s="121" t="s">
        <v>26</v>
      </c>
      <c r="H287" s="122"/>
      <c r="I287" s="123"/>
      <c r="J287" s="5"/>
      <c r="K287" s="5"/>
      <c r="L287" s="5"/>
    </row>
    <row r="288" spans="1:12" x14ac:dyDescent="0.25">
      <c r="A288" s="30" t="s">
        <v>38</v>
      </c>
      <c r="B288" s="11"/>
      <c r="C288" s="11"/>
      <c r="D288" s="11"/>
      <c r="E288" s="6"/>
      <c r="F288" s="5"/>
      <c r="G288" s="30"/>
      <c r="H288" s="11"/>
      <c r="I288" s="11"/>
      <c r="J288" s="11"/>
      <c r="K288" s="11"/>
      <c r="L288" s="6"/>
    </row>
    <row r="289" spans="1:14" ht="15.75" thickBot="1" x14ac:dyDescent="0.3">
      <c r="A289" s="7"/>
      <c r="B289" s="7"/>
      <c r="C289" s="7"/>
      <c r="D289" s="5"/>
      <c r="E289" s="5"/>
      <c r="F289" s="5"/>
      <c r="G289" s="7" t="str">
        <f>A291</f>
        <v>Johannesburg</v>
      </c>
      <c r="H289" s="7"/>
      <c r="I289" s="7"/>
      <c r="J289" s="5"/>
      <c r="K289" s="5"/>
      <c r="L289" s="5"/>
    </row>
    <row r="290" spans="1:14" ht="15.75" thickBot="1" x14ac:dyDescent="0.3">
      <c r="A290" s="121"/>
      <c r="B290" s="122"/>
      <c r="C290" s="124"/>
      <c r="D290" s="12" t="s">
        <v>1</v>
      </c>
      <c r="E290" s="32"/>
      <c r="F290" s="5"/>
      <c r="G290" s="121" t="s">
        <v>27</v>
      </c>
      <c r="H290" s="122"/>
      <c r="I290" s="123"/>
      <c r="J290" s="5"/>
      <c r="K290" s="12" t="s">
        <v>1</v>
      </c>
      <c r="L290" s="32">
        <v>844354</v>
      </c>
    </row>
    <row r="291" spans="1:14" x14ac:dyDescent="0.25">
      <c r="A291" s="30" t="s">
        <v>68</v>
      </c>
      <c r="B291" s="11"/>
      <c r="C291" s="11"/>
      <c r="D291" s="11"/>
      <c r="E291" s="6"/>
      <c r="F291" s="5"/>
      <c r="G291" s="30" t="s">
        <v>38</v>
      </c>
      <c r="H291" s="11"/>
      <c r="I291" s="11"/>
      <c r="J291" s="11"/>
      <c r="K291" s="11"/>
      <c r="L291" s="6"/>
    </row>
    <row r="292" spans="1:14" x14ac:dyDescent="0.25">
      <c r="A292" s="76"/>
      <c r="B292" s="11"/>
      <c r="C292" s="11"/>
      <c r="D292" s="11"/>
      <c r="E292" s="6"/>
      <c r="F292" s="5"/>
      <c r="G292" s="34"/>
      <c r="H292" s="11"/>
      <c r="I292" s="11"/>
      <c r="J292" s="11"/>
      <c r="K292" s="11"/>
      <c r="L292" s="6"/>
    </row>
    <row r="293" spans="1:14" x14ac:dyDescent="0.25">
      <c r="A293" s="13"/>
      <c r="B293" s="11"/>
      <c r="C293" s="11"/>
      <c r="D293" s="11"/>
      <c r="E293" s="6"/>
      <c r="F293" s="5"/>
      <c r="G293" s="13"/>
      <c r="H293" s="11"/>
      <c r="I293" s="11"/>
      <c r="J293" s="11"/>
      <c r="K293" s="11"/>
      <c r="L293" s="6"/>
    </row>
    <row r="294" spans="1:14" x14ac:dyDescent="0.25">
      <c r="A294" s="13"/>
      <c r="B294" s="11"/>
      <c r="C294" s="11"/>
      <c r="D294" s="11"/>
      <c r="E294" s="6"/>
      <c r="F294" s="5"/>
      <c r="G294" s="13"/>
      <c r="H294" s="11"/>
      <c r="I294" s="11"/>
      <c r="J294" s="11"/>
      <c r="K294" s="11"/>
      <c r="L294" s="6"/>
    </row>
    <row r="295" spans="1:14" ht="15.75" thickBot="1" x14ac:dyDescent="0.3">
      <c r="A295" s="13"/>
      <c r="B295" s="11"/>
      <c r="C295" s="11" t="s">
        <v>29</v>
      </c>
      <c r="D295" s="43"/>
      <c r="E295" s="6"/>
      <c r="F295" s="5"/>
      <c r="G295" s="13"/>
      <c r="H295" s="11"/>
      <c r="I295" s="14" t="s">
        <v>28</v>
      </c>
      <c r="J295" s="43"/>
      <c r="K295" s="59"/>
      <c r="L295" s="6"/>
    </row>
    <row r="296" spans="1:14" ht="15.75" thickBot="1" x14ac:dyDescent="0.3">
      <c r="A296" s="15" t="s">
        <v>10</v>
      </c>
      <c r="B296" s="5"/>
      <c r="C296" s="5"/>
      <c r="D296" s="5"/>
      <c r="E296" s="5"/>
      <c r="F296" s="5"/>
      <c r="G296" s="15" t="s">
        <v>14</v>
      </c>
      <c r="H296" s="5"/>
      <c r="I296" s="5"/>
      <c r="J296" s="5"/>
      <c r="K296" s="5"/>
      <c r="L296" s="5"/>
    </row>
    <row r="297" spans="1:14" ht="15.75" thickBot="1" x14ac:dyDescent="0.3">
      <c r="A297" s="121" t="s">
        <v>11</v>
      </c>
      <c r="B297" s="122"/>
      <c r="C297" s="123"/>
      <c r="D297" s="16" t="s">
        <v>12</v>
      </c>
      <c r="E297" s="16" t="s">
        <v>13</v>
      </c>
      <c r="F297" s="5"/>
      <c r="G297" s="121" t="s">
        <v>15</v>
      </c>
      <c r="H297" s="122"/>
      <c r="I297" s="123"/>
      <c r="J297" s="121"/>
      <c r="K297" s="123"/>
      <c r="L297" s="5"/>
    </row>
    <row r="298" spans="1:14" x14ac:dyDescent="0.25">
      <c r="A298" s="45">
        <v>45330</v>
      </c>
      <c r="B298" s="46" t="s">
        <v>67</v>
      </c>
      <c r="C298" s="47"/>
      <c r="D298" s="56">
        <f>387.1+370.47</f>
        <v>757.57</v>
      </c>
      <c r="E298" s="57">
        <v>17613.55</v>
      </c>
      <c r="F298" s="44">
        <f>E298/D298</f>
        <v>23.250062700476523</v>
      </c>
      <c r="G298" s="125" t="s">
        <v>69</v>
      </c>
      <c r="H298" s="126"/>
      <c r="I298" s="127"/>
      <c r="J298" s="128">
        <f>345+345</f>
        <v>690</v>
      </c>
      <c r="K298" s="129"/>
      <c r="L298" s="5"/>
      <c r="M298">
        <v>15</v>
      </c>
      <c r="N298" s="96">
        <f>M298*D298</f>
        <v>11363.550000000001</v>
      </c>
    </row>
    <row r="299" spans="1:14" x14ac:dyDescent="0.25">
      <c r="A299" s="94">
        <v>45451</v>
      </c>
      <c r="B299" s="46" t="s">
        <v>47</v>
      </c>
      <c r="C299" s="47"/>
      <c r="D299" s="56">
        <f>454.5+144.9</f>
        <v>599.4</v>
      </c>
      <c r="E299" s="57">
        <v>13188.34</v>
      </c>
      <c r="F299" s="44">
        <f>E299/D299</f>
        <v>22.00256923590257</v>
      </c>
      <c r="G299" s="110" t="s">
        <v>59</v>
      </c>
      <c r="H299" s="111"/>
      <c r="I299" s="112"/>
      <c r="J299" s="113"/>
      <c r="K299" s="114"/>
      <c r="L299" s="5"/>
      <c r="N299" s="96">
        <f>E298-N298</f>
        <v>6249.9999999999982</v>
      </c>
    </row>
    <row r="300" spans="1:14" x14ac:dyDescent="0.25">
      <c r="A300" s="45"/>
      <c r="B300" s="46"/>
      <c r="C300" s="47"/>
      <c r="D300" s="56"/>
      <c r="E300" s="57"/>
      <c r="F300" s="44"/>
      <c r="G300" s="110" t="s">
        <v>61</v>
      </c>
      <c r="H300" s="111"/>
      <c r="I300" s="112"/>
      <c r="J300" s="113"/>
      <c r="K300" s="114"/>
      <c r="L300" s="5"/>
    </row>
    <row r="301" spans="1:14" x14ac:dyDescent="0.25">
      <c r="A301" s="45"/>
      <c r="B301" s="46"/>
      <c r="C301" s="47"/>
      <c r="D301" s="56"/>
      <c r="E301" s="57"/>
      <c r="F301" s="44"/>
      <c r="G301" s="110" t="s">
        <v>51</v>
      </c>
      <c r="H301" s="111"/>
      <c r="I301" s="112"/>
      <c r="J301" s="113"/>
      <c r="K301" s="114"/>
      <c r="L301" s="5"/>
    </row>
    <row r="302" spans="1:14" x14ac:dyDescent="0.25">
      <c r="A302" s="48"/>
      <c r="B302" s="46"/>
      <c r="C302" s="39"/>
      <c r="D302" s="52"/>
      <c r="E302" s="53"/>
      <c r="F302" s="44"/>
      <c r="G302" s="110" t="s">
        <v>58</v>
      </c>
      <c r="H302" s="111"/>
      <c r="I302" s="112"/>
      <c r="J302" s="113"/>
      <c r="K302" s="114"/>
      <c r="L302" s="5"/>
    </row>
    <row r="303" spans="1:14" x14ac:dyDescent="0.25">
      <c r="A303" s="48"/>
      <c r="B303" s="35"/>
      <c r="C303" s="39"/>
      <c r="D303" s="52"/>
      <c r="E303" s="53"/>
      <c r="F303" s="44"/>
      <c r="G303" s="110" t="s">
        <v>51</v>
      </c>
      <c r="H303" s="111"/>
      <c r="I303" s="112"/>
      <c r="J303" s="113"/>
      <c r="K303" s="114"/>
      <c r="L303" s="5"/>
    </row>
    <row r="304" spans="1:14" x14ac:dyDescent="0.25">
      <c r="A304" s="48"/>
      <c r="B304" s="35"/>
      <c r="C304" s="39"/>
      <c r="D304" s="52"/>
      <c r="E304" s="53"/>
      <c r="F304" s="44"/>
      <c r="G304" s="77"/>
      <c r="H304" s="78" t="s">
        <v>69</v>
      </c>
      <c r="I304" s="79"/>
      <c r="J304" s="113"/>
      <c r="K304" s="114"/>
      <c r="L304" s="5"/>
    </row>
    <row r="305" spans="1:12" x14ac:dyDescent="0.25">
      <c r="A305" s="38"/>
      <c r="B305" s="35"/>
      <c r="C305" s="39"/>
      <c r="D305" s="52"/>
      <c r="E305" s="53"/>
      <c r="F305" s="44"/>
      <c r="G305" s="77"/>
      <c r="H305" s="78" t="s">
        <v>72</v>
      </c>
      <c r="I305" s="79"/>
      <c r="J305" s="113"/>
      <c r="K305" s="114"/>
      <c r="L305" s="5"/>
    </row>
    <row r="306" spans="1:12" ht="15.75" thickBot="1" x14ac:dyDescent="0.3">
      <c r="A306" s="5"/>
      <c r="B306" s="5"/>
      <c r="C306" s="7" t="s">
        <v>35</v>
      </c>
      <c r="D306" s="17">
        <f>SUM(D298:D305)</f>
        <v>1356.97</v>
      </c>
      <c r="E306" s="17">
        <f>SUM(E298:E305)</f>
        <v>30801.89</v>
      </c>
      <c r="F306" s="89">
        <f>AVERAGE(F298:F302)</f>
        <v>22.626315968189544</v>
      </c>
      <c r="G306" s="110" t="s">
        <v>73</v>
      </c>
      <c r="H306" s="111"/>
      <c r="I306" s="112"/>
      <c r="J306" s="113"/>
      <c r="K306" s="114"/>
      <c r="L306" s="7" t="s">
        <v>36</v>
      </c>
    </row>
    <row r="307" spans="1:12" ht="15.75" thickBot="1" x14ac:dyDescent="0.3">
      <c r="A307" s="5"/>
      <c r="B307" s="5"/>
      <c r="C307" s="5"/>
      <c r="D307" s="5"/>
      <c r="E307" s="5"/>
      <c r="F307" s="5"/>
      <c r="G307" s="130"/>
      <c r="H307" s="131"/>
      <c r="I307" s="132"/>
      <c r="J307" s="133"/>
      <c r="K307" s="134"/>
      <c r="L307" s="18">
        <f>J298+J299+J300+J301+J302+J303+J304+J305+J306</f>
        <v>690</v>
      </c>
    </row>
    <row r="308" spans="1:12" ht="15.75" thickBo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75" thickBot="1" x14ac:dyDescent="0.3">
      <c r="A309" s="19"/>
      <c r="B309" s="20"/>
      <c r="C309" s="20"/>
      <c r="D309" s="20"/>
      <c r="E309" s="21" t="s">
        <v>13</v>
      </c>
      <c r="F309" s="5"/>
      <c r="G309" s="19"/>
      <c r="H309" s="20"/>
      <c r="I309" s="20"/>
      <c r="J309" s="20"/>
      <c r="K309" s="21" t="s">
        <v>13</v>
      </c>
      <c r="L309" s="5"/>
    </row>
    <row r="310" spans="1:12" x14ac:dyDescent="0.25">
      <c r="A310" s="22" t="s">
        <v>31</v>
      </c>
      <c r="B310" s="115">
        <v>18186</v>
      </c>
      <c r="C310" s="116"/>
      <c r="D310" s="116"/>
      <c r="E310" s="117"/>
      <c r="F310" s="5"/>
      <c r="G310" s="22" t="s">
        <v>32</v>
      </c>
      <c r="H310" s="115">
        <v>42762</v>
      </c>
      <c r="I310" s="116"/>
      <c r="J310" s="116"/>
      <c r="K310" s="117"/>
      <c r="L310" s="95"/>
    </row>
    <row r="311" spans="1:1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x14ac:dyDescent="0.25">
      <c r="A312" s="7" t="s">
        <v>16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x14ac:dyDescent="0.25">
      <c r="A313" s="9" t="s">
        <v>17</v>
      </c>
      <c r="B313" s="23">
        <f>L290-C285</f>
        <v>2973</v>
      </c>
      <c r="C313" s="5"/>
      <c r="D313" s="106" t="s">
        <v>18</v>
      </c>
      <c r="E313" s="107"/>
      <c r="F313" s="24" t="s">
        <v>19</v>
      </c>
      <c r="G313" s="9" t="s">
        <v>20</v>
      </c>
      <c r="H313" s="118">
        <f>B310+H310</f>
        <v>60948</v>
      </c>
      <c r="I313" s="119"/>
      <c r="J313" s="60"/>
      <c r="K313" s="5"/>
      <c r="L313" s="5"/>
    </row>
    <row r="314" spans="1:12" x14ac:dyDescent="0.25">
      <c r="A314" s="9" t="s">
        <v>41</v>
      </c>
      <c r="B314" s="40">
        <f>B313/D306</f>
        <v>2.1909106317752052</v>
      </c>
      <c r="C314" s="5"/>
      <c r="D314" s="102">
        <f>E306</f>
        <v>30801.89</v>
      </c>
      <c r="E314" s="103"/>
      <c r="F314" s="25">
        <f>H314/B313</f>
        <v>12.87443323242516</v>
      </c>
      <c r="G314" s="9" t="s">
        <v>21</v>
      </c>
      <c r="H314" s="104">
        <f>L307+D314+D316+D318+D320+A317</f>
        <v>38275.69</v>
      </c>
      <c r="I314" s="105"/>
      <c r="J314" s="5"/>
      <c r="K314" s="5"/>
      <c r="L314" s="5"/>
    </row>
    <row r="315" spans="1:12" x14ac:dyDescent="0.25">
      <c r="A315" s="9" t="s">
        <v>43</v>
      </c>
      <c r="B315" s="23">
        <f>D306/B313*100</f>
        <v>45.643121426168854</v>
      </c>
      <c r="C315" s="5"/>
      <c r="D315" s="106" t="s">
        <v>33</v>
      </c>
      <c r="E315" s="107"/>
      <c r="F315" s="5"/>
      <c r="G315" s="13" t="s">
        <v>22</v>
      </c>
      <c r="H315" s="6"/>
      <c r="I315" s="26">
        <f>H313-H314</f>
        <v>22672.309999999998</v>
      </c>
      <c r="J315" s="5"/>
      <c r="K315" s="5"/>
      <c r="L315" s="5"/>
    </row>
    <row r="316" spans="1:12" x14ac:dyDescent="0.25">
      <c r="A316" s="106" t="s">
        <v>40</v>
      </c>
      <c r="B316" s="107"/>
      <c r="C316" s="5"/>
      <c r="D316" s="149">
        <v>1000</v>
      </c>
      <c r="E316" s="150"/>
      <c r="F316" s="5"/>
      <c r="G316" s="5"/>
      <c r="H316" s="5"/>
      <c r="I316" s="5"/>
      <c r="J316" s="5"/>
      <c r="K316" s="5"/>
      <c r="L316" s="5"/>
    </row>
    <row r="317" spans="1:12" x14ac:dyDescent="0.25">
      <c r="A317" s="108">
        <f>B313*0.6</f>
        <v>1783.8</v>
      </c>
      <c r="B317" s="109"/>
      <c r="C317" s="5"/>
      <c r="D317" s="106" t="s">
        <v>34</v>
      </c>
      <c r="E317" s="107"/>
      <c r="F317" s="5"/>
      <c r="G317" s="145" t="s">
        <v>292</v>
      </c>
      <c r="H317" s="146"/>
      <c r="I317" s="23">
        <f>B313/2.3</f>
        <v>1292.608695652174</v>
      </c>
      <c r="J317" s="60"/>
      <c r="K317" s="5"/>
      <c r="L317" s="5"/>
    </row>
    <row r="318" spans="1:12" x14ac:dyDescent="0.25">
      <c r="A318" s="5"/>
      <c r="B318" s="5"/>
      <c r="C318" s="5"/>
      <c r="D318" s="108">
        <v>0</v>
      </c>
      <c r="E318" s="109"/>
      <c r="F318" s="5"/>
      <c r="G318" s="145" t="s">
        <v>294</v>
      </c>
      <c r="H318" s="146"/>
      <c r="I318" s="23">
        <f>I317-D306</f>
        <v>-64.361304347826035</v>
      </c>
      <c r="J318" s="5"/>
      <c r="K318" s="5"/>
      <c r="L318" s="5"/>
    </row>
    <row r="319" spans="1:12" x14ac:dyDescent="0.25">
      <c r="A319" s="5"/>
      <c r="B319" s="5"/>
      <c r="C319" s="5"/>
      <c r="D319" s="106" t="s">
        <v>37</v>
      </c>
      <c r="E319" s="107"/>
      <c r="F319" s="5"/>
      <c r="G319" s="147" t="s">
        <v>295</v>
      </c>
      <c r="H319" s="148"/>
      <c r="I319" s="86">
        <f>I318*F306</f>
        <v>-1456.2592082987235</v>
      </c>
      <c r="J319" s="87">
        <f>I315-I319</f>
        <v>24128.569208298723</v>
      </c>
      <c r="K319" s="5"/>
      <c r="L319" s="5"/>
    </row>
    <row r="320" spans="1:12" x14ac:dyDescent="0.25">
      <c r="A320" s="5"/>
      <c r="B320" s="5"/>
      <c r="C320" s="5"/>
      <c r="D320" s="108">
        <v>4000</v>
      </c>
      <c r="E320" s="109"/>
      <c r="F320" s="5" t="s">
        <v>78</v>
      </c>
      <c r="G320" s="5"/>
      <c r="H320" s="5"/>
      <c r="I320" s="5"/>
      <c r="J320" s="88" t="s">
        <v>293</v>
      </c>
      <c r="K320" s="44"/>
      <c r="L320" s="5"/>
    </row>
    <row r="322" spans="1:12" s="49" customFormat="1" x14ac:dyDescent="0.25"/>
    <row r="325" spans="1:12" x14ac:dyDescent="0.25">
      <c r="A325" s="120" t="s">
        <v>24</v>
      </c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</row>
    <row r="326" spans="1:12" x14ac:dyDescent="0.25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</row>
    <row r="327" spans="1:12" x14ac:dyDescent="0.25">
      <c r="A327" s="1" t="s">
        <v>4</v>
      </c>
      <c r="B327" s="2"/>
      <c r="C327" s="90"/>
      <c r="D327" s="2"/>
      <c r="E327" s="2"/>
      <c r="F327" s="2"/>
      <c r="G327" s="3" t="s">
        <v>5</v>
      </c>
      <c r="H327" s="3" t="s">
        <v>6</v>
      </c>
      <c r="I327" s="4" t="s">
        <v>7</v>
      </c>
      <c r="J327" s="5"/>
      <c r="K327" s="5"/>
      <c r="L327" s="5"/>
    </row>
    <row r="328" spans="1:12" x14ac:dyDescent="0.25">
      <c r="A328" s="91" t="s">
        <v>296</v>
      </c>
      <c r="B328" s="92" t="s">
        <v>42</v>
      </c>
      <c r="C328" s="64"/>
      <c r="D328" s="66"/>
      <c r="E328" s="2"/>
      <c r="F328" s="2"/>
      <c r="G328" s="91" t="s">
        <v>299</v>
      </c>
      <c r="H328" s="66"/>
      <c r="I328" s="33"/>
      <c r="J328" s="6"/>
      <c r="K328" s="33"/>
      <c r="L328" s="6"/>
    </row>
    <row r="329" spans="1:12" x14ac:dyDescent="0.25">
      <c r="A329" s="7" t="s">
        <v>2</v>
      </c>
      <c r="B329" s="5"/>
      <c r="C329" s="5"/>
      <c r="D329" s="5"/>
      <c r="E329" s="5"/>
      <c r="F329" s="5"/>
      <c r="G329" s="8" t="s">
        <v>8</v>
      </c>
      <c r="H329" s="93">
        <v>3</v>
      </c>
      <c r="I329" s="5"/>
      <c r="J329" s="5"/>
      <c r="K329" s="5"/>
      <c r="L329" s="5"/>
    </row>
    <row r="330" spans="1:12" x14ac:dyDescent="0.25">
      <c r="A330" s="7" t="s">
        <v>25</v>
      </c>
      <c r="B330" s="5"/>
      <c r="C330" s="7" t="s">
        <v>0</v>
      </c>
      <c r="D330" s="5"/>
      <c r="E330" s="5"/>
      <c r="F330" s="5"/>
      <c r="G330" s="7" t="s">
        <v>25</v>
      </c>
      <c r="H330" s="5"/>
      <c r="I330" s="7" t="s">
        <v>0</v>
      </c>
      <c r="J330" s="5"/>
      <c r="K330" s="5"/>
      <c r="L330" s="5"/>
    </row>
    <row r="331" spans="1:12" x14ac:dyDescent="0.25">
      <c r="A331" s="42">
        <v>45420</v>
      </c>
      <c r="B331" s="6"/>
      <c r="C331" s="31">
        <f>L290</f>
        <v>844354</v>
      </c>
      <c r="D331" s="5"/>
      <c r="E331" s="5"/>
      <c r="F331" s="5"/>
      <c r="G331" s="42">
        <v>45330</v>
      </c>
      <c r="H331" s="6"/>
      <c r="I331" s="9"/>
      <c r="J331" s="5"/>
      <c r="K331" s="5"/>
      <c r="L331" s="5"/>
    </row>
    <row r="332" spans="1:12" ht="16.5" thickBot="1" x14ac:dyDescent="0.3">
      <c r="A332" s="7"/>
      <c r="B332" s="62"/>
      <c r="C332" s="62"/>
      <c r="D332" s="62"/>
      <c r="E332" s="5"/>
      <c r="F332" s="5"/>
      <c r="G332" s="10"/>
      <c r="H332" s="5"/>
      <c r="I332" s="5"/>
      <c r="J332" s="5"/>
      <c r="K332" s="5"/>
      <c r="L332" s="5"/>
    </row>
    <row r="333" spans="1:12" ht="15.75" thickBot="1" x14ac:dyDescent="0.3">
      <c r="A333" s="121" t="s">
        <v>9</v>
      </c>
      <c r="B333" s="122"/>
      <c r="C333" s="123"/>
      <c r="D333" s="5"/>
      <c r="E333" s="5"/>
      <c r="F333" s="5"/>
      <c r="G333" s="121" t="s">
        <v>26</v>
      </c>
      <c r="H333" s="122"/>
      <c r="I333" s="123"/>
      <c r="J333" s="5"/>
      <c r="K333" s="5"/>
      <c r="L333" s="5"/>
    </row>
    <row r="334" spans="1:12" x14ac:dyDescent="0.25">
      <c r="A334" s="30" t="s">
        <v>38</v>
      </c>
      <c r="B334" s="11"/>
      <c r="C334" s="11"/>
      <c r="D334" s="11"/>
      <c r="E334" s="6"/>
      <c r="F334" s="5"/>
      <c r="G334" s="30"/>
      <c r="H334" s="11"/>
      <c r="I334" s="11"/>
      <c r="J334" s="11"/>
      <c r="K334" s="11"/>
      <c r="L334" s="6"/>
    </row>
    <row r="335" spans="1:12" ht="15.75" thickBot="1" x14ac:dyDescent="0.3">
      <c r="A335" s="7"/>
      <c r="B335" s="7"/>
      <c r="C335" s="7"/>
      <c r="D335" s="5"/>
      <c r="E335" s="5"/>
      <c r="F335" s="5"/>
      <c r="G335" s="7" t="str">
        <f>A337</f>
        <v>Cape Town</v>
      </c>
      <c r="H335" s="7"/>
      <c r="I335" s="7"/>
      <c r="J335" s="5"/>
      <c r="K335" s="5"/>
      <c r="L335" s="5"/>
    </row>
    <row r="336" spans="1:12" ht="15.75" thickBot="1" x14ac:dyDescent="0.3">
      <c r="A336" s="121"/>
      <c r="B336" s="122"/>
      <c r="C336" s="124"/>
      <c r="D336" s="12" t="s">
        <v>1</v>
      </c>
      <c r="E336" s="32"/>
      <c r="F336" s="5"/>
      <c r="G336" s="121" t="s">
        <v>27</v>
      </c>
      <c r="H336" s="122"/>
      <c r="I336" s="123"/>
      <c r="J336" s="5"/>
      <c r="K336" s="12" t="s">
        <v>1</v>
      </c>
      <c r="L336" s="32">
        <v>847429</v>
      </c>
    </row>
    <row r="337" spans="1:12" x14ac:dyDescent="0.25">
      <c r="A337" s="30" t="s">
        <v>65</v>
      </c>
      <c r="B337" s="11"/>
      <c r="C337" s="11"/>
      <c r="D337" s="11"/>
      <c r="E337" s="6"/>
      <c r="F337" s="5"/>
      <c r="G337" s="30" t="s">
        <v>38</v>
      </c>
      <c r="H337" s="11"/>
      <c r="I337" s="11"/>
      <c r="J337" s="11"/>
      <c r="K337" s="11"/>
      <c r="L337" s="6"/>
    </row>
    <row r="338" spans="1:12" x14ac:dyDescent="0.25">
      <c r="A338" s="76"/>
      <c r="B338" s="11"/>
      <c r="C338" s="11"/>
      <c r="D338" s="11"/>
      <c r="E338" s="6"/>
      <c r="F338" s="5"/>
      <c r="G338" s="34"/>
      <c r="H338" s="11"/>
      <c r="I338" s="11"/>
      <c r="J338" s="11"/>
      <c r="K338" s="11"/>
      <c r="L338" s="6"/>
    </row>
    <row r="339" spans="1:12" x14ac:dyDescent="0.25">
      <c r="A339" s="13"/>
      <c r="B339" s="11"/>
      <c r="C339" s="11"/>
      <c r="D339" s="11"/>
      <c r="E339" s="6"/>
      <c r="F339" s="5"/>
      <c r="G339" s="13"/>
      <c r="H339" s="11"/>
      <c r="I339" s="11"/>
      <c r="J339" s="11"/>
      <c r="K339" s="11"/>
      <c r="L339" s="6"/>
    </row>
    <row r="340" spans="1:12" x14ac:dyDescent="0.25">
      <c r="A340" s="13"/>
      <c r="B340" s="11"/>
      <c r="C340" s="11"/>
      <c r="D340" s="11"/>
      <c r="E340" s="6"/>
      <c r="F340" s="5"/>
      <c r="G340" s="13"/>
      <c r="H340" s="11"/>
      <c r="I340" s="11"/>
      <c r="J340" s="11"/>
      <c r="K340" s="11"/>
      <c r="L340" s="6"/>
    </row>
    <row r="341" spans="1:12" ht="15.75" thickBot="1" x14ac:dyDescent="0.3">
      <c r="A341" s="13"/>
      <c r="B341" s="11"/>
      <c r="C341" s="11" t="s">
        <v>29</v>
      </c>
      <c r="D341" s="43"/>
      <c r="E341" s="6"/>
      <c r="F341" s="5"/>
      <c r="G341" s="13"/>
      <c r="H341" s="11"/>
      <c r="I341" s="14" t="s">
        <v>28</v>
      </c>
      <c r="J341" s="43"/>
      <c r="K341" s="59"/>
      <c r="L341" s="6"/>
    </row>
    <row r="342" spans="1:12" ht="15.75" thickBot="1" x14ac:dyDescent="0.3">
      <c r="A342" s="15" t="s">
        <v>10</v>
      </c>
      <c r="B342" s="5"/>
      <c r="C342" s="5"/>
      <c r="D342" s="5"/>
      <c r="E342" s="5"/>
      <c r="F342" s="5"/>
      <c r="G342" s="15" t="s">
        <v>14</v>
      </c>
      <c r="H342" s="5"/>
      <c r="I342" s="5"/>
      <c r="J342" s="5"/>
      <c r="K342" s="5"/>
      <c r="L342" s="5"/>
    </row>
    <row r="343" spans="1:12" ht="15.75" thickBot="1" x14ac:dyDescent="0.3">
      <c r="A343" s="121" t="s">
        <v>11</v>
      </c>
      <c r="B343" s="122"/>
      <c r="C343" s="123"/>
      <c r="D343" s="16" t="s">
        <v>12</v>
      </c>
      <c r="E343" s="16" t="s">
        <v>13</v>
      </c>
      <c r="F343" s="5"/>
      <c r="G343" s="121" t="s">
        <v>15</v>
      </c>
      <c r="H343" s="122"/>
      <c r="I343" s="123"/>
      <c r="J343" s="121"/>
      <c r="K343" s="123"/>
      <c r="L343" s="5"/>
    </row>
    <row r="344" spans="1:12" x14ac:dyDescent="0.25">
      <c r="A344" s="45">
        <v>45481</v>
      </c>
      <c r="B344" s="46" t="s">
        <v>66</v>
      </c>
      <c r="C344" s="47"/>
      <c r="D344" s="56">
        <v>314</v>
      </c>
      <c r="E344" s="57">
        <v>6986.5</v>
      </c>
      <c r="F344" s="44">
        <f>E344/D344</f>
        <v>22.25</v>
      </c>
      <c r="G344" s="125" t="s">
        <v>69</v>
      </c>
      <c r="H344" s="126"/>
      <c r="I344" s="127"/>
      <c r="J344" s="128">
        <v>0</v>
      </c>
      <c r="K344" s="129"/>
      <c r="L344" s="5"/>
    </row>
    <row r="345" spans="1:12" x14ac:dyDescent="0.25">
      <c r="A345" s="94">
        <v>45543</v>
      </c>
      <c r="B345" s="46" t="s">
        <v>305</v>
      </c>
      <c r="C345" s="47"/>
      <c r="D345" s="56">
        <v>200</v>
      </c>
      <c r="E345" s="57">
        <v>4522</v>
      </c>
      <c r="F345" s="44">
        <f>E345/D345</f>
        <v>22.61</v>
      </c>
      <c r="G345" s="110" t="s">
        <v>59</v>
      </c>
      <c r="H345" s="111"/>
      <c r="I345" s="112"/>
      <c r="J345" s="113"/>
      <c r="K345" s="114"/>
      <c r="L345" s="5"/>
    </row>
    <row r="346" spans="1:12" x14ac:dyDescent="0.25">
      <c r="A346" s="45">
        <v>45543</v>
      </c>
      <c r="B346" s="46" t="s">
        <v>66</v>
      </c>
      <c r="C346" s="47"/>
      <c r="D346" s="56">
        <f>404.49+183</f>
        <v>587.49</v>
      </c>
      <c r="E346" s="57">
        <f>8999.9+4071.75</f>
        <v>13071.65</v>
      </c>
      <c r="F346" s="44">
        <f>E346/D346</f>
        <v>22.24999574460842</v>
      </c>
      <c r="G346" s="110" t="s">
        <v>61</v>
      </c>
      <c r="H346" s="111"/>
      <c r="I346" s="112"/>
      <c r="J346" s="113"/>
      <c r="K346" s="114"/>
      <c r="L346" s="5"/>
    </row>
    <row r="347" spans="1:12" x14ac:dyDescent="0.25">
      <c r="A347" s="45" t="s">
        <v>325</v>
      </c>
      <c r="B347" s="46" t="s">
        <v>47</v>
      </c>
      <c r="C347" s="47"/>
      <c r="D347" s="56">
        <v>439</v>
      </c>
      <c r="E347" s="57">
        <v>9658</v>
      </c>
      <c r="F347" s="44">
        <f>E347/D347</f>
        <v>22</v>
      </c>
      <c r="G347" s="110" t="s">
        <v>51</v>
      </c>
      <c r="H347" s="111"/>
      <c r="I347" s="112"/>
      <c r="J347" s="113"/>
      <c r="K347" s="114"/>
      <c r="L347" s="5"/>
    </row>
    <row r="348" spans="1:12" x14ac:dyDescent="0.25">
      <c r="A348" s="48"/>
      <c r="B348" s="46"/>
      <c r="C348" s="39"/>
      <c r="D348" s="52"/>
      <c r="E348" s="53"/>
      <c r="F348" s="44"/>
      <c r="G348" s="110" t="s">
        <v>58</v>
      </c>
      <c r="H348" s="111"/>
      <c r="I348" s="112"/>
      <c r="J348" s="113"/>
      <c r="K348" s="114"/>
      <c r="L348" s="5"/>
    </row>
    <row r="349" spans="1:12" x14ac:dyDescent="0.25">
      <c r="A349" s="48"/>
      <c r="B349" s="35"/>
      <c r="C349" s="39"/>
      <c r="D349" s="52"/>
      <c r="E349" s="53"/>
      <c r="F349" s="44"/>
      <c r="G349" s="110" t="s">
        <v>51</v>
      </c>
      <c r="H349" s="111"/>
      <c r="I349" s="112"/>
      <c r="J349" s="113"/>
      <c r="K349" s="114"/>
      <c r="L349" s="5"/>
    </row>
    <row r="350" spans="1:12" x14ac:dyDescent="0.25">
      <c r="A350" s="48"/>
      <c r="B350" s="35"/>
      <c r="C350" s="39"/>
      <c r="D350" s="52"/>
      <c r="E350" s="53"/>
      <c r="F350" s="44"/>
      <c r="G350" s="77"/>
      <c r="H350" s="78" t="s">
        <v>69</v>
      </c>
      <c r="I350" s="79"/>
      <c r="J350" s="113"/>
      <c r="K350" s="114"/>
      <c r="L350" s="5"/>
    </row>
    <row r="351" spans="1:12" x14ac:dyDescent="0.25">
      <c r="A351" s="38"/>
      <c r="B351" s="35"/>
      <c r="C351" s="39"/>
      <c r="D351" s="52"/>
      <c r="E351" s="53"/>
      <c r="F351" s="44"/>
      <c r="G351" s="77"/>
      <c r="H351" s="78" t="s">
        <v>72</v>
      </c>
      <c r="I351" s="79"/>
      <c r="J351" s="113"/>
      <c r="K351" s="114"/>
      <c r="L351" s="5"/>
    </row>
    <row r="352" spans="1:12" ht="15.75" thickBot="1" x14ac:dyDescent="0.3">
      <c r="A352" s="5"/>
      <c r="B352" s="5"/>
      <c r="C352" s="7" t="s">
        <v>35</v>
      </c>
      <c r="D352" s="17">
        <f>SUM(D344:D351)</f>
        <v>1540.49</v>
      </c>
      <c r="E352" s="17">
        <f>SUM(E344:E351)</f>
        <v>34238.15</v>
      </c>
      <c r="F352" s="89">
        <f>AVERAGE(F344:F348)</f>
        <v>22.277498936152107</v>
      </c>
      <c r="G352" s="110" t="s">
        <v>73</v>
      </c>
      <c r="H352" s="111"/>
      <c r="I352" s="112"/>
      <c r="J352" s="113"/>
      <c r="K352" s="114"/>
      <c r="L352" s="7" t="s">
        <v>36</v>
      </c>
    </row>
    <row r="353" spans="1:12" ht="15.75" thickBot="1" x14ac:dyDescent="0.3">
      <c r="A353" s="5"/>
      <c r="B353" s="5"/>
      <c r="C353" s="5"/>
      <c r="D353" s="5"/>
      <c r="E353" s="5"/>
      <c r="F353" s="5"/>
      <c r="G353" s="130"/>
      <c r="H353" s="131"/>
      <c r="I353" s="132"/>
      <c r="J353" s="133"/>
      <c r="K353" s="134"/>
      <c r="L353" s="18">
        <f>J344+J345+J346+J347+J348+J349+J350+J351+J352</f>
        <v>0</v>
      </c>
    </row>
    <row r="354" spans="1:12" ht="15.75" thickBo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75" thickBot="1" x14ac:dyDescent="0.3">
      <c r="A355" s="19"/>
      <c r="B355" s="20"/>
      <c r="C355" s="20"/>
      <c r="D355" s="20"/>
      <c r="E355" s="21" t="s">
        <v>13</v>
      </c>
      <c r="F355" s="5"/>
      <c r="G355" s="19"/>
      <c r="H355" s="20"/>
      <c r="I355" s="20"/>
      <c r="J355" s="20"/>
      <c r="K355" s="21" t="s">
        <v>13</v>
      </c>
      <c r="L355" s="5"/>
    </row>
    <row r="356" spans="1:12" x14ac:dyDescent="0.25">
      <c r="A356" s="22" t="s">
        <v>31</v>
      </c>
      <c r="B356" s="115">
        <v>18733</v>
      </c>
      <c r="C356" s="116"/>
      <c r="D356" s="116"/>
      <c r="E356" s="117"/>
      <c r="F356" s="5"/>
      <c r="G356" s="22" t="s">
        <v>32</v>
      </c>
      <c r="H356" s="115">
        <v>42762</v>
      </c>
      <c r="I356" s="116"/>
      <c r="J356" s="116"/>
      <c r="K356" s="117"/>
      <c r="L356" s="95"/>
    </row>
    <row r="357" spans="1:1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x14ac:dyDescent="0.25">
      <c r="A358" s="7" t="s">
        <v>16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x14ac:dyDescent="0.25">
      <c r="A359" s="9" t="s">
        <v>17</v>
      </c>
      <c r="B359" s="23">
        <f>L336-C331</f>
        <v>3075</v>
      </c>
      <c r="C359" s="5"/>
      <c r="D359" s="106" t="s">
        <v>18</v>
      </c>
      <c r="E359" s="107"/>
      <c r="F359" s="24" t="s">
        <v>19</v>
      </c>
      <c r="G359" s="9" t="s">
        <v>20</v>
      </c>
      <c r="H359" s="118">
        <f>B356+H356</f>
        <v>61495</v>
      </c>
      <c r="I359" s="119"/>
      <c r="J359" s="60"/>
      <c r="K359" s="5"/>
      <c r="L359" s="5"/>
    </row>
    <row r="360" spans="1:12" x14ac:dyDescent="0.25">
      <c r="A360" s="9" t="s">
        <v>41</v>
      </c>
      <c r="B360" s="40">
        <f>B359/D352</f>
        <v>1.9961181182610728</v>
      </c>
      <c r="C360" s="5"/>
      <c r="D360" s="102">
        <f>E352</f>
        <v>34238.15</v>
      </c>
      <c r="E360" s="103"/>
      <c r="F360" s="25">
        <f>H360/B359</f>
        <v>12.059560975609756</v>
      </c>
      <c r="G360" s="9" t="s">
        <v>21</v>
      </c>
      <c r="H360" s="104">
        <f>L353+D360+D362+D364+D366+A363</f>
        <v>37083.15</v>
      </c>
      <c r="I360" s="105"/>
      <c r="J360" s="5"/>
      <c r="K360" s="5"/>
      <c r="L360" s="5"/>
    </row>
    <row r="361" spans="1:12" x14ac:dyDescent="0.25">
      <c r="A361" s="9" t="s">
        <v>43</v>
      </c>
      <c r="B361" s="23">
        <f>D352/B359*100</f>
        <v>50.097235772357728</v>
      </c>
      <c r="C361" s="5"/>
      <c r="D361" s="106" t="s">
        <v>33</v>
      </c>
      <c r="E361" s="107"/>
      <c r="F361" s="5"/>
      <c r="G361" s="13" t="s">
        <v>22</v>
      </c>
      <c r="H361" s="6"/>
      <c r="I361" s="26">
        <f>H359-H360</f>
        <v>24411.85</v>
      </c>
      <c r="J361" s="5"/>
      <c r="K361" s="5"/>
      <c r="L361" s="5"/>
    </row>
    <row r="362" spans="1:12" x14ac:dyDescent="0.25">
      <c r="A362" s="106" t="s">
        <v>40</v>
      </c>
      <c r="B362" s="107"/>
      <c r="C362" s="5"/>
      <c r="D362" s="149">
        <v>1000</v>
      </c>
      <c r="E362" s="150"/>
      <c r="F362" s="5"/>
      <c r="G362" s="5"/>
      <c r="H362" s="5"/>
      <c r="I362" s="5"/>
      <c r="J362" s="5"/>
      <c r="K362" s="5"/>
      <c r="L362" s="5"/>
    </row>
    <row r="363" spans="1:12" x14ac:dyDescent="0.25">
      <c r="A363" s="108">
        <f>B359*0.6</f>
        <v>1845</v>
      </c>
      <c r="B363" s="109"/>
      <c r="C363" s="5"/>
      <c r="D363" s="106" t="s">
        <v>34</v>
      </c>
      <c r="E363" s="107"/>
      <c r="F363" s="5"/>
      <c r="G363" s="145" t="s">
        <v>292</v>
      </c>
      <c r="H363" s="146"/>
      <c r="I363" s="23">
        <f>B359/2.3</f>
        <v>1336.9565217391305</v>
      </c>
      <c r="J363" s="60"/>
      <c r="K363" s="5"/>
      <c r="L363" s="5"/>
    </row>
    <row r="364" spans="1:12" x14ac:dyDescent="0.25">
      <c r="A364" s="5"/>
      <c r="B364" s="5"/>
      <c r="C364" s="5"/>
      <c r="D364" s="108">
        <v>0</v>
      </c>
      <c r="E364" s="109"/>
      <c r="F364" s="5"/>
      <c r="G364" s="145" t="s">
        <v>294</v>
      </c>
      <c r="H364" s="146"/>
      <c r="I364" s="23">
        <f>I363-D352</f>
        <v>-203.53347826086951</v>
      </c>
      <c r="J364" s="5"/>
      <c r="K364" s="5"/>
      <c r="L364" s="5"/>
    </row>
    <row r="365" spans="1:12" x14ac:dyDescent="0.25">
      <c r="A365" s="5"/>
      <c r="B365" s="5"/>
      <c r="C365" s="5"/>
      <c r="D365" s="106" t="s">
        <v>37</v>
      </c>
      <c r="E365" s="107"/>
      <c r="F365" s="5"/>
      <c r="G365" s="147" t="s">
        <v>295</v>
      </c>
      <c r="H365" s="148"/>
      <c r="I365" s="86">
        <f>I364*F352</f>
        <v>-4534.216845427859</v>
      </c>
      <c r="J365" s="87">
        <f>I361-I365</f>
        <v>28946.066845427857</v>
      </c>
      <c r="K365" s="5"/>
      <c r="L365" s="5"/>
    </row>
    <row r="366" spans="1:12" x14ac:dyDescent="0.25">
      <c r="A366" s="5"/>
      <c r="B366" s="5"/>
      <c r="C366" s="5"/>
      <c r="D366" s="108">
        <v>0</v>
      </c>
      <c r="E366" s="109"/>
      <c r="F366" s="5" t="s">
        <v>78</v>
      </c>
      <c r="G366" s="5"/>
      <c r="H366" s="5"/>
      <c r="I366" s="5"/>
      <c r="J366" s="88" t="s">
        <v>293</v>
      </c>
      <c r="K366" s="44"/>
      <c r="L366" s="5"/>
    </row>
    <row r="367" spans="1:12" s="49" customFormat="1" x14ac:dyDescent="0.25"/>
    <row r="370" spans="1:12" x14ac:dyDescent="0.25">
      <c r="A370" s="120" t="s">
        <v>24</v>
      </c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</row>
    <row r="371" spans="1:12" x14ac:dyDescent="0.25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</row>
    <row r="372" spans="1:12" x14ac:dyDescent="0.25">
      <c r="A372" s="1" t="s">
        <v>4</v>
      </c>
      <c r="B372" s="2"/>
      <c r="C372" s="90"/>
      <c r="D372" s="2"/>
      <c r="E372" s="2"/>
      <c r="F372" s="2"/>
      <c r="G372" s="3" t="s">
        <v>5</v>
      </c>
      <c r="H372" s="3" t="s">
        <v>6</v>
      </c>
      <c r="I372" s="4" t="s">
        <v>7</v>
      </c>
      <c r="J372" s="5"/>
      <c r="K372" s="5"/>
      <c r="L372" s="5"/>
    </row>
    <row r="373" spans="1:12" x14ac:dyDescent="0.25">
      <c r="A373" s="91" t="s">
        <v>296</v>
      </c>
      <c r="B373" s="92" t="s">
        <v>42</v>
      </c>
      <c r="C373" s="64"/>
      <c r="D373" s="66"/>
      <c r="E373" s="2"/>
      <c r="F373" s="2"/>
      <c r="G373" s="91" t="s">
        <v>299</v>
      </c>
      <c r="H373" s="66"/>
      <c r="I373" s="33"/>
      <c r="J373" s="6"/>
      <c r="K373" s="33"/>
      <c r="L373" s="6"/>
    </row>
    <row r="374" spans="1:12" x14ac:dyDescent="0.25">
      <c r="A374" s="7" t="s">
        <v>2</v>
      </c>
      <c r="B374" s="5"/>
      <c r="C374" s="5"/>
      <c r="D374" s="5"/>
      <c r="E374" s="5"/>
      <c r="F374" s="5"/>
      <c r="G374" s="8" t="s">
        <v>8</v>
      </c>
      <c r="H374" s="93">
        <v>3</v>
      </c>
      <c r="I374" s="5"/>
      <c r="J374" s="5"/>
      <c r="K374" s="5"/>
      <c r="L374" s="5"/>
    </row>
    <row r="375" spans="1:12" x14ac:dyDescent="0.25">
      <c r="A375" s="7" t="s">
        <v>25</v>
      </c>
      <c r="B375" s="5"/>
      <c r="C375" s="7" t="s">
        <v>0</v>
      </c>
      <c r="D375" s="5"/>
      <c r="E375" s="5"/>
      <c r="F375" s="5"/>
      <c r="G375" s="7" t="s">
        <v>25</v>
      </c>
      <c r="H375" s="5"/>
      <c r="I375" s="7" t="s">
        <v>0</v>
      </c>
      <c r="J375" s="5"/>
      <c r="K375" s="5"/>
      <c r="L375" s="5"/>
    </row>
    <row r="376" spans="1:12" x14ac:dyDescent="0.25">
      <c r="A376" s="42" t="s">
        <v>325</v>
      </c>
      <c r="B376" s="6"/>
      <c r="C376" s="31">
        <f>L336</f>
        <v>847429</v>
      </c>
      <c r="D376" s="5"/>
      <c r="E376" s="5"/>
      <c r="F376" s="5"/>
      <c r="G376" s="42">
        <v>45330</v>
      </c>
      <c r="H376" s="6"/>
      <c r="I376" s="9"/>
      <c r="J376" s="5"/>
      <c r="K376" s="5"/>
      <c r="L376" s="5"/>
    </row>
    <row r="377" spans="1:12" ht="16.5" thickBot="1" x14ac:dyDescent="0.3">
      <c r="A377" s="7"/>
      <c r="B377" s="62"/>
      <c r="C377" s="62"/>
      <c r="D377" s="62"/>
      <c r="E377" s="5"/>
      <c r="F377" s="5"/>
      <c r="G377" s="10"/>
      <c r="H377" s="5"/>
      <c r="I377" s="5"/>
      <c r="J377" s="5"/>
      <c r="K377" s="5"/>
      <c r="L377" s="5"/>
    </row>
    <row r="378" spans="1:12" ht="15.75" thickBot="1" x14ac:dyDescent="0.3">
      <c r="A378" s="121" t="s">
        <v>9</v>
      </c>
      <c r="B378" s="122"/>
      <c r="C378" s="123"/>
      <c r="D378" s="5"/>
      <c r="E378" s="5"/>
      <c r="F378" s="5"/>
      <c r="G378" s="121" t="s">
        <v>26</v>
      </c>
      <c r="H378" s="122"/>
      <c r="I378" s="123"/>
      <c r="J378" s="5"/>
      <c r="K378" s="5"/>
      <c r="L378" s="5"/>
    </row>
    <row r="379" spans="1:12" x14ac:dyDescent="0.25">
      <c r="A379" s="30" t="s">
        <v>38</v>
      </c>
      <c r="B379" s="11"/>
      <c r="C379" s="11"/>
      <c r="D379" s="11"/>
      <c r="E379" s="6"/>
      <c r="F379" s="5"/>
      <c r="G379" s="30"/>
      <c r="H379" s="11"/>
      <c r="I379" s="11"/>
      <c r="J379" s="11"/>
      <c r="K379" s="11"/>
      <c r="L379" s="6"/>
    </row>
    <row r="380" spans="1:12" ht="15.75" thickBot="1" x14ac:dyDescent="0.3">
      <c r="A380" s="7"/>
      <c r="B380" s="7"/>
      <c r="C380" s="7"/>
      <c r="D380" s="5"/>
      <c r="E380" s="5"/>
      <c r="F380" s="5"/>
      <c r="G380" s="7" t="str">
        <f>A382</f>
        <v>Cape Town</v>
      </c>
      <c r="H380" s="7"/>
      <c r="I380" s="7"/>
      <c r="J380" s="5"/>
      <c r="K380" s="5"/>
      <c r="L380" s="5"/>
    </row>
    <row r="381" spans="1:12" ht="15.75" thickBot="1" x14ac:dyDescent="0.3">
      <c r="A381" s="121"/>
      <c r="B381" s="122"/>
      <c r="C381" s="124"/>
      <c r="D381" s="12" t="s">
        <v>1</v>
      </c>
      <c r="E381" s="32"/>
      <c r="F381" s="5"/>
      <c r="G381" s="121" t="s">
        <v>27</v>
      </c>
      <c r="H381" s="122"/>
      <c r="I381" s="123"/>
      <c r="J381" s="5"/>
      <c r="K381" s="12" t="s">
        <v>1</v>
      </c>
      <c r="L381" s="32">
        <v>850471</v>
      </c>
    </row>
    <row r="382" spans="1:12" x14ac:dyDescent="0.25">
      <c r="A382" s="30" t="s">
        <v>65</v>
      </c>
      <c r="B382" s="11"/>
      <c r="C382" s="11"/>
      <c r="D382" s="11"/>
      <c r="E382" s="6"/>
      <c r="F382" s="5"/>
      <c r="G382" s="30" t="s">
        <v>38</v>
      </c>
      <c r="H382" s="11"/>
      <c r="I382" s="11"/>
      <c r="J382" s="11"/>
      <c r="K382" s="11"/>
      <c r="L382" s="6"/>
    </row>
    <row r="383" spans="1:12" x14ac:dyDescent="0.25">
      <c r="A383" s="76"/>
      <c r="B383" s="11"/>
      <c r="C383" s="11"/>
      <c r="D383" s="11"/>
      <c r="E383" s="6"/>
      <c r="F383" s="5"/>
      <c r="G383" s="34"/>
      <c r="H383" s="11"/>
      <c r="I383" s="11"/>
      <c r="J383" s="11"/>
      <c r="K383" s="11"/>
      <c r="L383" s="6"/>
    </row>
    <row r="384" spans="1:12" x14ac:dyDescent="0.25">
      <c r="A384" s="13"/>
      <c r="B384" s="11"/>
      <c r="C384" s="11"/>
      <c r="D384" s="11"/>
      <c r="E384" s="6"/>
      <c r="F384" s="5"/>
      <c r="G384" s="13"/>
      <c r="H384" s="11"/>
      <c r="I384" s="11"/>
      <c r="J384" s="11"/>
      <c r="K384" s="11"/>
      <c r="L384" s="6"/>
    </row>
    <row r="385" spans="1:12" x14ac:dyDescent="0.25">
      <c r="A385" s="13"/>
      <c r="B385" s="11"/>
      <c r="C385" s="11"/>
      <c r="D385" s="11"/>
      <c r="E385" s="6"/>
      <c r="F385" s="5"/>
      <c r="G385" s="13"/>
      <c r="H385" s="11"/>
      <c r="I385" s="11"/>
      <c r="J385" s="11"/>
      <c r="K385" s="11"/>
      <c r="L385" s="6"/>
    </row>
    <row r="386" spans="1:12" ht="15.75" thickBot="1" x14ac:dyDescent="0.3">
      <c r="A386" s="13"/>
      <c r="B386" s="11"/>
      <c r="C386" s="11" t="s">
        <v>29</v>
      </c>
      <c r="D386" s="43"/>
      <c r="E386" s="6"/>
      <c r="F386" s="5"/>
      <c r="G386" s="13"/>
      <c r="H386" s="11"/>
      <c r="I386" s="14" t="s">
        <v>28</v>
      </c>
      <c r="J386" s="43"/>
      <c r="K386" s="59"/>
      <c r="L386" s="6"/>
    </row>
    <row r="387" spans="1:12" ht="15.75" thickBot="1" x14ac:dyDescent="0.3">
      <c r="A387" s="15" t="s">
        <v>10</v>
      </c>
      <c r="B387" s="5"/>
      <c r="C387" s="5"/>
      <c r="D387" s="5"/>
      <c r="E387" s="5"/>
      <c r="F387" s="5"/>
      <c r="G387" s="15" t="s">
        <v>14</v>
      </c>
      <c r="H387" s="5"/>
      <c r="I387" s="5"/>
      <c r="J387" s="5"/>
      <c r="K387" s="5"/>
      <c r="L387" s="5"/>
    </row>
    <row r="388" spans="1:12" ht="15.75" thickBot="1" x14ac:dyDescent="0.3">
      <c r="A388" s="121" t="s">
        <v>11</v>
      </c>
      <c r="B388" s="122"/>
      <c r="C388" s="123"/>
      <c r="D388" s="16" t="s">
        <v>12</v>
      </c>
      <c r="E388" s="16" t="s">
        <v>13</v>
      </c>
      <c r="F388" s="5"/>
      <c r="G388" s="121" t="s">
        <v>15</v>
      </c>
      <c r="H388" s="122"/>
      <c r="I388" s="123"/>
      <c r="J388" s="121"/>
      <c r="K388" s="123"/>
      <c r="L388" s="5"/>
    </row>
    <row r="389" spans="1:12" x14ac:dyDescent="0.25">
      <c r="A389" s="45" t="s">
        <v>326</v>
      </c>
      <c r="B389" s="46" t="s">
        <v>66</v>
      </c>
      <c r="C389" s="47"/>
      <c r="D389" s="56">
        <v>286.56900000000002</v>
      </c>
      <c r="E389" s="57">
        <v>6376.15</v>
      </c>
      <c r="F389" s="44">
        <f>E389/D389</f>
        <v>22.249964231999968</v>
      </c>
      <c r="G389" s="125" t="s">
        <v>69</v>
      </c>
      <c r="H389" s="126"/>
      <c r="I389" s="127"/>
      <c r="J389" s="128">
        <v>0</v>
      </c>
      <c r="K389" s="129"/>
      <c r="L389" s="5"/>
    </row>
    <row r="390" spans="1:12" x14ac:dyDescent="0.25">
      <c r="A390" s="94" t="s">
        <v>327</v>
      </c>
      <c r="B390" s="46" t="s">
        <v>66</v>
      </c>
      <c r="C390" s="47"/>
      <c r="D390" s="56">
        <v>698.94600000000003</v>
      </c>
      <c r="E390" s="57">
        <v>15551.55</v>
      </c>
      <c r="F390" s="44">
        <f>E390/D390</f>
        <v>22.250002146088537</v>
      </c>
      <c r="G390" s="110" t="s">
        <v>59</v>
      </c>
      <c r="H390" s="111"/>
      <c r="I390" s="112"/>
      <c r="J390" s="113"/>
      <c r="K390" s="114"/>
      <c r="L390" s="5"/>
    </row>
    <row r="391" spans="1:12" x14ac:dyDescent="0.25">
      <c r="A391" s="45" t="s">
        <v>328</v>
      </c>
      <c r="B391" s="46" t="s">
        <v>47</v>
      </c>
      <c r="C391" s="47"/>
      <c r="D391" s="56">
        <v>409.05</v>
      </c>
      <c r="E391" s="57">
        <v>8999.1</v>
      </c>
      <c r="F391" s="44">
        <f>E391/D391</f>
        <v>22</v>
      </c>
      <c r="G391" s="110" t="s">
        <v>61</v>
      </c>
      <c r="H391" s="111"/>
      <c r="I391" s="112"/>
      <c r="J391" s="113"/>
      <c r="K391" s="114"/>
      <c r="L391" s="5"/>
    </row>
    <row r="392" spans="1:12" x14ac:dyDescent="0.25">
      <c r="A392" s="45"/>
      <c r="B392" s="46"/>
      <c r="C392" s="47"/>
      <c r="D392" s="56"/>
      <c r="E392" s="57"/>
      <c r="F392" s="44"/>
      <c r="G392" s="110" t="s">
        <v>51</v>
      </c>
      <c r="H392" s="111"/>
      <c r="I392" s="112"/>
      <c r="J392" s="113"/>
      <c r="K392" s="114"/>
      <c r="L392" s="5"/>
    </row>
    <row r="393" spans="1:12" x14ac:dyDescent="0.25">
      <c r="A393" s="48"/>
      <c r="B393" s="46"/>
      <c r="C393" s="39"/>
      <c r="D393" s="52"/>
      <c r="E393" s="53"/>
      <c r="F393" s="44"/>
      <c r="G393" s="110" t="s">
        <v>58</v>
      </c>
      <c r="H393" s="111"/>
      <c r="I393" s="112"/>
      <c r="J393" s="113"/>
      <c r="K393" s="114"/>
      <c r="L393" s="5"/>
    </row>
    <row r="394" spans="1:12" x14ac:dyDescent="0.25">
      <c r="A394" s="48"/>
      <c r="B394" s="35"/>
      <c r="C394" s="39"/>
      <c r="D394" s="52"/>
      <c r="E394" s="53"/>
      <c r="F394" s="44"/>
      <c r="G394" s="110" t="s">
        <v>51</v>
      </c>
      <c r="H394" s="111"/>
      <c r="I394" s="112"/>
      <c r="J394" s="113"/>
      <c r="K394" s="114"/>
      <c r="L394" s="5"/>
    </row>
    <row r="395" spans="1:12" x14ac:dyDescent="0.25">
      <c r="A395" s="48"/>
      <c r="B395" s="35"/>
      <c r="C395" s="39"/>
      <c r="D395" s="52"/>
      <c r="E395" s="53"/>
      <c r="F395" s="44"/>
      <c r="G395" s="77"/>
      <c r="H395" s="78" t="s">
        <v>69</v>
      </c>
      <c r="I395" s="79"/>
      <c r="J395" s="113"/>
      <c r="K395" s="114"/>
      <c r="L395" s="5"/>
    </row>
    <row r="396" spans="1:12" x14ac:dyDescent="0.25">
      <c r="A396" s="38"/>
      <c r="B396" s="35"/>
      <c r="C396" s="39"/>
      <c r="D396" s="52"/>
      <c r="E396" s="53"/>
      <c r="F396" s="44"/>
      <c r="G396" s="77"/>
      <c r="H396" s="78" t="s">
        <v>72</v>
      </c>
      <c r="I396" s="79"/>
      <c r="J396" s="113"/>
      <c r="K396" s="114"/>
      <c r="L396" s="5"/>
    </row>
    <row r="397" spans="1:12" ht="15.75" thickBot="1" x14ac:dyDescent="0.3">
      <c r="A397" s="5"/>
      <c r="B397" s="5"/>
      <c r="C397" s="7" t="s">
        <v>35</v>
      </c>
      <c r="D397" s="17">
        <f>SUM(D389:D396)</f>
        <v>1394.5650000000001</v>
      </c>
      <c r="E397" s="17">
        <f>SUM(E389:E396)</f>
        <v>30926.799999999996</v>
      </c>
      <c r="F397" s="89">
        <f>AVERAGE(F389:F393)</f>
        <v>22.166655459362833</v>
      </c>
      <c r="G397" s="110" t="s">
        <v>73</v>
      </c>
      <c r="H397" s="111"/>
      <c r="I397" s="112"/>
      <c r="J397" s="113"/>
      <c r="K397" s="114"/>
      <c r="L397" s="7" t="s">
        <v>36</v>
      </c>
    </row>
    <row r="398" spans="1:12" ht="15.75" thickBot="1" x14ac:dyDescent="0.3">
      <c r="A398" s="5"/>
      <c r="B398" s="5"/>
      <c r="C398" s="5"/>
      <c r="D398" s="5"/>
      <c r="E398" s="5"/>
      <c r="F398" s="5"/>
      <c r="G398" s="130"/>
      <c r="H398" s="131"/>
      <c r="I398" s="132"/>
      <c r="J398" s="133"/>
      <c r="K398" s="134"/>
      <c r="L398" s="18">
        <f>J389+J390+J391+J392+J393+J394+J395+J396+J397</f>
        <v>0</v>
      </c>
    </row>
    <row r="399" spans="1:12" ht="15.75" thickBo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75" thickBot="1" x14ac:dyDescent="0.3">
      <c r="A400" s="19"/>
      <c r="B400" s="20"/>
      <c r="C400" s="20"/>
      <c r="D400" s="20"/>
      <c r="E400" s="21" t="s">
        <v>13</v>
      </c>
      <c r="F400" s="5"/>
      <c r="G400" s="19"/>
      <c r="H400" s="20"/>
      <c r="I400" s="20"/>
      <c r="J400" s="20"/>
      <c r="K400" s="21" t="s">
        <v>13</v>
      </c>
      <c r="L400" s="5"/>
    </row>
    <row r="401" spans="1:12" x14ac:dyDescent="0.25">
      <c r="A401" s="22" t="s">
        <v>31</v>
      </c>
      <c r="B401" s="115">
        <v>18733</v>
      </c>
      <c r="C401" s="116"/>
      <c r="D401" s="116"/>
      <c r="E401" s="117"/>
      <c r="F401" s="5"/>
      <c r="G401" s="22" t="s">
        <v>32</v>
      </c>
      <c r="H401" s="115">
        <v>42762</v>
      </c>
      <c r="I401" s="116"/>
      <c r="J401" s="116"/>
      <c r="K401" s="117"/>
      <c r="L401" s="95"/>
    </row>
    <row r="402" spans="1:1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x14ac:dyDescent="0.25">
      <c r="A403" s="7" t="s">
        <v>16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x14ac:dyDescent="0.25">
      <c r="A404" s="9" t="s">
        <v>17</v>
      </c>
      <c r="B404" s="23">
        <f>L381-C376</f>
        <v>3042</v>
      </c>
      <c r="C404" s="5"/>
      <c r="D404" s="106" t="s">
        <v>18</v>
      </c>
      <c r="E404" s="107"/>
      <c r="F404" s="24" t="s">
        <v>19</v>
      </c>
      <c r="G404" s="9" t="s">
        <v>20</v>
      </c>
      <c r="H404" s="118">
        <f>B401+H401</f>
        <v>61495</v>
      </c>
      <c r="I404" s="119"/>
      <c r="J404" s="60"/>
      <c r="K404" s="5"/>
      <c r="L404" s="5"/>
    </row>
    <row r="405" spans="1:12" x14ac:dyDescent="0.25">
      <c r="A405" s="9" t="s">
        <v>41</v>
      </c>
      <c r="B405" s="40">
        <f>B404/D397</f>
        <v>2.1813253595207107</v>
      </c>
      <c r="C405" s="5"/>
      <c r="D405" s="102">
        <f>E397</f>
        <v>30926.799999999996</v>
      </c>
      <c r="E405" s="103"/>
      <c r="F405" s="25">
        <f>H405/B404</f>
        <v>11.095332018408939</v>
      </c>
      <c r="G405" s="9" t="s">
        <v>21</v>
      </c>
      <c r="H405" s="104">
        <f>L398+D405+D407+D409+D411+A408</f>
        <v>33751.999999999993</v>
      </c>
      <c r="I405" s="105"/>
      <c r="J405" s="5"/>
      <c r="K405" s="5"/>
      <c r="L405" s="5"/>
    </row>
    <row r="406" spans="1:12" x14ac:dyDescent="0.25">
      <c r="A406" s="9" t="s">
        <v>43</v>
      </c>
      <c r="B406" s="23">
        <f>D397/B404*100</f>
        <v>45.843688362919131</v>
      </c>
      <c r="C406" s="5"/>
      <c r="D406" s="106" t="s">
        <v>33</v>
      </c>
      <c r="E406" s="107"/>
      <c r="F406" s="5"/>
      <c r="G406" s="13" t="s">
        <v>22</v>
      </c>
      <c r="H406" s="6"/>
      <c r="I406" s="26">
        <f>H404-H405</f>
        <v>27743.000000000007</v>
      </c>
      <c r="J406" s="5"/>
      <c r="K406" s="5"/>
      <c r="L406" s="5"/>
    </row>
    <row r="407" spans="1:12" x14ac:dyDescent="0.25">
      <c r="A407" s="106" t="s">
        <v>40</v>
      </c>
      <c r="B407" s="107"/>
      <c r="C407" s="5"/>
      <c r="D407" s="149">
        <v>1000</v>
      </c>
      <c r="E407" s="150"/>
      <c r="F407" s="5"/>
      <c r="G407" s="5"/>
      <c r="H407" s="5"/>
      <c r="I407" s="5"/>
      <c r="J407" s="5"/>
      <c r="K407" s="5"/>
      <c r="L407" s="5"/>
    </row>
    <row r="408" spans="1:12" x14ac:dyDescent="0.25">
      <c r="A408" s="108">
        <f>B404*0.6</f>
        <v>1825.2</v>
      </c>
      <c r="B408" s="109"/>
      <c r="C408" s="5"/>
      <c r="D408" s="106" t="s">
        <v>34</v>
      </c>
      <c r="E408" s="107"/>
      <c r="F408" s="5"/>
      <c r="G408" s="145" t="s">
        <v>292</v>
      </c>
      <c r="H408" s="146"/>
      <c r="I408" s="23">
        <f>B404/2.3</f>
        <v>1322.608695652174</v>
      </c>
      <c r="J408" s="60"/>
      <c r="K408" s="5"/>
      <c r="L408" s="5"/>
    </row>
    <row r="409" spans="1:12" x14ac:dyDescent="0.25">
      <c r="A409" s="5"/>
      <c r="B409" s="5"/>
      <c r="C409" s="5"/>
      <c r="D409" s="108">
        <v>0</v>
      </c>
      <c r="E409" s="109"/>
      <c r="F409" s="5"/>
      <c r="G409" s="145" t="s">
        <v>294</v>
      </c>
      <c r="H409" s="146"/>
      <c r="I409" s="23">
        <f>I408-D397</f>
        <v>-71.956304347826062</v>
      </c>
      <c r="J409" s="5"/>
      <c r="K409" s="5"/>
      <c r="L409" s="5"/>
    </row>
    <row r="410" spans="1:12" x14ac:dyDescent="0.25">
      <c r="A410" s="5"/>
      <c r="B410" s="5"/>
      <c r="C410" s="5"/>
      <c r="D410" s="106" t="s">
        <v>37</v>
      </c>
      <c r="E410" s="107"/>
      <c r="F410" s="5"/>
      <c r="G410" s="147" t="s">
        <v>295</v>
      </c>
      <c r="H410" s="148"/>
      <c r="I410" s="86">
        <f>I409*F397</f>
        <v>-1595.0306066073122</v>
      </c>
      <c r="J410" s="87">
        <f>I406-I410</f>
        <v>29338.030606607321</v>
      </c>
      <c r="K410" s="5"/>
      <c r="L410" s="5"/>
    </row>
    <row r="411" spans="1:12" x14ac:dyDescent="0.25">
      <c r="A411" s="5"/>
      <c r="B411" s="5"/>
      <c r="C411" s="5"/>
      <c r="D411" s="108">
        <v>0</v>
      </c>
      <c r="E411" s="109"/>
      <c r="F411" s="5" t="s">
        <v>78</v>
      </c>
      <c r="G411" s="5"/>
      <c r="H411" s="5"/>
      <c r="I411" s="5"/>
      <c r="J411" s="88" t="s">
        <v>293</v>
      </c>
      <c r="K411" s="44"/>
      <c r="L411" s="5"/>
    </row>
    <row r="413" spans="1:12" s="49" customFormat="1" x14ac:dyDescent="0.25"/>
    <row r="416" spans="1:12" x14ac:dyDescent="0.25">
      <c r="A416" s="120" t="s">
        <v>24</v>
      </c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</row>
    <row r="417" spans="1:12" x14ac:dyDescent="0.25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</row>
    <row r="418" spans="1:12" x14ac:dyDescent="0.25">
      <c r="A418" s="1" t="s">
        <v>4</v>
      </c>
      <c r="B418" s="2"/>
      <c r="C418" s="90"/>
      <c r="D418" s="2"/>
      <c r="E418" s="2"/>
      <c r="F418" s="2"/>
      <c r="G418" s="3" t="s">
        <v>5</v>
      </c>
      <c r="H418" s="3" t="s">
        <v>6</v>
      </c>
      <c r="I418" s="4" t="s">
        <v>7</v>
      </c>
      <c r="J418" s="5"/>
      <c r="K418" s="5"/>
      <c r="L418" s="5"/>
    </row>
    <row r="419" spans="1:12" x14ac:dyDescent="0.25">
      <c r="A419" s="91" t="s">
        <v>296</v>
      </c>
      <c r="B419" s="92" t="s">
        <v>42</v>
      </c>
      <c r="C419" s="64"/>
      <c r="D419" s="66"/>
      <c r="E419" s="2"/>
      <c r="F419" s="2"/>
      <c r="G419" s="91" t="s">
        <v>299</v>
      </c>
      <c r="H419" s="66"/>
      <c r="I419" s="33"/>
      <c r="J419" s="6"/>
      <c r="K419" s="33"/>
      <c r="L419" s="6"/>
    </row>
    <row r="420" spans="1:12" x14ac:dyDescent="0.25">
      <c r="A420" s="7" t="s">
        <v>2</v>
      </c>
      <c r="B420" s="5"/>
      <c r="C420" s="5"/>
      <c r="D420" s="5"/>
      <c r="E420" s="5"/>
      <c r="F420" s="5"/>
      <c r="G420" s="8" t="s">
        <v>8</v>
      </c>
      <c r="H420" s="93">
        <v>3</v>
      </c>
      <c r="I420" s="5"/>
      <c r="J420" s="5"/>
      <c r="K420" s="5"/>
      <c r="L420" s="5"/>
    </row>
    <row r="421" spans="1:12" x14ac:dyDescent="0.25">
      <c r="A421" s="7" t="s">
        <v>25</v>
      </c>
      <c r="B421" s="5"/>
      <c r="C421" s="7" t="s">
        <v>0</v>
      </c>
      <c r="D421" s="5"/>
      <c r="E421" s="5"/>
      <c r="F421" s="5"/>
      <c r="G421" s="7" t="s">
        <v>25</v>
      </c>
      <c r="H421" s="5"/>
      <c r="I421" s="7" t="s">
        <v>0</v>
      </c>
      <c r="J421" s="5"/>
      <c r="K421" s="5"/>
      <c r="L421" s="5"/>
    </row>
    <row r="422" spans="1:12" x14ac:dyDescent="0.25">
      <c r="A422" s="42" t="s">
        <v>329</v>
      </c>
      <c r="B422" s="6"/>
      <c r="C422" s="31">
        <f>L381</f>
        <v>850471</v>
      </c>
      <c r="D422" s="5"/>
      <c r="E422" s="5"/>
      <c r="F422" s="5"/>
      <c r="G422" s="42">
        <v>45330</v>
      </c>
      <c r="H422" s="6"/>
      <c r="I422" s="9"/>
      <c r="J422" s="5"/>
      <c r="K422" s="5"/>
      <c r="L422" s="5"/>
    </row>
    <row r="423" spans="1:12" ht="16.5" thickBot="1" x14ac:dyDescent="0.3">
      <c r="A423" s="7"/>
      <c r="B423" s="62"/>
      <c r="C423" s="62"/>
      <c r="D423" s="62"/>
      <c r="E423" s="5"/>
      <c r="F423" s="5"/>
      <c r="G423" s="10"/>
      <c r="H423" s="5"/>
      <c r="I423" s="5"/>
      <c r="J423" s="5"/>
      <c r="K423" s="5"/>
      <c r="L423" s="5"/>
    </row>
    <row r="424" spans="1:12" ht="15.75" thickBot="1" x14ac:dyDescent="0.3">
      <c r="A424" s="121" t="s">
        <v>9</v>
      </c>
      <c r="B424" s="122"/>
      <c r="C424" s="123"/>
      <c r="D424" s="5"/>
      <c r="E424" s="5"/>
      <c r="F424" s="5"/>
      <c r="G424" s="121" t="s">
        <v>26</v>
      </c>
      <c r="H424" s="122"/>
      <c r="I424" s="123"/>
      <c r="J424" s="5"/>
      <c r="K424" s="5"/>
      <c r="L424" s="5"/>
    </row>
    <row r="425" spans="1:12" x14ac:dyDescent="0.25">
      <c r="A425" s="30" t="s">
        <v>38</v>
      </c>
      <c r="B425" s="11"/>
      <c r="C425" s="11"/>
      <c r="D425" s="11"/>
      <c r="E425" s="6"/>
      <c r="F425" s="5"/>
      <c r="G425" s="30"/>
      <c r="H425" s="11"/>
      <c r="I425" s="11"/>
      <c r="J425" s="11"/>
      <c r="K425" s="11"/>
      <c r="L425" s="6"/>
    </row>
    <row r="426" spans="1:12" ht="15.75" thickBot="1" x14ac:dyDescent="0.3">
      <c r="A426" s="7"/>
      <c r="B426" s="7"/>
      <c r="C426" s="7"/>
      <c r="D426" s="5"/>
      <c r="E426" s="5"/>
      <c r="F426" s="5"/>
      <c r="G426" s="7" t="str">
        <f>A428</f>
        <v>Cape Town</v>
      </c>
      <c r="H426" s="7"/>
      <c r="I426" s="7"/>
      <c r="J426" s="5"/>
      <c r="K426" s="5"/>
      <c r="L426" s="5"/>
    </row>
    <row r="427" spans="1:12" ht="15.75" thickBot="1" x14ac:dyDescent="0.3">
      <c r="A427" s="121"/>
      <c r="B427" s="122"/>
      <c r="C427" s="124"/>
      <c r="D427" s="12" t="s">
        <v>1</v>
      </c>
      <c r="E427" s="32"/>
      <c r="F427" s="5"/>
      <c r="G427" s="121" t="s">
        <v>27</v>
      </c>
      <c r="H427" s="122"/>
      <c r="I427" s="123"/>
      <c r="J427" s="5"/>
      <c r="K427" s="12" t="s">
        <v>1</v>
      </c>
      <c r="L427" s="32">
        <v>853510</v>
      </c>
    </row>
    <row r="428" spans="1:12" x14ac:dyDescent="0.25">
      <c r="A428" s="30" t="s">
        <v>65</v>
      </c>
      <c r="B428" s="11"/>
      <c r="C428" s="11"/>
      <c r="D428" s="11"/>
      <c r="E428" s="6"/>
      <c r="F428" s="5"/>
      <c r="G428" s="30" t="s">
        <v>38</v>
      </c>
      <c r="H428" s="11"/>
      <c r="I428" s="11"/>
      <c r="J428" s="11"/>
      <c r="K428" s="11"/>
      <c r="L428" s="6"/>
    </row>
    <row r="429" spans="1:12" x14ac:dyDescent="0.25">
      <c r="A429" s="76"/>
      <c r="B429" s="11"/>
      <c r="C429" s="11"/>
      <c r="D429" s="11"/>
      <c r="E429" s="6"/>
      <c r="F429" s="5"/>
      <c r="G429" s="34"/>
      <c r="H429" s="11"/>
      <c r="I429" s="11"/>
      <c r="J429" s="11"/>
      <c r="K429" s="11"/>
      <c r="L429" s="6"/>
    </row>
    <row r="430" spans="1:12" x14ac:dyDescent="0.25">
      <c r="A430" s="13"/>
      <c r="B430" s="11"/>
      <c r="C430" s="11"/>
      <c r="D430" s="11"/>
      <c r="E430" s="6"/>
      <c r="F430" s="5"/>
      <c r="G430" s="13"/>
      <c r="H430" s="11"/>
      <c r="I430" s="11"/>
      <c r="J430" s="11"/>
      <c r="K430" s="11"/>
      <c r="L430" s="6"/>
    </row>
    <row r="431" spans="1:12" x14ac:dyDescent="0.25">
      <c r="A431" s="13"/>
      <c r="B431" s="11"/>
      <c r="C431" s="11"/>
      <c r="D431" s="11"/>
      <c r="E431" s="6"/>
      <c r="F431" s="5"/>
      <c r="G431" s="13"/>
      <c r="H431" s="11"/>
      <c r="I431" s="11"/>
      <c r="J431" s="11"/>
      <c r="K431" s="11"/>
      <c r="L431" s="6"/>
    </row>
    <row r="432" spans="1:12" ht="15.75" thickBot="1" x14ac:dyDescent="0.3">
      <c r="A432" s="13"/>
      <c r="B432" s="11"/>
      <c r="C432" s="11" t="s">
        <v>29</v>
      </c>
      <c r="D432" s="43"/>
      <c r="E432" s="6"/>
      <c r="F432" s="5"/>
      <c r="G432" s="13"/>
      <c r="H432" s="11"/>
      <c r="I432" s="14" t="s">
        <v>28</v>
      </c>
      <c r="J432" s="43"/>
      <c r="K432" s="59"/>
      <c r="L432" s="6"/>
    </row>
    <row r="433" spans="1:12" ht="15.75" thickBot="1" x14ac:dyDescent="0.3">
      <c r="A433" s="15" t="s">
        <v>10</v>
      </c>
      <c r="B433" s="5"/>
      <c r="C433" s="5"/>
      <c r="D433" s="5"/>
      <c r="E433" s="5"/>
      <c r="F433" s="5"/>
      <c r="G433" s="15" t="s">
        <v>14</v>
      </c>
      <c r="H433" s="5"/>
      <c r="I433" s="5"/>
      <c r="J433" s="5"/>
      <c r="K433" s="5"/>
      <c r="L433" s="5"/>
    </row>
    <row r="434" spans="1:12" ht="15.75" thickBot="1" x14ac:dyDescent="0.3">
      <c r="A434" s="121" t="s">
        <v>11</v>
      </c>
      <c r="B434" s="122"/>
      <c r="C434" s="123"/>
      <c r="D434" s="16" t="s">
        <v>12</v>
      </c>
      <c r="E434" s="16" t="s">
        <v>13</v>
      </c>
      <c r="F434" s="5"/>
      <c r="G434" s="121" t="s">
        <v>15</v>
      </c>
      <c r="H434" s="122"/>
      <c r="I434" s="123"/>
      <c r="J434" s="121"/>
      <c r="K434" s="123"/>
      <c r="L434" s="5"/>
    </row>
    <row r="435" spans="1:12" x14ac:dyDescent="0.25">
      <c r="A435" s="45" t="s">
        <v>329</v>
      </c>
      <c r="B435" s="46" t="s">
        <v>66</v>
      </c>
      <c r="C435" s="47"/>
      <c r="D435" s="56">
        <v>270.01</v>
      </c>
      <c r="E435" s="57">
        <v>6007.7</v>
      </c>
      <c r="F435" s="44">
        <f>E435/D435</f>
        <v>22.249916669752974</v>
      </c>
      <c r="G435" s="125" t="s">
        <v>69</v>
      </c>
      <c r="H435" s="126"/>
      <c r="I435" s="127"/>
      <c r="J435" s="128">
        <v>0</v>
      </c>
      <c r="K435" s="129"/>
      <c r="L435" s="5"/>
    </row>
    <row r="436" spans="1:12" x14ac:dyDescent="0.25">
      <c r="A436" s="94" t="s">
        <v>330</v>
      </c>
      <c r="B436" s="46" t="s">
        <v>66</v>
      </c>
      <c r="C436" s="47"/>
      <c r="D436" s="56">
        <v>750.01</v>
      </c>
      <c r="E436" s="57">
        <v>16687.7</v>
      </c>
      <c r="F436" s="44">
        <f>E436/D436</f>
        <v>22.249970000399998</v>
      </c>
      <c r="G436" s="110" t="s">
        <v>59</v>
      </c>
      <c r="H436" s="111"/>
      <c r="I436" s="112"/>
      <c r="J436" s="113"/>
      <c r="K436" s="114"/>
      <c r="L436" s="5"/>
    </row>
    <row r="437" spans="1:12" x14ac:dyDescent="0.25">
      <c r="A437" s="45" t="s">
        <v>333</v>
      </c>
      <c r="B437" s="46" t="s">
        <v>47</v>
      </c>
      <c r="C437" s="47"/>
      <c r="D437" s="56">
        <v>454.50200000000001</v>
      </c>
      <c r="E437" s="57">
        <v>9999</v>
      </c>
      <c r="F437" s="44">
        <f>E437/D437</f>
        <v>21.999903190745034</v>
      </c>
      <c r="G437" s="110" t="s">
        <v>61</v>
      </c>
      <c r="H437" s="111"/>
      <c r="I437" s="112"/>
      <c r="J437" s="113"/>
      <c r="K437" s="114"/>
      <c r="L437" s="5"/>
    </row>
    <row r="438" spans="1:12" x14ac:dyDescent="0.25">
      <c r="A438" s="45"/>
      <c r="B438" s="46"/>
      <c r="C438" s="47"/>
      <c r="D438" s="56"/>
      <c r="E438" s="57"/>
      <c r="F438" s="44"/>
      <c r="G438" s="110" t="s">
        <v>51</v>
      </c>
      <c r="H438" s="111"/>
      <c r="I438" s="112"/>
      <c r="J438" s="113"/>
      <c r="K438" s="114"/>
      <c r="L438" s="5"/>
    </row>
    <row r="439" spans="1:12" x14ac:dyDescent="0.25">
      <c r="A439" s="48"/>
      <c r="B439" s="46"/>
      <c r="C439" s="39"/>
      <c r="D439" s="52"/>
      <c r="E439" s="53"/>
      <c r="F439" s="44"/>
      <c r="G439" s="110" t="s">
        <v>58</v>
      </c>
      <c r="H439" s="111"/>
      <c r="I439" s="112"/>
      <c r="J439" s="113"/>
      <c r="K439" s="114"/>
      <c r="L439" s="5"/>
    </row>
    <row r="440" spans="1:12" x14ac:dyDescent="0.25">
      <c r="A440" s="48"/>
      <c r="B440" s="35"/>
      <c r="C440" s="39"/>
      <c r="D440" s="52"/>
      <c r="E440" s="53"/>
      <c r="F440" s="44"/>
      <c r="G440" s="110" t="s">
        <v>51</v>
      </c>
      <c r="H440" s="111"/>
      <c r="I440" s="112"/>
      <c r="J440" s="113"/>
      <c r="K440" s="114"/>
      <c r="L440" s="5"/>
    </row>
    <row r="441" spans="1:12" x14ac:dyDescent="0.25">
      <c r="A441" s="48"/>
      <c r="B441" s="35"/>
      <c r="C441" s="39"/>
      <c r="D441" s="52"/>
      <c r="E441" s="53"/>
      <c r="F441" s="44"/>
      <c r="G441" s="77"/>
      <c r="H441" s="78" t="s">
        <v>69</v>
      </c>
      <c r="I441" s="79"/>
      <c r="J441" s="113"/>
      <c r="K441" s="114"/>
      <c r="L441" s="5"/>
    </row>
    <row r="442" spans="1:12" x14ac:dyDescent="0.25">
      <c r="A442" s="38"/>
      <c r="B442" s="35"/>
      <c r="C442" s="39"/>
      <c r="D442" s="52"/>
      <c r="E442" s="53"/>
      <c r="F442" s="44"/>
      <c r="G442" s="77"/>
      <c r="H442" s="78" t="s">
        <v>72</v>
      </c>
      <c r="I442" s="79"/>
      <c r="J442" s="113"/>
      <c r="K442" s="114"/>
      <c r="L442" s="5"/>
    </row>
    <row r="443" spans="1:12" ht="15.75" thickBot="1" x14ac:dyDescent="0.3">
      <c r="A443" s="5"/>
      <c r="B443" s="5"/>
      <c r="C443" s="7" t="s">
        <v>35</v>
      </c>
      <c r="D443" s="17">
        <f>SUM(D435:D442)</f>
        <v>1474.5219999999999</v>
      </c>
      <c r="E443" s="17">
        <f>SUM(E435:E442)</f>
        <v>32694.400000000001</v>
      </c>
      <c r="F443" s="89">
        <f>AVERAGE(F435:F439)</f>
        <v>22.166596620299334</v>
      </c>
      <c r="G443" s="110" t="s">
        <v>73</v>
      </c>
      <c r="H443" s="111"/>
      <c r="I443" s="112"/>
      <c r="J443" s="113"/>
      <c r="K443" s="114"/>
      <c r="L443" s="7" t="s">
        <v>36</v>
      </c>
    </row>
    <row r="444" spans="1:12" ht="15.75" thickBot="1" x14ac:dyDescent="0.3">
      <c r="A444" s="5"/>
      <c r="B444" s="5"/>
      <c r="C444" s="5"/>
      <c r="D444" s="5"/>
      <c r="E444" s="5"/>
      <c r="F444" s="5"/>
      <c r="G444" s="130"/>
      <c r="H444" s="131"/>
      <c r="I444" s="132"/>
      <c r="J444" s="133"/>
      <c r="K444" s="134"/>
      <c r="L444" s="18">
        <f>J435+J436+J437+J438+J439+J440+J441+J442+J443</f>
        <v>0</v>
      </c>
    </row>
    <row r="445" spans="1:12" ht="15.75" thickBo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75" thickBot="1" x14ac:dyDescent="0.3">
      <c r="A446" s="19"/>
      <c r="B446" s="20"/>
      <c r="C446" s="20"/>
      <c r="D446" s="20"/>
      <c r="E446" s="21" t="s">
        <v>13</v>
      </c>
      <c r="F446" s="5"/>
      <c r="G446" s="19"/>
      <c r="H446" s="20"/>
      <c r="I446" s="20"/>
      <c r="J446" s="20"/>
      <c r="K446" s="21" t="s">
        <v>13</v>
      </c>
      <c r="L446" s="5"/>
    </row>
    <row r="447" spans="1:12" x14ac:dyDescent="0.25">
      <c r="A447" s="22" t="s">
        <v>31</v>
      </c>
      <c r="B447" s="115">
        <v>18733</v>
      </c>
      <c r="C447" s="116"/>
      <c r="D447" s="116"/>
      <c r="E447" s="117"/>
      <c r="F447" s="5"/>
      <c r="G447" s="22" t="s">
        <v>32</v>
      </c>
      <c r="H447" s="115">
        <v>42762</v>
      </c>
      <c r="I447" s="116"/>
      <c r="J447" s="116"/>
      <c r="K447" s="117"/>
      <c r="L447" s="95"/>
    </row>
    <row r="448" spans="1:1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x14ac:dyDescent="0.25">
      <c r="A449" s="7" t="s">
        <v>16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x14ac:dyDescent="0.25">
      <c r="A450" s="9" t="s">
        <v>17</v>
      </c>
      <c r="B450" s="23">
        <f>L427-C422</f>
        <v>3039</v>
      </c>
      <c r="C450" s="5"/>
      <c r="D450" s="106" t="s">
        <v>18</v>
      </c>
      <c r="E450" s="107"/>
      <c r="F450" s="24" t="s">
        <v>19</v>
      </c>
      <c r="G450" s="9" t="s">
        <v>20</v>
      </c>
      <c r="H450" s="118">
        <f>B447+H447</f>
        <v>61495</v>
      </c>
      <c r="I450" s="119"/>
      <c r="J450" s="60"/>
      <c r="K450" s="5"/>
      <c r="L450" s="5"/>
    </row>
    <row r="451" spans="1:12" x14ac:dyDescent="0.25">
      <c r="A451" s="9" t="s">
        <v>41</v>
      </c>
      <c r="B451" s="40">
        <f>B450/D443</f>
        <v>2.0610068890121682</v>
      </c>
      <c r="C451" s="5"/>
      <c r="D451" s="102">
        <f>E443</f>
        <v>32694.400000000001</v>
      </c>
      <c r="E451" s="103"/>
      <c r="F451" s="25">
        <f>H451/B450</f>
        <v>11.687331358999671</v>
      </c>
      <c r="G451" s="9" t="s">
        <v>21</v>
      </c>
      <c r="H451" s="104">
        <f>L444+D451+D453+D455+D457+A454</f>
        <v>35517.800000000003</v>
      </c>
      <c r="I451" s="105"/>
      <c r="J451" s="5"/>
      <c r="K451" s="5"/>
      <c r="L451" s="5"/>
    </row>
    <row r="452" spans="1:12" x14ac:dyDescent="0.25">
      <c r="A452" s="9" t="s">
        <v>43</v>
      </c>
      <c r="B452" s="23">
        <f>D443/B450*100</f>
        <v>48.519973675551164</v>
      </c>
      <c r="C452" s="5"/>
      <c r="D452" s="106" t="s">
        <v>33</v>
      </c>
      <c r="E452" s="107"/>
      <c r="F452" s="5"/>
      <c r="G452" s="13" t="s">
        <v>22</v>
      </c>
      <c r="H452" s="6"/>
      <c r="I452" s="26">
        <f>H450-H451</f>
        <v>25977.199999999997</v>
      </c>
      <c r="J452" s="5"/>
      <c r="K452" s="5"/>
      <c r="L452" s="5"/>
    </row>
    <row r="453" spans="1:12" x14ac:dyDescent="0.25">
      <c r="A453" s="106" t="s">
        <v>40</v>
      </c>
      <c r="B453" s="107"/>
      <c r="C453" s="5"/>
      <c r="D453" s="149">
        <v>1000</v>
      </c>
      <c r="E453" s="150"/>
      <c r="F453" s="5"/>
      <c r="G453" s="5"/>
      <c r="H453" s="5"/>
      <c r="I453" s="5"/>
      <c r="J453" s="5"/>
      <c r="K453" s="5"/>
      <c r="L453" s="5"/>
    </row>
    <row r="454" spans="1:12" x14ac:dyDescent="0.25">
      <c r="A454" s="108">
        <f>B450*0.6</f>
        <v>1823.3999999999999</v>
      </c>
      <c r="B454" s="109"/>
      <c r="C454" s="5"/>
      <c r="D454" s="106" t="s">
        <v>34</v>
      </c>
      <c r="E454" s="107"/>
      <c r="F454" s="5"/>
      <c r="G454" s="145" t="s">
        <v>292</v>
      </c>
      <c r="H454" s="146"/>
      <c r="I454" s="23">
        <f>B450/2.3</f>
        <v>1321.304347826087</v>
      </c>
      <c r="J454" s="60"/>
      <c r="K454" s="5"/>
      <c r="L454" s="5"/>
    </row>
    <row r="455" spans="1:12" x14ac:dyDescent="0.25">
      <c r="A455" s="5"/>
      <c r="B455" s="5"/>
      <c r="C455" s="5"/>
      <c r="D455" s="108">
        <v>0</v>
      </c>
      <c r="E455" s="109"/>
      <c r="F455" s="5"/>
      <c r="G455" s="145" t="s">
        <v>294</v>
      </c>
      <c r="H455" s="146"/>
      <c r="I455" s="23">
        <f>I454-D443</f>
        <v>-153.21765217391294</v>
      </c>
      <c r="J455" s="5"/>
      <c r="K455" s="5"/>
      <c r="L455" s="5"/>
    </row>
    <row r="456" spans="1:12" x14ac:dyDescent="0.25">
      <c r="A456" s="5"/>
      <c r="B456" s="5"/>
      <c r="C456" s="5"/>
      <c r="D456" s="106" t="s">
        <v>37</v>
      </c>
      <c r="E456" s="107"/>
      <c r="F456" s="5"/>
      <c r="G456" s="147" t="s">
        <v>295</v>
      </c>
      <c r="H456" s="148"/>
      <c r="I456" s="86">
        <f>I455*F443</f>
        <v>-3396.3138908484575</v>
      </c>
      <c r="J456" s="87">
        <f>I452-I456</f>
        <v>29373.513890848455</v>
      </c>
      <c r="K456" s="5"/>
      <c r="L456" s="5"/>
    </row>
    <row r="457" spans="1:12" x14ac:dyDescent="0.25">
      <c r="A457" s="5"/>
      <c r="B457" s="5"/>
      <c r="C457" s="5"/>
      <c r="D457" s="108">
        <v>0</v>
      </c>
      <c r="E457" s="109"/>
      <c r="F457" s="5" t="s">
        <v>78</v>
      </c>
      <c r="G457" s="5"/>
      <c r="H457" s="5"/>
      <c r="I457" s="5"/>
      <c r="J457" s="88" t="s">
        <v>293</v>
      </c>
      <c r="K457" s="44"/>
      <c r="L457" s="5"/>
    </row>
    <row r="459" spans="1:12" s="49" customFormat="1" x14ac:dyDescent="0.25"/>
    <row r="462" spans="1:12" x14ac:dyDescent="0.25">
      <c r="A462" s="120" t="s">
        <v>24</v>
      </c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</row>
    <row r="463" spans="1:12" x14ac:dyDescent="0.25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</row>
    <row r="464" spans="1:12" x14ac:dyDescent="0.25">
      <c r="A464" s="1" t="s">
        <v>4</v>
      </c>
      <c r="B464" s="2"/>
      <c r="C464" s="90"/>
      <c r="D464" s="2"/>
      <c r="E464" s="2"/>
      <c r="F464" s="2"/>
      <c r="G464" s="3" t="s">
        <v>5</v>
      </c>
      <c r="H464" s="3" t="s">
        <v>6</v>
      </c>
      <c r="I464" s="4" t="s">
        <v>7</v>
      </c>
      <c r="J464" s="5"/>
      <c r="K464" s="5"/>
      <c r="L464" s="5"/>
    </row>
    <row r="465" spans="1:12" x14ac:dyDescent="0.25">
      <c r="A465" s="91" t="s">
        <v>296</v>
      </c>
      <c r="B465" s="92" t="s">
        <v>42</v>
      </c>
      <c r="C465" s="64"/>
      <c r="D465" s="66"/>
      <c r="E465" s="2"/>
      <c r="F465" s="2"/>
      <c r="G465" s="91" t="s">
        <v>299</v>
      </c>
      <c r="H465" s="66"/>
      <c r="I465" s="33"/>
      <c r="J465" s="6"/>
      <c r="K465" s="33"/>
      <c r="L465" s="6"/>
    </row>
    <row r="466" spans="1:12" x14ac:dyDescent="0.25">
      <c r="A466" s="7" t="s">
        <v>2</v>
      </c>
      <c r="B466" s="5"/>
      <c r="C466" s="5"/>
      <c r="D466" s="5"/>
      <c r="E466" s="5"/>
      <c r="F466" s="5"/>
      <c r="G466" s="8" t="s">
        <v>8</v>
      </c>
      <c r="H466" s="93">
        <v>3</v>
      </c>
      <c r="I466" s="5"/>
      <c r="J466" s="5"/>
      <c r="K466" s="5"/>
      <c r="L466" s="5"/>
    </row>
    <row r="467" spans="1:12" x14ac:dyDescent="0.25">
      <c r="A467" s="7" t="s">
        <v>25</v>
      </c>
      <c r="B467" s="5"/>
      <c r="C467" s="7" t="s">
        <v>0</v>
      </c>
      <c r="D467" s="5"/>
      <c r="E467" s="5"/>
      <c r="F467" s="5"/>
      <c r="G467" s="7" t="s">
        <v>25</v>
      </c>
      <c r="H467" s="5"/>
      <c r="I467" s="7" t="s">
        <v>0</v>
      </c>
      <c r="J467" s="5"/>
      <c r="K467" s="5"/>
      <c r="L467" s="5"/>
    </row>
    <row r="468" spans="1:12" x14ac:dyDescent="0.25">
      <c r="A468" s="42" t="s">
        <v>334</v>
      </c>
      <c r="B468" s="6"/>
      <c r="C468" s="31">
        <f>L427</f>
        <v>853510</v>
      </c>
      <c r="D468" s="5"/>
      <c r="E468" s="5"/>
      <c r="F468" s="5"/>
      <c r="G468" s="42" t="s">
        <v>335</v>
      </c>
      <c r="H468" s="6"/>
      <c r="I468" s="9"/>
      <c r="J468" s="5"/>
      <c r="K468" s="5"/>
      <c r="L468" s="5"/>
    </row>
    <row r="469" spans="1:12" ht="16.5" thickBot="1" x14ac:dyDescent="0.3">
      <c r="A469" s="7"/>
      <c r="B469" s="62"/>
      <c r="C469" s="62"/>
      <c r="D469" s="62"/>
      <c r="E469" s="5"/>
      <c r="F469" s="5"/>
      <c r="G469" s="10"/>
      <c r="H469" s="5"/>
      <c r="I469" s="5"/>
      <c r="J469" s="5"/>
      <c r="K469" s="5"/>
      <c r="L469" s="5"/>
    </row>
    <row r="470" spans="1:12" ht="15.75" thickBot="1" x14ac:dyDescent="0.3">
      <c r="A470" s="121" t="s">
        <v>9</v>
      </c>
      <c r="B470" s="122"/>
      <c r="C470" s="123"/>
      <c r="D470" s="5"/>
      <c r="E470" s="5"/>
      <c r="F470" s="5"/>
      <c r="G470" s="121" t="s">
        <v>26</v>
      </c>
      <c r="H470" s="122"/>
      <c r="I470" s="123"/>
      <c r="J470" s="5"/>
      <c r="K470" s="5"/>
      <c r="L470" s="5"/>
    </row>
    <row r="471" spans="1:12" x14ac:dyDescent="0.25">
      <c r="A471" s="30" t="s">
        <v>38</v>
      </c>
      <c r="B471" s="11"/>
      <c r="C471" s="11"/>
      <c r="D471" s="11"/>
      <c r="E471" s="6"/>
      <c r="F471" s="5"/>
      <c r="G471" s="30"/>
      <c r="H471" s="11"/>
      <c r="I471" s="11"/>
      <c r="J471" s="11"/>
      <c r="K471" s="11"/>
      <c r="L471" s="6"/>
    </row>
    <row r="472" spans="1:12" ht="15.75" thickBot="1" x14ac:dyDescent="0.3">
      <c r="A472" s="7"/>
      <c r="B472" s="7"/>
      <c r="C472" s="7"/>
      <c r="D472" s="5"/>
      <c r="E472" s="5"/>
      <c r="F472" s="5"/>
      <c r="G472" s="7" t="str">
        <f>A474</f>
        <v>Cape Town</v>
      </c>
      <c r="H472" s="7"/>
      <c r="I472" s="7"/>
      <c r="J472" s="5"/>
      <c r="K472" s="5"/>
      <c r="L472" s="5"/>
    </row>
    <row r="473" spans="1:12" ht="15.75" thickBot="1" x14ac:dyDescent="0.3">
      <c r="A473" s="121"/>
      <c r="B473" s="122"/>
      <c r="C473" s="124"/>
      <c r="D473" s="12" t="s">
        <v>1</v>
      </c>
      <c r="E473" s="32"/>
      <c r="F473" s="5"/>
      <c r="G473" s="121" t="s">
        <v>27</v>
      </c>
      <c r="H473" s="122"/>
      <c r="I473" s="123"/>
      <c r="J473" s="5"/>
      <c r="K473" s="12" t="s">
        <v>1</v>
      </c>
      <c r="L473" s="32">
        <v>857583</v>
      </c>
    </row>
    <row r="474" spans="1:12" x14ac:dyDescent="0.25">
      <c r="A474" s="30" t="s">
        <v>65</v>
      </c>
      <c r="B474" s="11"/>
      <c r="C474" s="11"/>
      <c r="D474" s="11"/>
      <c r="E474" s="6"/>
      <c r="F474" s="5"/>
      <c r="G474" s="30" t="s">
        <v>38</v>
      </c>
      <c r="H474" s="11"/>
      <c r="I474" s="11"/>
      <c r="J474" s="11"/>
      <c r="K474" s="11"/>
      <c r="L474" s="6"/>
    </row>
    <row r="475" spans="1:12" x14ac:dyDescent="0.25">
      <c r="A475" s="76"/>
      <c r="B475" s="11"/>
      <c r="C475" s="11"/>
      <c r="D475" s="11"/>
      <c r="E475" s="6"/>
      <c r="F475" s="5"/>
      <c r="G475" s="34"/>
      <c r="H475" s="11"/>
      <c r="I475" s="11"/>
      <c r="J475" s="11"/>
      <c r="K475" s="11"/>
      <c r="L475" s="6"/>
    </row>
    <row r="476" spans="1:12" x14ac:dyDescent="0.25">
      <c r="A476" s="13"/>
      <c r="B476" s="11"/>
      <c r="C476" s="11"/>
      <c r="D476" s="11"/>
      <c r="E476" s="6"/>
      <c r="F476" s="5"/>
      <c r="G476" s="13"/>
      <c r="H476" s="11"/>
      <c r="I476" s="11"/>
      <c r="J476" s="11"/>
      <c r="K476" s="11"/>
      <c r="L476" s="6"/>
    </row>
    <row r="477" spans="1:12" x14ac:dyDescent="0.25">
      <c r="A477" s="13"/>
      <c r="B477" s="11"/>
      <c r="C477" s="11"/>
      <c r="D477" s="11"/>
      <c r="E477" s="6"/>
      <c r="F477" s="5"/>
      <c r="G477" s="13"/>
      <c r="H477" s="11"/>
      <c r="I477" s="11"/>
      <c r="J477" s="11"/>
      <c r="K477" s="11"/>
      <c r="L477" s="6"/>
    </row>
    <row r="478" spans="1:12" ht="15.75" thickBot="1" x14ac:dyDescent="0.3">
      <c r="A478" s="13"/>
      <c r="B478" s="11"/>
      <c r="C478" s="11" t="s">
        <v>29</v>
      </c>
      <c r="D478" s="43"/>
      <c r="E478" s="6"/>
      <c r="F478" s="5"/>
      <c r="G478" s="13"/>
      <c r="H478" s="11"/>
      <c r="I478" s="14" t="s">
        <v>28</v>
      </c>
      <c r="J478" s="43"/>
      <c r="K478" s="59"/>
      <c r="L478" s="6"/>
    </row>
    <row r="479" spans="1:12" ht="15.75" thickBot="1" x14ac:dyDescent="0.3">
      <c r="A479" s="15" t="s">
        <v>10</v>
      </c>
      <c r="B479" s="5"/>
      <c r="C479" s="5"/>
      <c r="D479" s="5"/>
      <c r="E479" s="5"/>
      <c r="F479" s="5"/>
      <c r="G479" s="15" t="s">
        <v>14</v>
      </c>
      <c r="H479" s="5"/>
      <c r="I479" s="5"/>
      <c r="J479" s="5"/>
      <c r="K479" s="5"/>
      <c r="L479" s="5"/>
    </row>
    <row r="480" spans="1:12" ht="15.75" thickBot="1" x14ac:dyDescent="0.3">
      <c r="A480" s="121" t="s">
        <v>11</v>
      </c>
      <c r="B480" s="122"/>
      <c r="C480" s="123"/>
      <c r="D480" s="16" t="s">
        <v>12</v>
      </c>
      <c r="E480" s="16" t="s">
        <v>13</v>
      </c>
      <c r="F480" s="5"/>
      <c r="G480" s="121" t="s">
        <v>15</v>
      </c>
      <c r="H480" s="122"/>
      <c r="I480" s="123"/>
      <c r="J480" s="121"/>
      <c r="K480" s="123"/>
      <c r="L480" s="5"/>
    </row>
    <row r="481" spans="1:12" x14ac:dyDescent="0.25">
      <c r="A481" s="45" t="s">
        <v>336</v>
      </c>
      <c r="B481" s="46" t="s">
        <v>66</v>
      </c>
      <c r="C481" s="47"/>
      <c r="D481" s="56">
        <v>271.01</v>
      </c>
      <c r="E481" s="57">
        <v>6029.95</v>
      </c>
      <c r="F481" s="44">
        <f>E481/D481</f>
        <v>22.249916977233312</v>
      </c>
      <c r="G481" s="125" t="s">
        <v>69</v>
      </c>
      <c r="H481" s="126"/>
      <c r="I481" s="127"/>
      <c r="J481" s="128">
        <v>0</v>
      </c>
      <c r="K481" s="129"/>
      <c r="L481" s="5"/>
    </row>
    <row r="482" spans="1:12" x14ac:dyDescent="0.25">
      <c r="A482" s="94" t="s">
        <v>337</v>
      </c>
      <c r="B482" s="46" t="s">
        <v>66</v>
      </c>
      <c r="C482" s="47"/>
      <c r="D482" s="56">
        <v>704.49</v>
      </c>
      <c r="E482" s="57">
        <v>15674.9</v>
      </c>
      <c r="F482" s="44">
        <f>E482/D482</f>
        <v>22.249996451333587</v>
      </c>
      <c r="G482" s="110" t="s">
        <v>59</v>
      </c>
      <c r="H482" s="111"/>
      <c r="I482" s="112"/>
      <c r="J482" s="113"/>
      <c r="K482" s="114"/>
      <c r="L482" s="5"/>
    </row>
    <row r="483" spans="1:12" x14ac:dyDescent="0.25">
      <c r="A483" s="45">
        <v>45331</v>
      </c>
      <c r="B483" s="46" t="s">
        <v>47</v>
      </c>
      <c r="C483" s="47"/>
      <c r="D483" s="56">
        <f>454.5+259.7</f>
        <v>714.2</v>
      </c>
      <c r="E483" s="57">
        <v>15713.1</v>
      </c>
      <c r="F483" s="44">
        <f>E483/D483</f>
        <v>22.000980117614112</v>
      </c>
      <c r="G483" s="110" t="s">
        <v>61</v>
      </c>
      <c r="H483" s="111"/>
      <c r="I483" s="112"/>
      <c r="J483" s="113"/>
      <c r="K483" s="114"/>
      <c r="L483" s="5"/>
    </row>
    <row r="484" spans="1:12" x14ac:dyDescent="0.25">
      <c r="A484" s="45"/>
      <c r="B484" s="46"/>
      <c r="C484" s="47"/>
      <c r="D484" s="56"/>
      <c r="E484" s="57"/>
      <c r="F484" s="44"/>
      <c r="G484" s="110" t="s">
        <v>51</v>
      </c>
      <c r="H484" s="111"/>
      <c r="I484" s="112"/>
      <c r="J484" s="113"/>
      <c r="K484" s="114"/>
      <c r="L484" s="5"/>
    </row>
    <row r="485" spans="1:12" x14ac:dyDescent="0.25">
      <c r="A485" s="48"/>
      <c r="B485" s="46"/>
      <c r="C485" s="39"/>
      <c r="D485" s="52"/>
      <c r="E485" s="53"/>
      <c r="F485" s="44"/>
      <c r="G485" s="110" t="s">
        <v>58</v>
      </c>
      <c r="H485" s="111"/>
      <c r="I485" s="112"/>
      <c r="J485" s="113"/>
      <c r="K485" s="114"/>
      <c r="L485" s="5"/>
    </row>
    <row r="486" spans="1:12" x14ac:dyDescent="0.25">
      <c r="A486" s="48"/>
      <c r="B486" s="35"/>
      <c r="C486" s="39"/>
      <c r="D486" s="52"/>
      <c r="E486" s="53"/>
      <c r="F486" s="44"/>
      <c r="G486" s="110" t="s">
        <v>51</v>
      </c>
      <c r="H486" s="111"/>
      <c r="I486" s="112"/>
      <c r="J486" s="113"/>
      <c r="K486" s="114"/>
      <c r="L486" s="5"/>
    </row>
    <row r="487" spans="1:12" x14ac:dyDescent="0.25">
      <c r="A487" s="48"/>
      <c r="B487" s="35"/>
      <c r="C487" s="39"/>
      <c r="D487" s="52"/>
      <c r="E487" s="53"/>
      <c r="F487" s="44"/>
      <c r="G487" s="77"/>
      <c r="H487" s="78" t="s">
        <v>69</v>
      </c>
      <c r="I487" s="79"/>
      <c r="J487" s="113"/>
      <c r="K487" s="114"/>
      <c r="L487" s="5"/>
    </row>
    <row r="488" spans="1:12" x14ac:dyDescent="0.25">
      <c r="A488" s="38"/>
      <c r="B488" s="35"/>
      <c r="C488" s="39"/>
      <c r="D488" s="52"/>
      <c r="E488" s="53"/>
      <c r="F488" s="44"/>
      <c r="G488" s="77"/>
      <c r="H488" s="78" t="s">
        <v>72</v>
      </c>
      <c r="I488" s="79"/>
      <c r="J488" s="113"/>
      <c r="K488" s="114"/>
      <c r="L488" s="5"/>
    </row>
    <row r="489" spans="1:12" ht="15.75" thickBot="1" x14ac:dyDescent="0.3">
      <c r="A489" s="5"/>
      <c r="B489" s="5"/>
      <c r="C489" s="7" t="s">
        <v>35</v>
      </c>
      <c r="D489" s="17">
        <f>SUM(D481:D488)</f>
        <v>1689.7</v>
      </c>
      <c r="E489" s="17">
        <f>SUM(E481:E488)</f>
        <v>37417.949999999997</v>
      </c>
      <c r="F489" s="89">
        <f>AVERAGE(F481:F485)</f>
        <v>22.166964515393669</v>
      </c>
      <c r="G489" s="110" t="s">
        <v>73</v>
      </c>
      <c r="H489" s="111"/>
      <c r="I489" s="112"/>
      <c r="J489" s="113"/>
      <c r="K489" s="114"/>
      <c r="L489" s="7" t="s">
        <v>36</v>
      </c>
    </row>
    <row r="490" spans="1:12" ht="15.75" thickBot="1" x14ac:dyDescent="0.3">
      <c r="A490" s="5"/>
      <c r="B490" s="5"/>
      <c r="C490" s="5"/>
      <c r="D490" s="5"/>
      <c r="E490" s="5"/>
      <c r="F490" s="5"/>
      <c r="G490" s="130"/>
      <c r="H490" s="131"/>
      <c r="I490" s="132"/>
      <c r="J490" s="133"/>
      <c r="K490" s="134"/>
      <c r="L490" s="18">
        <f>J481+J482+J483+J484+J485+J486+J487+J488+J489</f>
        <v>0</v>
      </c>
    </row>
    <row r="491" spans="1:12" ht="15.75" thickBo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75" thickBot="1" x14ac:dyDescent="0.3">
      <c r="A492" s="19"/>
      <c r="B492" s="20"/>
      <c r="C492" s="20"/>
      <c r="D492" s="20"/>
      <c r="E492" s="21" t="s">
        <v>13</v>
      </c>
      <c r="F492" s="5"/>
      <c r="G492" s="19"/>
      <c r="H492" s="20"/>
      <c r="I492" s="20"/>
      <c r="J492" s="20"/>
      <c r="K492" s="21" t="s">
        <v>13</v>
      </c>
      <c r="L492" s="5"/>
    </row>
    <row r="493" spans="1:12" x14ac:dyDescent="0.25">
      <c r="A493" s="22" t="s">
        <v>31</v>
      </c>
      <c r="B493" s="115">
        <v>18733</v>
      </c>
      <c r="C493" s="116"/>
      <c r="D493" s="116"/>
      <c r="E493" s="117"/>
      <c r="F493" s="5"/>
      <c r="G493" s="22" t="s">
        <v>32</v>
      </c>
      <c r="H493" s="115">
        <v>42762</v>
      </c>
      <c r="I493" s="116"/>
      <c r="J493" s="116"/>
      <c r="K493" s="117"/>
      <c r="L493" s="95"/>
    </row>
    <row r="494" spans="1:1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x14ac:dyDescent="0.25">
      <c r="A495" s="7" t="s">
        <v>16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x14ac:dyDescent="0.25">
      <c r="A496" s="9" t="s">
        <v>17</v>
      </c>
      <c r="B496" s="23">
        <f>L473-C468</f>
        <v>4073</v>
      </c>
      <c r="C496" s="5"/>
      <c r="D496" s="106" t="s">
        <v>18</v>
      </c>
      <c r="E496" s="107"/>
      <c r="F496" s="24" t="s">
        <v>19</v>
      </c>
      <c r="G496" s="9" t="s">
        <v>20</v>
      </c>
      <c r="H496" s="118">
        <f>B493+H493</f>
        <v>61495</v>
      </c>
      <c r="I496" s="119"/>
      <c r="J496" s="60"/>
      <c r="K496" s="5"/>
      <c r="L496" s="5"/>
    </row>
    <row r="497" spans="1:12" x14ac:dyDescent="0.25">
      <c r="A497" s="9" t="s">
        <v>41</v>
      </c>
      <c r="B497" s="40">
        <f>B496/D489</f>
        <v>2.4104870687104221</v>
      </c>
      <c r="C497" s="5"/>
      <c r="D497" s="102">
        <f>E489</f>
        <v>37417.949999999997</v>
      </c>
      <c r="E497" s="103"/>
      <c r="F497" s="25">
        <f>H497/B496</f>
        <v>10.032347164252394</v>
      </c>
      <c r="G497" s="9" t="s">
        <v>21</v>
      </c>
      <c r="H497" s="104">
        <f>L490+D497+D499+D501+D503+A500</f>
        <v>40861.75</v>
      </c>
      <c r="I497" s="105"/>
      <c r="J497" s="5"/>
      <c r="K497" s="5"/>
      <c r="L497" s="5"/>
    </row>
    <row r="498" spans="1:12" x14ac:dyDescent="0.25">
      <c r="A498" s="9" t="s">
        <v>43</v>
      </c>
      <c r="B498" s="23">
        <f>D489/B496*100</f>
        <v>41.485391603240856</v>
      </c>
      <c r="C498" s="5"/>
      <c r="D498" s="106" t="s">
        <v>33</v>
      </c>
      <c r="E498" s="107"/>
      <c r="F498" s="5"/>
      <c r="G498" s="13" t="s">
        <v>22</v>
      </c>
      <c r="H498" s="6"/>
      <c r="I498" s="26">
        <f>H496-H497</f>
        <v>20633.25</v>
      </c>
      <c r="J498" s="5"/>
      <c r="K498" s="5"/>
      <c r="L498" s="5"/>
    </row>
    <row r="499" spans="1:12" x14ac:dyDescent="0.25">
      <c r="A499" s="106" t="s">
        <v>40</v>
      </c>
      <c r="B499" s="107"/>
      <c r="C499" s="5"/>
      <c r="D499" s="149">
        <v>1000</v>
      </c>
      <c r="E499" s="150"/>
      <c r="F499" s="5"/>
      <c r="G499" s="5"/>
      <c r="H499" s="5"/>
      <c r="I499" s="5"/>
      <c r="J499" s="5"/>
      <c r="K499" s="5"/>
      <c r="L499" s="5"/>
    </row>
    <row r="500" spans="1:12" x14ac:dyDescent="0.25">
      <c r="A500" s="108">
        <f>B496*0.6</f>
        <v>2443.7999999999997</v>
      </c>
      <c r="B500" s="109"/>
      <c r="C500" s="5"/>
      <c r="D500" s="106" t="s">
        <v>34</v>
      </c>
      <c r="E500" s="107"/>
      <c r="F500" s="5"/>
      <c r="G500" s="145" t="s">
        <v>292</v>
      </c>
      <c r="H500" s="146"/>
      <c r="I500" s="23">
        <f>B496/2.3</f>
        <v>1770.8695652173915</v>
      </c>
      <c r="J500" s="60"/>
      <c r="K500" s="5"/>
      <c r="L500" s="5"/>
    </row>
    <row r="501" spans="1:12" x14ac:dyDescent="0.25">
      <c r="A501" s="5"/>
      <c r="B501" s="5"/>
      <c r="C501" s="5"/>
      <c r="D501" s="108">
        <v>0</v>
      </c>
      <c r="E501" s="109"/>
      <c r="F501" s="5"/>
      <c r="G501" s="145" t="s">
        <v>294</v>
      </c>
      <c r="H501" s="146"/>
      <c r="I501" s="23">
        <f>I500-D489</f>
        <v>81.169565217391437</v>
      </c>
      <c r="J501" s="5"/>
      <c r="K501" s="5"/>
      <c r="L501" s="5"/>
    </row>
    <row r="502" spans="1:12" x14ac:dyDescent="0.25">
      <c r="A502" s="5"/>
      <c r="B502" s="5"/>
      <c r="C502" s="5"/>
      <c r="D502" s="106" t="s">
        <v>37</v>
      </c>
      <c r="E502" s="107"/>
      <c r="F502" s="5"/>
      <c r="G502" s="147" t="s">
        <v>295</v>
      </c>
      <c r="H502" s="148"/>
      <c r="I502" s="86">
        <f>I501*F489</f>
        <v>1799.2828719038482</v>
      </c>
      <c r="J502" s="87">
        <f>I498-I502</f>
        <v>18833.967128096152</v>
      </c>
      <c r="K502" s="5"/>
      <c r="L502" s="5"/>
    </row>
    <row r="503" spans="1:12" x14ac:dyDescent="0.25">
      <c r="A503" s="5"/>
      <c r="B503" s="5"/>
      <c r="C503" s="5"/>
      <c r="D503" s="108">
        <v>0</v>
      </c>
      <c r="E503" s="109"/>
      <c r="F503" s="5" t="s">
        <v>78</v>
      </c>
      <c r="G503" s="5"/>
      <c r="H503" s="5"/>
      <c r="I503" s="5"/>
      <c r="J503" s="88" t="s">
        <v>293</v>
      </c>
      <c r="K503" s="44"/>
      <c r="L503" s="5"/>
    </row>
    <row r="504" spans="1:12" s="49" customFormat="1" x14ac:dyDescent="0.25"/>
    <row r="507" spans="1:12" x14ac:dyDescent="0.25">
      <c r="A507" s="120" t="s">
        <v>24</v>
      </c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</row>
    <row r="508" spans="1:12" x14ac:dyDescent="0.25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</row>
    <row r="509" spans="1:12" x14ac:dyDescent="0.25">
      <c r="A509" s="1" t="s">
        <v>4</v>
      </c>
      <c r="B509" s="2"/>
      <c r="C509" s="90"/>
      <c r="D509" s="2"/>
      <c r="E509" s="2"/>
      <c r="F509" s="2"/>
      <c r="G509" s="3" t="s">
        <v>5</v>
      </c>
      <c r="H509" s="3" t="s">
        <v>6</v>
      </c>
      <c r="I509" s="4" t="s">
        <v>7</v>
      </c>
      <c r="J509" s="5"/>
      <c r="K509" s="5"/>
      <c r="L509" s="5"/>
    </row>
    <row r="510" spans="1:12" x14ac:dyDescent="0.25">
      <c r="A510" s="91" t="s">
        <v>341</v>
      </c>
      <c r="B510" s="92" t="s">
        <v>42</v>
      </c>
      <c r="C510" s="64"/>
      <c r="D510" s="66"/>
      <c r="E510" s="2"/>
      <c r="F510" s="2"/>
      <c r="G510" s="91" t="s">
        <v>299</v>
      </c>
      <c r="H510" s="66"/>
      <c r="I510" s="33"/>
      <c r="J510" s="6"/>
      <c r="K510" s="33"/>
      <c r="L510" s="6"/>
    </row>
    <row r="511" spans="1:12" x14ac:dyDescent="0.25">
      <c r="A511" s="7" t="s">
        <v>2</v>
      </c>
      <c r="B511" s="5"/>
      <c r="C511" s="5"/>
      <c r="D511" s="5"/>
      <c r="E511" s="5"/>
      <c r="F511" s="5"/>
      <c r="G511" s="8" t="s">
        <v>8</v>
      </c>
      <c r="H511" s="93">
        <v>3</v>
      </c>
      <c r="I511" s="5"/>
      <c r="J511" s="5"/>
      <c r="K511" s="5"/>
      <c r="L511" s="5"/>
    </row>
    <row r="512" spans="1:12" x14ac:dyDescent="0.25">
      <c r="A512" s="7" t="s">
        <v>25</v>
      </c>
      <c r="B512" s="5"/>
      <c r="C512" s="7" t="s">
        <v>0</v>
      </c>
      <c r="D512" s="5"/>
      <c r="E512" s="5"/>
      <c r="F512" s="5"/>
      <c r="G512" s="7" t="s">
        <v>25</v>
      </c>
      <c r="H512" s="5"/>
      <c r="I512" s="7" t="s">
        <v>0</v>
      </c>
      <c r="J512" s="5"/>
      <c r="K512" s="5"/>
      <c r="L512" s="5"/>
    </row>
    <row r="513" spans="1:12" x14ac:dyDescent="0.25">
      <c r="A513" s="42">
        <v>45331</v>
      </c>
      <c r="B513" s="6"/>
      <c r="C513" s="31">
        <f>L473</f>
        <v>857583</v>
      </c>
      <c r="D513" s="5"/>
      <c r="E513" s="5"/>
      <c r="F513" s="5"/>
      <c r="G513" s="42" t="s">
        <v>335</v>
      </c>
      <c r="H513" s="6"/>
      <c r="I513" s="9"/>
      <c r="J513" s="5"/>
      <c r="K513" s="5"/>
      <c r="L513" s="5"/>
    </row>
    <row r="514" spans="1:12" ht="16.5" thickBot="1" x14ac:dyDescent="0.3">
      <c r="A514" s="7"/>
      <c r="B514" s="62"/>
      <c r="C514" s="62"/>
      <c r="D514" s="62"/>
      <c r="E514" s="5"/>
      <c r="F514" s="5"/>
      <c r="G514" s="10"/>
      <c r="H514" s="5"/>
      <c r="I514" s="5"/>
      <c r="J514" s="5"/>
      <c r="K514" s="5"/>
      <c r="L514" s="5"/>
    </row>
    <row r="515" spans="1:12" ht="15.75" thickBot="1" x14ac:dyDescent="0.3">
      <c r="A515" s="121" t="s">
        <v>9</v>
      </c>
      <c r="B515" s="122"/>
      <c r="C515" s="123"/>
      <c r="D515" s="5"/>
      <c r="E515" s="5"/>
      <c r="F515" s="5"/>
      <c r="G515" s="121" t="s">
        <v>26</v>
      </c>
      <c r="H515" s="122"/>
      <c r="I515" s="123"/>
      <c r="J515" s="5"/>
      <c r="K515" s="5"/>
      <c r="L515" s="5"/>
    </row>
    <row r="516" spans="1:12" x14ac:dyDescent="0.25">
      <c r="A516" s="30" t="s">
        <v>38</v>
      </c>
      <c r="B516" s="11"/>
      <c r="C516" s="11"/>
      <c r="D516" s="11"/>
      <c r="E516" s="6"/>
      <c r="F516" s="5"/>
      <c r="G516" s="30"/>
      <c r="H516" s="11"/>
      <c r="I516" s="11"/>
      <c r="J516" s="11"/>
      <c r="K516" s="11"/>
      <c r="L516" s="6"/>
    </row>
    <row r="517" spans="1:12" ht="15.75" thickBot="1" x14ac:dyDescent="0.3">
      <c r="A517" s="7"/>
      <c r="B517" s="7"/>
      <c r="C517" s="7"/>
      <c r="D517" s="5"/>
      <c r="E517" s="5"/>
      <c r="F517" s="5"/>
      <c r="G517" s="7" t="str">
        <f>A519</f>
        <v>Johannesburg</v>
      </c>
      <c r="H517" s="7"/>
      <c r="I517" s="7"/>
      <c r="J517" s="5"/>
      <c r="K517" s="5"/>
      <c r="L517" s="5"/>
    </row>
    <row r="518" spans="1:12" ht="15.75" thickBot="1" x14ac:dyDescent="0.3">
      <c r="A518" s="121"/>
      <c r="B518" s="122"/>
      <c r="C518" s="124"/>
      <c r="D518" s="12" t="s">
        <v>1</v>
      </c>
      <c r="E518" s="32"/>
      <c r="F518" s="5"/>
      <c r="G518" s="121" t="s">
        <v>27</v>
      </c>
      <c r="H518" s="122"/>
      <c r="I518" s="123"/>
      <c r="J518" s="5"/>
      <c r="K518" s="12" t="s">
        <v>1</v>
      </c>
      <c r="L518" s="32">
        <v>860577</v>
      </c>
    </row>
    <row r="519" spans="1:12" x14ac:dyDescent="0.25">
      <c r="A519" s="30" t="s">
        <v>68</v>
      </c>
      <c r="B519" s="11"/>
      <c r="C519" s="11"/>
      <c r="D519" s="11"/>
      <c r="E519" s="6"/>
      <c r="F519" s="5"/>
      <c r="G519" s="30" t="s">
        <v>38</v>
      </c>
      <c r="H519" s="11"/>
      <c r="I519" s="11"/>
      <c r="J519" s="11"/>
      <c r="K519" s="11"/>
      <c r="L519" s="6"/>
    </row>
    <row r="520" spans="1:12" x14ac:dyDescent="0.25">
      <c r="A520" s="76"/>
      <c r="B520" s="11"/>
      <c r="C520" s="11"/>
      <c r="D520" s="11"/>
      <c r="E520" s="6"/>
      <c r="F520" s="5"/>
      <c r="G520" s="34"/>
      <c r="H520" s="11"/>
      <c r="I520" s="11"/>
      <c r="J520" s="11"/>
      <c r="K520" s="11"/>
      <c r="L520" s="6"/>
    </row>
    <row r="521" spans="1:12" x14ac:dyDescent="0.25">
      <c r="A521" s="13"/>
      <c r="B521" s="11"/>
      <c r="C521" s="11"/>
      <c r="D521" s="11"/>
      <c r="E521" s="6"/>
      <c r="F521" s="5"/>
      <c r="G521" s="13"/>
      <c r="H521" s="11"/>
      <c r="I521" s="11"/>
      <c r="J521" s="11"/>
      <c r="K521" s="11"/>
      <c r="L521" s="6"/>
    </row>
    <row r="522" spans="1:12" x14ac:dyDescent="0.25">
      <c r="A522" s="13"/>
      <c r="B522" s="11"/>
      <c r="C522" s="11"/>
      <c r="D522" s="11"/>
      <c r="E522" s="6"/>
      <c r="F522" s="5"/>
      <c r="G522" s="13"/>
      <c r="H522" s="11"/>
      <c r="I522" s="11"/>
      <c r="J522" s="11"/>
      <c r="K522" s="11"/>
      <c r="L522" s="6"/>
    </row>
    <row r="523" spans="1:12" ht="15.75" thickBot="1" x14ac:dyDescent="0.3">
      <c r="A523" s="13"/>
      <c r="B523" s="11"/>
      <c r="C523" s="11" t="s">
        <v>29</v>
      </c>
      <c r="D523" s="43"/>
      <c r="E523" s="6"/>
      <c r="F523" s="5"/>
      <c r="G523" s="13"/>
      <c r="H523" s="11"/>
      <c r="I523" s="14" t="s">
        <v>28</v>
      </c>
      <c r="J523" s="43"/>
      <c r="K523" s="59"/>
      <c r="L523" s="6"/>
    </row>
    <row r="524" spans="1:12" ht="15.75" thickBot="1" x14ac:dyDescent="0.3">
      <c r="A524" s="15" t="s">
        <v>10</v>
      </c>
      <c r="B524" s="5"/>
      <c r="C524" s="5"/>
      <c r="D524" s="5"/>
      <c r="E524" s="5"/>
      <c r="F524" s="5"/>
      <c r="G524" s="15" t="s">
        <v>14</v>
      </c>
      <c r="H524" s="5"/>
      <c r="I524" s="5"/>
      <c r="J524" s="5"/>
      <c r="K524" s="5"/>
      <c r="L524" s="5"/>
    </row>
    <row r="525" spans="1:12" ht="15.75" thickBot="1" x14ac:dyDescent="0.3">
      <c r="A525" s="121" t="s">
        <v>11</v>
      </c>
      <c r="B525" s="122"/>
      <c r="C525" s="123"/>
      <c r="D525" s="16" t="s">
        <v>12</v>
      </c>
      <c r="E525" s="16" t="s">
        <v>13</v>
      </c>
      <c r="F525" s="5"/>
      <c r="G525" s="121" t="s">
        <v>15</v>
      </c>
      <c r="H525" s="122"/>
      <c r="I525" s="123"/>
      <c r="J525" s="121"/>
      <c r="K525" s="123"/>
      <c r="L525" s="5"/>
    </row>
    <row r="526" spans="1:12" x14ac:dyDescent="0.25">
      <c r="A526" s="45" t="s">
        <v>342</v>
      </c>
      <c r="B526" s="46" t="s">
        <v>67</v>
      </c>
      <c r="C526" s="47"/>
      <c r="D526" s="56">
        <v>639.43200000000002</v>
      </c>
      <c r="E526" s="57">
        <v>14182.6</v>
      </c>
      <c r="F526" s="44">
        <f>E526/D526</f>
        <v>22.179997247557207</v>
      </c>
      <c r="G526" s="125" t="s">
        <v>69</v>
      </c>
      <c r="H526" s="126"/>
      <c r="I526" s="127"/>
      <c r="J526" s="128">
        <f>345+345</f>
        <v>690</v>
      </c>
      <c r="K526" s="129"/>
      <c r="L526" s="5"/>
    </row>
    <row r="527" spans="1:12" x14ac:dyDescent="0.25">
      <c r="A527" s="94">
        <v>45421</v>
      </c>
      <c r="B527" s="46" t="s">
        <v>67</v>
      </c>
      <c r="C527" s="47"/>
      <c r="D527" s="56">
        <v>126.63</v>
      </c>
      <c r="E527" s="57">
        <v>2808.65</v>
      </c>
      <c r="F527" s="44">
        <f>E527/D527</f>
        <v>22.179973150122404</v>
      </c>
      <c r="G527" s="110" t="s">
        <v>59</v>
      </c>
      <c r="H527" s="111"/>
      <c r="I527" s="112"/>
      <c r="J527" s="113"/>
      <c r="K527" s="114"/>
      <c r="L527" s="5"/>
    </row>
    <row r="528" spans="1:12" x14ac:dyDescent="0.25">
      <c r="A528" s="45">
        <v>45482</v>
      </c>
      <c r="B528" s="46" t="s">
        <v>47</v>
      </c>
      <c r="C528" s="47"/>
      <c r="D528" s="56">
        <f>222+221.5</f>
        <v>443.5</v>
      </c>
      <c r="E528" s="57">
        <v>9271.4500000000007</v>
      </c>
      <c r="F528" s="44">
        <f>E528/D528</f>
        <v>20.905186020293126</v>
      </c>
      <c r="G528" s="110" t="s">
        <v>61</v>
      </c>
      <c r="H528" s="111"/>
      <c r="I528" s="112"/>
      <c r="J528" s="113"/>
      <c r="K528" s="114"/>
      <c r="L528" s="5"/>
    </row>
    <row r="529" spans="1:12" x14ac:dyDescent="0.25">
      <c r="A529" s="45"/>
      <c r="B529" s="46"/>
      <c r="C529" s="47"/>
      <c r="D529" s="56"/>
      <c r="E529" s="57"/>
      <c r="F529" s="44"/>
      <c r="G529" s="110" t="s">
        <v>51</v>
      </c>
      <c r="H529" s="111"/>
      <c r="I529" s="112"/>
      <c r="J529" s="113"/>
      <c r="K529" s="114"/>
      <c r="L529" s="5"/>
    </row>
    <row r="530" spans="1:12" x14ac:dyDescent="0.25">
      <c r="A530" s="48"/>
      <c r="B530" s="46"/>
      <c r="C530" s="39"/>
      <c r="D530" s="52"/>
      <c r="E530" s="53"/>
      <c r="F530" s="44"/>
      <c r="G530" s="110" t="s">
        <v>58</v>
      </c>
      <c r="H530" s="111"/>
      <c r="I530" s="112"/>
      <c r="J530" s="113"/>
      <c r="K530" s="114"/>
      <c r="L530" s="5"/>
    </row>
    <row r="531" spans="1:12" x14ac:dyDescent="0.25">
      <c r="A531" s="48"/>
      <c r="B531" s="35"/>
      <c r="C531" s="39"/>
      <c r="D531" s="52"/>
      <c r="E531" s="53"/>
      <c r="F531" s="44"/>
      <c r="G531" s="110" t="s">
        <v>51</v>
      </c>
      <c r="H531" s="111"/>
      <c r="I531" s="112"/>
      <c r="J531" s="113"/>
      <c r="K531" s="114"/>
      <c r="L531" s="5"/>
    </row>
    <row r="532" spans="1:12" x14ac:dyDescent="0.25">
      <c r="A532" s="48"/>
      <c r="B532" s="35"/>
      <c r="C532" s="39"/>
      <c r="D532" s="52"/>
      <c r="E532" s="53"/>
      <c r="F532" s="44"/>
      <c r="G532" s="77"/>
      <c r="H532" s="78" t="s">
        <v>69</v>
      </c>
      <c r="I532" s="79"/>
      <c r="J532" s="113"/>
      <c r="K532" s="114"/>
      <c r="L532" s="5"/>
    </row>
    <row r="533" spans="1:12" x14ac:dyDescent="0.25">
      <c r="A533" s="38"/>
      <c r="B533" s="35"/>
      <c r="C533" s="39"/>
      <c r="D533" s="52"/>
      <c r="E533" s="53"/>
      <c r="F533" s="44"/>
      <c r="G533" s="77"/>
      <c r="H533" s="78" t="s">
        <v>72</v>
      </c>
      <c r="I533" s="79"/>
      <c r="J533" s="113"/>
      <c r="K533" s="114"/>
      <c r="L533" s="5"/>
    </row>
    <row r="534" spans="1:12" ht="15.75" thickBot="1" x14ac:dyDescent="0.3">
      <c r="A534" s="5"/>
      <c r="B534" s="5"/>
      <c r="C534" s="7" t="s">
        <v>35</v>
      </c>
      <c r="D534" s="17">
        <f>SUM(D526:D533)</f>
        <v>1209.5619999999999</v>
      </c>
      <c r="E534" s="17">
        <f>SUM(E526:E533)</f>
        <v>26262.7</v>
      </c>
      <c r="F534" s="89">
        <f>AVERAGE(F526:F530)</f>
        <v>21.755052139324246</v>
      </c>
      <c r="G534" s="110" t="s">
        <v>73</v>
      </c>
      <c r="H534" s="111"/>
      <c r="I534" s="112"/>
      <c r="J534" s="113"/>
      <c r="K534" s="114"/>
      <c r="L534" s="7" t="s">
        <v>36</v>
      </c>
    </row>
    <row r="535" spans="1:12" ht="15.75" thickBot="1" x14ac:dyDescent="0.3">
      <c r="A535" s="5"/>
      <c r="B535" s="5"/>
      <c r="C535" s="5"/>
      <c r="D535" s="5"/>
      <c r="E535" s="5"/>
      <c r="F535" s="5"/>
      <c r="G535" s="130"/>
      <c r="H535" s="131"/>
      <c r="I535" s="132"/>
      <c r="J535" s="133"/>
      <c r="K535" s="134"/>
      <c r="L535" s="18">
        <f>J526+J527+J528+J529+J530+J531+J532+J533+J534</f>
        <v>690</v>
      </c>
    </row>
    <row r="536" spans="1:12" ht="15.75" thickBo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75" thickBot="1" x14ac:dyDescent="0.3">
      <c r="A537" s="19"/>
      <c r="B537" s="20"/>
      <c r="C537" s="20"/>
      <c r="D537" s="20"/>
      <c r="E537" s="21" t="s">
        <v>13</v>
      </c>
      <c r="F537" s="5"/>
      <c r="G537" s="19"/>
      <c r="H537" s="20"/>
      <c r="I537" s="20"/>
      <c r="J537" s="20"/>
      <c r="K537" s="21" t="s">
        <v>13</v>
      </c>
      <c r="L537" s="5"/>
    </row>
    <row r="538" spans="1:12" x14ac:dyDescent="0.25">
      <c r="A538" s="22" t="s">
        <v>31</v>
      </c>
      <c r="B538" s="115">
        <v>18186</v>
      </c>
      <c r="C538" s="116"/>
      <c r="D538" s="116"/>
      <c r="E538" s="117"/>
      <c r="F538" s="5"/>
      <c r="G538" s="22" t="s">
        <v>32</v>
      </c>
      <c r="H538" s="115">
        <v>42449</v>
      </c>
      <c r="I538" s="116"/>
      <c r="J538" s="116"/>
      <c r="K538" s="117"/>
      <c r="L538" s="5"/>
    </row>
    <row r="539" spans="1:1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x14ac:dyDescent="0.25">
      <c r="A540" s="7" t="s">
        <v>16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x14ac:dyDescent="0.25">
      <c r="A541" s="9" t="s">
        <v>17</v>
      </c>
      <c r="B541" s="23">
        <f>L518-C513</f>
        <v>2994</v>
      </c>
      <c r="C541" s="5"/>
      <c r="D541" s="106" t="s">
        <v>18</v>
      </c>
      <c r="E541" s="107"/>
      <c r="F541" s="24" t="s">
        <v>19</v>
      </c>
      <c r="G541" s="9" t="s">
        <v>20</v>
      </c>
      <c r="H541" s="118">
        <f>B538+H538</f>
        <v>60635</v>
      </c>
      <c r="I541" s="119"/>
      <c r="J541" s="60"/>
      <c r="K541" s="5"/>
      <c r="L541" s="5"/>
    </row>
    <row r="542" spans="1:12" x14ac:dyDescent="0.25">
      <c r="A542" s="9" t="s">
        <v>41</v>
      </c>
      <c r="B542" s="40">
        <f>B541/D534</f>
        <v>2.4752761743507157</v>
      </c>
      <c r="C542" s="5"/>
      <c r="D542" s="102">
        <f>E534</f>
        <v>26262.7</v>
      </c>
      <c r="E542" s="103"/>
      <c r="F542" s="25">
        <f>H542/B541</f>
        <v>11.305243820975285</v>
      </c>
      <c r="G542" s="9" t="s">
        <v>21</v>
      </c>
      <c r="H542" s="104">
        <f>L535+D542+D544+D546+D548+A545</f>
        <v>33847.9</v>
      </c>
      <c r="I542" s="105"/>
      <c r="J542" s="5"/>
      <c r="K542" s="5"/>
      <c r="L542" s="5"/>
    </row>
    <row r="543" spans="1:12" x14ac:dyDescent="0.25">
      <c r="A543" s="9" t="s">
        <v>43</v>
      </c>
      <c r="B543" s="23">
        <f>D534/B541*100</f>
        <v>40.399532398129587</v>
      </c>
      <c r="C543" s="5"/>
      <c r="D543" s="106" t="s">
        <v>33</v>
      </c>
      <c r="E543" s="107"/>
      <c r="F543" s="5"/>
      <c r="G543" s="13" t="s">
        <v>22</v>
      </c>
      <c r="H543" s="6"/>
      <c r="I543" s="26">
        <f>H541-H542</f>
        <v>26787.1</v>
      </c>
      <c r="J543" s="5"/>
      <c r="K543" s="5"/>
      <c r="L543" s="5"/>
    </row>
    <row r="544" spans="1:12" x14ac:dyDescent="0.25">
      <c r="A544" s="106" t="s">
        <v>40</v>
      </c>
      <c r="B544" s="107"/>
      <c r="C544" s="5"/>
      <c r="D544" s="149">
        <v>1000</v>
      </c>
      <c r="E544" s="150"/>
      <c r="F544" s="5"/>
      <c r="G544" s="5"/>
      <c r="H544" s="5"/>
      <c r="I544" s="5"/>
      <c r="J544" s="5"/>
      <c r="K544" s="5"/>
      <c r="L544" s="5"/>
    </row>
    <row r="545" spans="1:12" x14ac:dyDescent="0.25">
      <c r="A545" s="108">
        <f>B541*0.8</f>
        <v>2395.2000000000003</v>
      </c>
      <c r="B545" s="109"/>
      <c r="C545" s="5"/>
      <c r="D545" s="106" t="s">
        <v>34</v>
      </c>
      <c r="E545" s="107"/>
      <c r="F545" s="5"/>
      <c r="G545" s="145" t="s">
        <v>292</v>
      </c>
      <c r="H545" s="146"/>
      <c r="I545" s="23">
        <f>B541/2.3</f>
        <v>1301.7391304347827</v>
      </c>
      <c r="J545" s="60"/>
      <c r="K545" s="5"/>
      <c r="L545" s="5"/>
    </row>
    <row r="546" spans="1:12" x14ac:dyDescent="0.25">
      <c r="A546" s="5"/>
      <c r="B546" s="5"/>
      <c r="C546" s="5"/>
      <c r="D546" s="108"/>
      <c r="E546" s="109"/>
      <c r="F546" s="5"/>
      <c r="G546" s="145" t="s">
        <v>294</v>
      </c>
      <c r="H546" s="146"/>
      <c r="I546" s="23">
        <f>I545-D534</f>
        <v>92.177130434782839</v>
      </c>
      <c r="J546" s="5"/>
      <c r="K546" s="5"/>
      <c r="L546" s="5"/>
    </row>
    <row r="547" spans="1:12" x14ac:dyDescent="0.25">
      <c r="A547" s="5"/>
      <c r="B547" s="5"/>
      <c r="C547" s="5"/>
      <c r="D547" s="106" t="s">
        <v>37</v>
      </c>
      <c r="E547" s="107"/>
      <c r="F547" s="5"/>
      <c r="G547" s="147" t="s">
        <v>295</v>
      </c>
      <c r="H547" s="148"/>
      <c r="I547" s="86">
        <f>I546*F534</f>
        <v>2005.3182786619925</v>
      </c>
      <c r="J547" s="87">
        <f>I543-I547</f>
        <v>24781.781721338008</v>
      </c>
      <c r="K547" s="5"/>
      <c r="L547" s="5"/>
    </row>
    <row r="548" spans="1:12" x14ac:dyDescent="0.25">
      <c r="A548" s="5"/>
      <c r="B548" s="5"/>
      <c r="C548" s="5"/>
      <c r="D548" s="108">
        <v>3500</v>
      </c>
      <c r="E548" s="109"/>
      <c r="F548" s="5" t="s">
        <v>78</v>
      </c>
      <c r="G548" s="5"/>
      <c r="H548" s="5"/>
      <c r="I548" s="5"/>
      <c r="J548" s="88" t="s">
        <v>293</v>
      </c>
      <c r="K548" s="44"/>
      <c r="L548" s="5"/>
    </row>
    <row r="550" spans="1:12" s="49" customFormat="1" x14ac:dyDescent="0.25"/>
    <row r="553" spans="1:12" x14ac:dyDescent="0.25">
      <c r="A553" s="120" t="s">
        <v>24</v>
      </c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</row>
    <row r="554" spans="1:12" x14ac:dyDescent="0.25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</row>
    <row r="555" spans="1:12" x14ac:dyDescent="0.25">
      <c r="A555" s="1" t="s">
        <v>4</v>
      </c>
      <c r="B555" s="2"/>
      <c r="C555" s="90"/>
      <c r="D555" s="2"/>
      <c r="E555" s="2"/>
      <c r="F555" s="2"/>
      <c r="G555" s="3" t="s">
        <v>5</v>
      </c>
      <c r="H555" s="3" t="s">
        <v>6</v>
      </c>
      <c r="I555" s="4" t="s">
        <v>7</v>
      </c>
      <c r="J555" s="5"/>
      <c r="K555" s="5"/>
      <c r="L555" s="5"/>
    </row>
    <row r="556" spans="1:12" x14ac:dyDescent="0.25">
      <c r="A556" s="91" t="s">
        <v>341</v>
      </c>
      <c r="B556" s="92" t="s">
        <v>42</v>
      </c>
      <c r="C556" s="64"/>
      <c r="D556" s="66"/>
      <c r="E556" s="2"/>
      <c r="F556" s="2"/>
      <c r="G556" s="91" t="s">
        <v>299</v>
      </c>
      <c r="H556" s="66"/>
      <c r="I556" s="33"/>
      <c r="J556" s="6"/>
      <c r="K556" s="33"/>
      <c r="L556" s="6"/>
    </row>
    <row r="557" spans="1:12" x14ac:dyDescent="0.25">
      <c r="A557" s="7" t="s">
        <v>2</v>
      </c>
      <c r="B557" s="5"/>
      <c r="C557" s="5"/>
      <c r="D557" s="5"/>
      <c r="E557" s="5"/>
      <c r="F557" s="5"/>
      <c r="G557" s="8" t="s">
        <v>8</v>
      </c>
      <c r="H557" s="93">
        <v>3</v>
      </c>
      <c r="I557" s="5"/>
      <c r="J557" s="5"/>
      <c r="K557" s="5"/>
      <c r="L557" s="5"/>
    </row>
    <row r="558" spans="1:12" x14ac:dyDescent="0.25">
      <c r="A558" s="7" t="s">
        <v>25</v>
      </c>
      <c r="B558" s="5"/>
      <c r="C558" s="7" t="s">
        <v>0</v>
      </c>
      <c r="D558" s="5"/>
      <c r="E558" s="5"/>
      <c r="F558" s="5"/>
      <c r="G558" s="7" t="s">
        <v>25</v>
      </c>
      <c r="H558" s="5"/>
      <c r="I558" s="7" t="s">
        <v>0</v>
      </c>
      <c r="J558" s="5"/>
      <c r="K558" s="5"/>
      <c r="L558" s="5"/>
    </row>
    <row r="559" spans="1:12" x14ac:dyDescent="0.25">
      <c r="A559" s="42" t="s">
        <v>343</v>
      </c>
      <c r="B559" s="6"/>
      <c r="C559" s="31">
        <f>L518</f>
        <v>860577</v>
      </c>
      <c r="D559" s="5"/>
      <c r="E559" s="5"/>
      <c r="F559" s="5"/>
      <c r="G559" s="42" t="s">
        <v>335</v>
      </c>
      <c r="H559" s="6"/>
      <c r="I559" s="9"/>
      <c r="J559" s="5"/>
      <c r="K559" s="5"/>
      <c r="L559" s="5"/>
    </row>
    <row r="560" spans="1:12" ht="16.5" thickBot="1" x14ac:dyDescent="0.3">
      <c r="A560" s="7"/>
      <c r="B560" s="62"/>
      <c r="C560" s="62"/>
      <c r="D560" s="62"/>
      <c r="E560" s="5"/>
      <c r="F560" s="5"/>
      <c r="G560" s="10"/>
      <c r="H560" s="5"/>
      <c r="I560" s="5"/>
      <c r="J560" s="5"/>
      <c r="K560" s="5"/>
      <c r="L560" s="5"/>
    </row>
    <row r="561" spans="1:16" ht="15.75" thickBot="1" x14ac:dyDescent="0.3">
      <c r="A561" s="121" t="s">
        <v>9</v>
      </c>
      <c r="B561" s="122"/>
      <c r="C561" s="123"/>
      <c r="D561" s="5"/>
      <c r="E561" s="5"/>
      <c r="F561" s="5"/>
      <c r="G561" s="121" t="s">
        <v>26</v>
      </c>
      <c r="H561" s="122"/>
      <c r="I561" s="123"/>
      <c r="J561" s="5"/>
      <c r="K561" s="5"/>
      <c r="L561" s="5"/>
    </row>
    <row r="562" spans="1:16" x14ac:dyDescent="0.25">
      <c r="A562" s="30" t="s">
        <v>38</v>
      </c>
      <c r="B562" s="11"/>
      <c r="C562" s="11"/>
      <c r="D562" s="11"/>
      <c r="E562" s="6"/>
      <c r="F562" s="5"/>
      <c r="G562" s="30"/>
      <c r="H562" s="11"/>
      <c r="I562" s="11"/>
      <c r="J562" s="11"/>
      <c r="K562" s="11"/>
      <c r="L562" s="6"/>
    </row>
    <row r="563" spans="1:16" ht="15.75" thickBot="1" x14ac:dyDescent="0.3">
      <c r="A563" s="7"/>
      <c r="B563" s="7"/>
      <c r="C563" s="7"/>
      <c r="D563" s="5"/>
      <c r="E563" s="5"/>
      <c r="F563" s="5"/>
      <c r="G563" s="7" t="str">
        <f>A565</f>
        <v>Cape Town</v>
      </c>
      <c r="H563" s="7"/>
      <c r="I563" s="7"/>
      <c r="J563" s="5"/>
      <c r="K563" s="5"/>
      <c r="L563" s="5"/>
    </row>
    <row r="564" spans="1:16" ht="15.75" thickBot="1" x14ac:dyDescent="0.3">
      <c r="A564" s="121"/>
      <c r="B564" s="122"/>
      <c r="C564" s="124"/>
      <c r="D564" s="12" t="s">
        <v>1</v>
      </c>
      <c r="E564" s="32"/>
      <c r="F564" s="5"/>
      <c r="G564" s="121" t="s">
        <v>27</v>
      </c>
      <c r="H564" s="122"/>
      <c r="I564" s="123"/>
      <c r="J564" s="5"/>
      <c r="K564" s="12" t="s">
        <v>1</v>
      </c>
      <c r="L564" s="32">
        <v>863641</v>
      </c>
    </row>
    <row r="565" spans="1:16" x14ac:dyDescent="0.25">
      <c r="A565" s="30" t="s">
        <v>65</v>
      </c>
      <c r="B565" s="11"/>
      <c r="C565" s="11"/>
      <c r="D565" s="11"/>
      <c r="E565" s="6"/>
      <c r="F565" s="5"/>
      <c r="G565" s="30" t="s">
        <v>38</v>
      </c>
      <c r="H565" s="11"/>
      <c r="I565" s="11"/>
      <c r="J565" s="11"/>
      <c r="K565" s="11"/>
      <c r="L565" s="6"/>
    </row>
    <row r="566" spans="1:16" x14ac:dyDescent="0.25">
      <c r="A566" s="76"/>
      <c r="B566" s="11"/>
      <c r="C566" s="11"/>
      <c r="D566" s="11"/>
      <c r="E566" s="6"/>
      <c r="F566" s="5"/>
      <c r="G566" s="34"/>
      <c r="H566" s="11"/>
      <c r="I566" s="11"/>
      <c r="J566" s="11"/>
      <c r="K566" s="11"/>
      <c r="L566" s="6"/>
    </row>
    <row r="567" spans="1:16" x14ac:dyDescent="0.25">
      <c r="A567" s="13"/>
      <c r="B567" s="11"/>
      <c r="C567" s="11"/>
      <c r="D567" s="11"/>
      <c r="E567" s="6"/>
      <c r="F567" s="5"/>
      <c r="G567" s="13"/>
      <c r="H567" s="11"/>
      <c r="I567" s="11"/>
      <c r="J567" s="11"/>
      <c r="K567" s="11"/>
      <c r="L567" s="6"/>
    </row>
    <row r="568" spans="1:16" x14ac:dyDescent="0.25">
      <c r="A568" s="13"/>
      <c r="B568" s="11"/>
      <c r="C568" s="11"/>
      <c r="D568" s="11"/>
      <c r="E568" s="6"/>
      <c r="F568" s="5"/>
      <c r="G568" s="13"/>
      <c r="H568" s="11"/>
      <c r="I568" s="11"/>
      <c r="J568" s="11"/>
      <c r="K568" s="11"/>
      <c r="L568" s="6"/>
    </row>
    <row r="569" spans="1:16" ht="15.75" thickBot="1" x14ac:dyDescent="0.3">
      <c r="A569" s="13"/>
      <c r="B569" s="11"/>
      <c r="C569" s="11" t="s">
        <v>29</v>
      </c>
      <c r="D569" s="43"/>
      <c r="E569" s="6"/>
      <c r="F569" s="5"/>
      <c r="G569" s="13"/>
      <c r="H569" s="11"/>
      <c r="I569" s="14" t="s">
        <v>28</v>
      </c>
      <c r="J569" s="43"/>
      <c r="K569" s="59"/>
      <c r="L569" s="6"/>
    </row>
    <row r="570" spans="1:16" ht="15.75" thickBot="1" x14ac:dyDescent="0.3">
      <c r="A570" s="15" t="s">
        <v>10</v>
      </c>
      <c r="B570" s="5"/>
      <c r="C570" s="5"/>
      <c r="D570" s="5"/>
      <c r="E570" s="5"/>
      <c r="F570" s="5"/>
      <c r="G570" s="15" t="s">
        <v>14</v>
      </c>
      <c r="H570" s="5"/>
      <c r="I570" s="5"/>
      <c r="J570" s="5"/>
      <c r="K570" s="5"/>
      <c r="L570" s="5"/>
    </row>
    <row r="571" spans="1:16" ht="15.75" thickBot="1" x14ac:dyDescent="0.3">
      <c r="A571" s="121" t="s">
        <v>11</v>
      </c>
      <c r="B571" s="122"/>
      <c r="C571" s="123"/>
      <c r="D571" s="16" t="s">
        <v>12</v>
      </c>
      <c r="E571" s="16" t="s">
        <v>13</v>
      </c>
      <c r="F571" s="5"/>
      <c r="G571" s="121" t="s">
        <v>15</v>
      </c>
      <c r="H571" s="122"/>
      <c r="I571" s="123"/>
      <c r="J571" s="121"/>
      <c r="K571" s="123"/>
      <c r="L571" s="5"/>
    </row>
    <row r="572" spans="1:16" x14ac:dyDescent="0.25">
      <c r="A572" s="45">
        <v>45513</v>
      </c>
      <c r="B572" s="46" t="s">
        <v>66</v>
      </c>
      <c r="C572" s="47"/>
      <c r="D572" s="56">
        <v>289.38</v>
      </c>
      <c r="E572" s="57">
        <v>6120.4</v>
      </c>
      <c r="F572" s="44">
        <f>E572/D572</f>
        <v>21.150044923629828</v>
      </c>
      <c r="G572" s="125" t="s">
        <v>69</v>
      </c>
      <c r="H572" s="126"/>
      <c r="I572" s="127"/>
      <c r="J572" s="128">
        <v>0</v>
      </c>
      <c r="K572" s="129"/>
      <c r="L572" s="5"/>
    </row>
    <row r="573" spans="1:16" x14ac:dyDescent="0.25">
      <c r="A573" s="94">
        <v>45605</v>
      </c>
      <c r="B573" s="46" t="s">
        <v>66</v>
      </c>
      <c r="C573" s="47"/>
      <c r="D573" s="56">
        <f>692.67+17.199</f>
        <v>709.86899999999991</v>
      </c>
      <c r="E573" s="57">
        <f>14649.95+363.75</f>
        <v>15013.7</v>
      </c>
      <c r="F573" s="44">
        <f>E573/D573</f>
        <v>21.149958654343269</v>
      </c>
      <c r="G573" s="110" t="s">
        <v>59</v>
      </c>
      <c r="H573" s="111"/>
      <c r="I573" s="112"/>
      <c r="J573" s="113"/>
      <c r="K573" s="114"/>
      <c r="L573" s="5"/>
      <c r="O573">
        <v>692.67</v>
      </c>
    </row>
    <row r="574" spans="1:16" x14ac:dyDescent="0.25">
      <c r="A574" s="45" t="s">
        <v>344</v>
      </c>
      <c r="B574" s="46" t="s">
        <v>47</v>
      </c>
      <c r="C574" s="47"/>
      <c r="D574" s="56">
        <f>154.6+302.4</f>
        <v>457</v>
      </c>
      <c r="E574" s="57">
        <v>9554.02</v>
      </c>
      <c r="F574" s="44">
        <f>E574/D574</f>
        <v>20.905951859956236</v>
      </c>
      <c r="G574" s="110" t="s">
        <v>61</v>
      </c>
      <c r="H574" s="111"/>
      <c r="I574" s="112"/>
      <c r="J574" s="113"/>
      <c r="K574" s="114"/>
      <c r="L574" s="5"/>
      <c r="O574">
        <v>17.199000000000002</v>
      </c>
      <c r="P574">
        <f>14649.95+363.75</f>
        <v>15013.7</v>
      </c>
    </row>
    <row r="575" spans="1:16" x14ac:dyDescent="0.25">
      <c r="A575" s="45"/>
      <c r="B575" s="46"/>
      <c r="C575" s="47"/>
      <c r="D575" s="56"/>
      <c r="E575" s="57"/>
      <c r="F575" s="44"/>
      <c r="G575" s="110" t="s">
        <v>51</v>
      </c>
      <c r="H575" s="111"/>
      <c r="I575" s="112"/>
      <c r="J575" s="113"/>
      <c r="K575" s="114"/>
      <c r="L575" s="5"/>
      <c r="O575" s="97">
        <f>SUM(O573:O574)</f>
        <v>709.86899999999991</v>
      </c>
    </row>
    <row r="576" spans="1:16" x14ac:dyDescent="0.25">
      <c r="A576" s="48"/>
      <c r="B576" s="46"/>
      <c r="C576" s="39"/>
      <c r="D576" s="52"/>
      <c r="E576" s="53"/>
      <c r="F576" s="44"/>
      <c r="G576" s="110" t="s">
        <v>58</v>
      </c>
      <c r="H576" s="111"/>
      <c r="I576" s="112"/>
      <c r="J576" s="113"/>
      <c r="K576" s="114"/>
      <c r="L576" s="5"/>
    </row>
    <row r="577" spans="1:15" x14ac:dyDescent="0.25">
      <c r="A577" s="48"/>
      <c r="B577" s="35"/>
      <c r="C577" s="39"/>
      <c r="D577" s="52"/>
      <c r="E577" s="53"/>
      <c r="F577" s="44"/>
      <c r="G577" s="110" t="s">
        <v>51</v>
      </c>
      <c r="H577" s="111"/>
      <c r="I577" s="112"/>
      <c r="J577" s="113"/>
      <c r="K577" s="114"/>
      <c r="L577" s="5"/>
      <c r="O577">
        <f>425.53+284.34</f>
        <v>709.86999999999989</v>
      </c>
    </row>
    <row r="578" spans="1:15" x14ac:dyDescent="0.25">
      <c r="A578" s="48"/>
      <c r="B578" s="35"/>
      <c r="C578" s="39"/>
      <c r="D578" s="52"/>
      <c r="E578" s="53"/>
      <c r="F578" s="44"/>
      <c r="G578" s="77"/>
      <c r="H578" s="78" t="s">
        <v>69</v>
      </c>
      <c r="I578" s="79"/>
      <c r="J578" s="113"/>
      <c r="K578" s="114"/>
      <c r="L578" s="5"/>
    </row>
    <row r="579" spans="1:15" x14ac:dyDescent="0.25">
      <c r="A579" s="38"/>
      <c r="B579" s="35"/>
      <c r="C579" s="39"/>
      <c r="D579" s="52"/>
      <c r="E579" s="53"/>
      <c r="F579" s="44"/>
      <c r="G579" s="77"/>
      <c r="H579" s="78" t="s">
        <v>72</v>
      </c>
      <c r="I579" s="79"/>
      <c r="J579" s="113"/>
      <c r="K579" s="114"/>
      <c r="L579" s="5"/>
    </row>
    <row r="580" spans="1:15" ht="15.75" thickBot="1" x14ac:dyDescent="0.3">
      <c r="A580" s="5"/>
      <c r="B580" s="5"/>
      <c r="C580" s="7" t="s">
        <v>35</v>
      </c>
      <c r="D580" s="17">
        <f>SUM(D572:D579)</f>
        <v>1456.2489999999998</v>
      </c>
      <c r="E580" s="17">
        <f>SUM(E572:E579)</f>
        <v>30688.12</v>
      </c>
      <c r="F580" s="89">
        <f>AVERAGE(F572:F576)</f>
        <v>21.068651812643111</v>
      </c>
      <c r="G580" s="110" t="s">
        <v>73</v>
      </c>
      <c r="H580" s="111"/>
      <c r="I580" s="112"/>
      <c r="J580" s="113"/>
      <c r="K580" s="114"/>
      <c r="L580" s="7" t="s">
        <v>36</v>
      </c>
    </row>
    <row r="581" spans="1:15" ht="15.75" thickBot="1" x14ac:dyDescent="0.3">
      <c r="A581" s="5"/>
      <c r="B581" s="5"/>
      <c r="C581" s="5"/>
      <c r="D581" s="5"/>
      <c r="E581" s="5"/>
      <c r="F581" s="5"/>
      <c r="G581" s="130"/>
      <c r="H581" s="131"/>
      <c r="I581" s="132"/>
      <c r="J581" s="133"/>
      <c r="K581" s="134"/>
      <c r="L581" s="18">
        <f>J572+J573+J574+J575+J576+J577+J578+J579+J580</f>
        <v>0</v>
      </c>
    </row>
    <row r="582" spans="1:15" ht="15.75" thickBo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5" ht="15.75" thickBot="1" x14ac:dyDescent="0.3">
      <c r="A583" s="19"/>
      <c r="B583" s="20"/>
      <c r="C583" s="20"/>
      <c r="D583" s="20"/>
      <c r="E583" s="21" t="s">
        <v>13</v>
      </c>
      <c r="F583" s="5"/>
      <c r="G583" s="19"/>
      <c r="H583" s="20"/>
      <c r="I583" s="20"/>
      <c r="J583" s="20"/>
      <c r="K583" s="21" t="s">
        <v>13</v>
      </c>
      <c r="L583" s="5"/>
    </row>
    <row r="584" spans="1:15" x14ac:dyDescent="0.25">
      <c r="A584" s="22" t="s">
        <v>31</v>
      </c>
      <c r="B584" s="115">
        <v>18733</v>
      </c>
      <c r="C584" s="116"/>
      <c r="D584" s="116"/>
      <c r="E584" s="117"/>
      <c r="F584" s="5"/>
      <c r="G584" s="22" t="s">
        <v>32</v>
      </c>
      <c r="H584" s="115">
        <v>42449</v>
      </c>
      <c r="I584" s="116"/>
      <c r="J584" s="116"/>
      <c r="K584" s="117"/>
      <c r="L584" s="5"/>
    </row>
    <row r="585" spans="1:1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5" x14ac:dyDescent="0.25">
      <c r="A586" s="7" t="s">
        <v>16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5" x14ac:dyDescent="0.25">
      <c r="A587" s="9" t="s">
        <v>17</v>
      </c>
      <c r="B587" s="23">
        <f>L564-C559</f>
        <v>3064</v>
      </c>
      <c r="C587" s="5"/>
      <c r="D587" s="106" t="s">
        <v>18</v>
      </c>
      <c r="E587" s="107"/>
      <c r="F587" s="24" t="s">
        <v>19</v>
      </c>
      <c r="G587" s="9" t="s">
        <v>20</v>
      </c>
      <c r="H587" s="118">
        <f>B584+H584</f>
        <v>61182</v>
      </c>
      <c r="I587" s="119"/>
      <c r="J587" s="60"/>
      <c r="K587" s="5"/>
      <c r="L587" s="5"/>
    </row>
    <row r="588" spans="1:15" x14ac:dyDescent="0.25">
      <c r="A588" s="9" t="s">
        <v>41</v>
      </c>
      <c r="B588" s="40">
        <f>B587/D580</f>
        <v>2.1040357795953852</v>
      </c>
      <c r="C588" s="5"/>
      <c r="D588" s="102">
        <f>E580</f>
        <v>30688.12</v>
      </c>
      <c r="E588" s="103"/>
      <c r="F588" s="25">
        <f>H588/B587</f>
        <v>10.942075718015666</v>
      </c>
      <c r="G588" s="9" t="s">
        <v>21</v>
      </c>
      <c r="H588" s="104">
        <f>L581+D588+D590+D592+D594+A591</f>
        <v>33526.519999999997</v>
      </c>
      <c r="I588" s="105"/>
      <c r="J588" s="5"/>
      <c r="K588" s="5"/>
      <c r="L588" s="5"/>
    </row>
    <row r="589" spans="1:15" x14ac:dyDescent="0.25">
      <c r="A589" s="9" t="s">
        <v>43</v>
      </c>
      <c r="B589" s="23">
        <f>D580/B587*100</f>
        <v>47.527708877284589</v>
      </c>
      <c r="C589" s="5"/>
      <c r="D589" s="106" t="s">
        <v>33</v>
      </c>
      <c r="E589" s="107"/>
      <c r="F589" s="5"/>
      <c r="G589" s="13" t="s">
        <v>22</v>
      </c>
      <c r="H589" s="6"/>
      <c r="I589" s="26">
        <f>H587-H588</f>
        <v>27655.480000000003</v>
      </c>
      <c r="J589" s="5"/>
      <c r="K589" s="5"/>
      <c r="L589" s="5"/>
    </row>
    <row r="590" spans="1:15" x14ac:dyDescent="0.25">
      <c r="A590" s="106" t="s">
        <v>40</v>
      </c>
      <c r="B590" s="107"/>
      <c r="C590" s="5"/>
      <c r="D590" s="149">
        <v>1000</v>
      </c>
      <c r="E590" s="150"/>
      <c r="F590" s="5"/>
      <c r="G590" s="5"/>
      <c r="H590" s="5"/>
      <c r="I590" s="5"/>
      <c r="J590" s="5"/>
      <c r="K590" s="5"/>
      <c r="L590" s="5"/>
    </row>
    <row r="591" spans="1:15" x14ac:dyDescent="0.25">
      <c r="A591" s="108">
        <f>B587*0.6</f>
        <v>1838.3999999999999</v>
      </c>
      <c r="B591" s="109"/>
      <c r="C591" s="5"/>
      <c r="D591" s="106" t="s">
        <v>34</v>
      </c>
      <c r="E591" s="107"/>
      <c r="F591" s="5"/>
      <c r="G591" s="145" t="s">
        <v>292</v>
      </c>
      <c r="H591" s="146"/>
      <c r="I591" s="23">
        <f>B587/2.3</f>
        <v>1332.1739130434783</v>
      </c>
      <c r="J591" s="60"/>
      <c r="K591" s="5"/>
      <c r="L591" s="5"/>
    </row>
    <row r="592" spans="1:15" x14ac:dyDescent="0.25">
      <c r="A592" s="5"/>
      <c r="B592" s="5"/>
      <c r="C592" s="5"/>
      <c r="D592" s="108"/>
      <c r="E592" s="109"/>
      <c r="F592" s="5"/>
      <c r="G592" s="145" t="s">
        <v>294</v>
      </c>
      <c r="H592" s="146"/>
      <c r="I592" s="23">
        <f>I591-D580</f>
        <v>-124.07508695652155</v>
      </c>
      <c r="J592" s="5"/>
      <c r="K592" s="5"/>
      <c r="L592" s="5"/>
    </row>
    <row r="593" spans="1:12" x14ac:dyDescent="0.25">
      <c r="A593" s="5"/>
      <c r="B593" s="5"/>
      <c r="C593" s="5"/>
      <c r="D593" s="106" t="s">
        <v>37</v>
      </c>
      <c r="E593" s="107"/>
      <c r="F593" s="5"/>
      <c r="G593" s="147" t="s">
        <v>295</v>
      </c>
      <c r="H593" s="148"/>
      <c r="I593" s="86">
        <f>I592*F580</f>
        <v>-2614.0948057103692</v>
      </c>
      <c r="J593" s="87">
        <f>I589-I593</f>
        <v>30269.574805710374</v>
      </c>
      <c r="K593" s="5"/>
      <c r="L593" s="5"/>
    </row>
    <row r="594" spans="1:12" x14ac:dyDescent="0.25">
      <c r="A594" s="5"/>
      <c r="B594" s="5"/>
      <c r="C594" s="5"/>
      <c r="D594" s="108"/>
      <c r="E594" s="109"/>
      <c r="F594" s="5" t="s">
        <v>78</v>
      </c>
      <c r="G594" s="5"/>
      <c r="H594" s="5"/>
      <c r="I594" s="5"/>
      <c r="J594" s="88" t="s">
        <v>293</v>
      </c>
      <c r="K594" s="44"/>
      <c r="L594" s="5"/>
    </row>
    <row r="596" spans="1:12" s="49" customFormat="1" x14ac:dyDescent="0.25"/>
    <row r="599" spans="1:12" x14ac:dyDescent="0.25">
      <c r="A599" s="120" t="s">
        <v>24</v>
      </c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</row>
    <row r="600" spans="1:12" x14ac:dyDescent="0.25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</row>
    <row r="601" spans="1:12" x14ac:dyDescent="0.25">
      <c r="A601" s="1" t="s">
        <v>4</v>
      </c>
      <c r="B601" s="2"/>
      <c r="C601" s="90"/>
      <c r="D601" s="2"/>
      <c r="E601" s="2"/>
      <c r="F601" s="2"/>
      <c r="G601" s="3" t="s">
        <v>5</v>
      </c>
      <c r="H601" s="3" t="s">
        <v>6</v>
      </c>
      <c r="I601" s="4" t="s">
        <v>7</v>
      </c>
      <c r="J601" s="5"/>
      <c r="K601" s="5"/>
      <c r="L601" s="5"/>
    </row>
    <row r="602" spans="1:12" x14ac:dyDescent="0.25">
      <c r="A602" s="91" t="s">
        <v>341</v>
      </c>
      <c r="B602" s="92" t="s">
        <v>42</v>
      </c>
      <c r="C602" s="64"/>
      <c r="D602" s="66"/>
      <c r="E602" s="2"/>
      <c r="F602" s="2"/>
      <c r="G602" s="91" t="s">
        <v>299</v>
      </c>
      <c r="H602" s="66"/>
      <c r="I602" s="33"/>
      <c r="J602" s="6"/>
      <c r="K602" s="33"/>
      <c r="L602" s="6"/>
    </row>
    <row r="603" spans="1:12" x14ac:dyDescent="0.25">
      <c r="A603" s="7" t="s">
        <v>2</v>
      </c>
      <c r="B603" s="5"/>
      <c r="C603" s="5"/>
      <c r="D603" s="5"/>
      <c r="E603" s="5"/>
      <c r="F603" s="5"/>
      <c r="G603" s="8" t="s">
        <v>8</v>
      </c>
      <c r="H603" s="93">
        <v>3</v>
      </c>
      <c r="I603" s="5"/>
      <c r="J603" s="5"/>
      <c r="K603" s="5"/>
      <c r="L603" s="5"/>
    </row>
    <row r="604" spans="1:12" x14ac:dyDescent="0.25">
      <c r="A604" s="7" t="s">
        <v>25</v>
      </c>
      <c r="B604" s="5"/>
      <c r="C604" s="7" t="s">
        <v>0</v>
      </c>
      <c r="D604" s="5"/>
      <c r="E604" s="5"/>
      <c r="F604" s="5"/>
      <c r="G604" s="7" t="s">
        <v>25</v>
      </c>
      <c r="H604" s="5"/>
      <c r="I604" s="7" t="s">
        <v>0</v>
      </c>
      <c r="J604" s="5"/>
      <c r="K604" s="5"/>
      <c r="L604" s="5"/>
    </row>
    <row r="605" spans="1:12" x14ac:dyDescent="0.25">
      <c r="A605" s="42" t="s">
        <v>345</v>
      </c>
      <c r="B605" s="6"/>
      <c r="C605" s="31">
        <f>L564</f>
        <v>863641</v>
      </c>
      <c r="D605" s="5"/>
      <c r="E605" s="5"/>
      <c r="F605" s="5"/>
      <c r="G605" s="42" t="s">
        <v>335</v>
      </c>
      <c r="H605" s="6"/>
      <c r="I605" s="9"/>
      <c r="J605" s="5"/>
      <c r="K605" s="5"/>
      <c r="L605" s="5"/>
    </row>
    <row r="606" spans="1:12" ht="16.5" thickBot="1" x14ac:dyDescent="0.3">
      <c r="A606" s="7"/>
      <c r="B606" s="62"/>
      <c r="C606" s="62"/>
      <c r="D606" s="62"/>
      <c r="E606" s="5"/>
      <c r="F606" s="5"/>
      <c r="G606" s="10"/>
      <c r="H606" s="5"/>
      <c r="I606" s="5"/>
      <c r="J606" s="5"/>
      <c r="K606" s="5"/>
      <c r="L606" s="5"/>
    </row>
    <row r="607" spans="1:12" ht="15.75" thickBot="1" x14ac:dyDescent="0.3">
      <c r="A607" s="121" t="s">
        <v>9</v>
      </c>
      <c r="B607" s="122"/>
      <c r="C607" s="123"/>
      <c r="D607" s="5"/>
      <c r="E607" s="5"/>
      <c r="F607" s="5"/>
      <c r="G607" s="121" t="s">
        <v>26</v>
      </c>
      <c r="H607" s="122"/>
      <c r="I607" s="123"/>
      <c r="J607" s="5"/>
      <c r="K607" s="5"/>
      <c r="L607" s="5"/>
    </row>
    <row r="608" spans="1:12" x14ac:dyDescent="0.25">
      <c r="A608" s="30" t="s">
        <v>38</v>
      </c>
      <c r="B608" s="11"/>
      <c r="C608" s="11"/>
      <c r="D608" s="11"/>
      <c r="E608" s="6"/>
      <c r="F608" s="5"/>
      <c r="G608" s="30"/>
      <c r="H608" s="11"/>
      <c r="I608" s="11"/>
      <c r="J608" s="11"/>
      <c r="K608" s="11"/>
      <c r="L608" s="6"/>
    </row>
    <row r="609" spans="1:12" ht="15.75" thickBot="1" x14ac:dyDescent="0.3">
      <c r="A609" s="7"/>
      <c r="B609" s="7"/>
      <c r="C609" s="7"/>
      <c r="D609" s="5"/>
      <c r="E609" s="5"/>
      <c r="F609" s="5"/>
      <c r="G609" s="7" t="str">
        <f>A611</f>
        <v>Cape Town</v>
      </c>
      <c r="H609" s="7"/>
      <c r="I609" s="7"/>
      <c r="J609" s="5"/>
      <c r="K609" s="5"/>
      <c r="L609" s="5"/>
    </row>
    <row r="610" spans="1:12" ht="15.75" thickBot="1" x14ac:dyDescent="0.3">
      <c r="A610" s="121"/>
      <c r="B610" s="122"/>
      <c r="C610" s="124"/>
      <c r="D610" s="12" t="s">
        <v>1</v>
      </c>
      <c r="E610" s="32"/>
      <c r="F610" s="5"/>
      <c r="G610" s="121" t="s">
        <v>27</v>
      </c>
      <c r="H610" s="122"/>
      <c r="I610" s="123"/>
      <c r="J610" s="5"/>
      <c r="K610" s="12" t="s">
        <v>1</v>
      </c>
      <c r="L610" s="32">
        <v>866693</v>
      </c>
    </row>
    <row r="611" spans="1:12" x14ac:dyDescent="0.25">
      <c r="A611" s="30" t="s">
        <v>65</v>
      </c>
      <c r="B611" s="11"/>
      <c r="C611" s="11"/>
      <c r="D611" s="11"/>
      <c r="E611" s="6"/>
      <c r="F611" s="5"/>
      <c r="G611" s="30" t="s">
        <v>38</v>
      </c>
      <c r="H611" s="11"/>
      <c r="I611" s="11"/>
      <c r="J611" s="11"/>
      <c r="K611" s="11"/>
      <c r="L611" s="6"/>
    </row>
    <row r="612" spans="1:12" x14ac:dyDescent="0.25">
      <c r="A612" s="76"/>
      <c r="B612" s="11"/>
      <c r="C612" s="11"/>
      <c r="D612" s="11"/>
      <c r="E612" s="6"/>
      <c r="F612" s="5"/>
      <c r="G612" s="34"/>
      <c r="H612" s="11"/>
      <c r="I612" s="11"/>
      <c r="J612" s="11"/>
      <c r="K612" s="11"/>
      <c r="L612" s="6"/>
    </row>
    <row r="613" spans="1:12" x14ac:dyDescent="0.25">
      <c r="A613" s="13"/>
      <c r="B613" s="11"/>
      <c r="C613" s="11"/>
      <c r="D613" s="11"/>
      <c r="E613" s="6"/>
      <c r="F613" s="5"/>
      <c r="G613" s="13"/>
      <c r="H613" s="11"/>
      <c r="I613" s="11"/>
      <c r="J613" s="11"/>
      <c r="K613" s="11"/>
      <c r="L613" s="6"/>
    </row>
    <row r="614" spans="1:12" x14ac:dyDescent="0.25">
      <c r="A614" s="13"/>
      <c r="B614" s="11"/>
      <c r="C614" s="11"/>
      <c r="D614" s="11"/>
      <c r="E614" s="6"/>
      <c r="F614" s="5"/>
      <c r="G614" s="13"/>
      <c r="H614" s="11"/>
      <c r="I614" s="11"/>
      <c r="J614" s="11"/>
      <c r="K614" s="11"/>
      <c r="L614" s="6"/>
    </row>
    <row r="615" spans="1:12" ht="15.75" thickBot="1" x14ac:dyDescent="0.3">
      <c r="A615" s="13"/>
      <c r="B615" s="11"/>
      <c r="C615" s="11" t="s">
        <v>29</v>
      </c>
      <c r="D615" s="43"/>
      <c r="E615" s="6"/>
      <c r="F615" s="5"/>
      <c r="G615" s="13"/>
      <c r="H615" s="11"/>
      <c r="I615" s="14" t="s">
        <v>28</v>
      </c>
      <c r="J615" s="43"/>
      <c r="K615" s="59"/>
      <c r="L615" s="6"/>
    </row>
    <row r="616" spans="1:12" ht="15.75" thickBot="1" x14ac:dyDescent="0.3">
      <c r="A616" s="15" t="s">
        <v>10</v>
      </c>
      <c r="B616" s="5"/>
      <c r="C616" s="5"/>
      <c r="D616" s="5"/>
      <c r="E616" s="5"/>
      <c r="F616" s="5"/>
      <c r="G616" s="15" t="s">
        <v>14</v>
      </c>
      <c r="H616" s="5"/>
      <c r="I616" s="5"/>
      <c r="J616" s="5"/>
      <c r="K616" s="5"/>
      <c r="L616" s="5"/>
    </row>
    <row r="617" spans="1:12" ht="15.75" thickBot="1" x14ac:dyDescent="0.3">
      <c r="A617" s="121" t="s">
        <v>11</v>
      </c>
      <c r="B617" s="122"/>
      <c r="C617" s="123"/>
      <c r="D617" s="16" t="s">
        <v>12</v>
      </c>
      <c r="E617" s="16" t="s">
        <v>13</v>
      </c>
      <c r="F617" s="5"/>
      <c r="G617" s="121" t="s">
        <v>15</v>
      </c>
      <c r="H617" s="122"/>
      <c r="I617" s="123"/>
      <c r="J617" s="121"/>
      <c r="K617" s="123"/>
      <c r="L617" s="5"/>
    </row>
    <row r="618" spans="1:12" x14ac:dyDescent="0.25">
      <c r="A618" s="45" t="s">
        <v>346</v>
      </c>
      <c r="B618" s="46" t="s">
        <v>66</v>
      </c>
      <c r="C618" s="47"/>
      <c r="D618" s="56">
        <v>300</v>
      </c>
      <c r="E618" s="57">
        <v>6345</v>
      </c>
      <c r="F618" s="44">
        <f>E618/D618</f>
        <v>21.15</v>
      </c>
      <c r="G618" s="125" t="s">
        <v>69</v>
      </c>
      <c r="H618" s="126"/>
      <c r="I618" s="127"/>
      <c r="J618" s="128">
        <v>0</v>
      </c>
      <c r="K618" s="129"/>
      <c r="L618" s="5"/>
    </row>
    <row r="619" spans="1:12" x14ac:dyDescent="0.25">
      <c r="A619" s="94" t="s">
        <v>347</v>
      </c>
      <c r="B619" s="46" t="s">
        <v>66</v>
      </c>
      <c r="C619" s="47"/>
      <c r="D619" s="56">
        <v>701.22</v>
      </c>
      <c r="E619" s="57">
        <v>14830.8</v>
      </c>
      <c r="F619" s="44">
        <f>E619/D619</f>
        <v>21.149995721742105</v>
      </c>
      <c r="G619" s="110" t="s">
        <v>59</v>
      </c>
      <c r="H619" s="111"/>
      <c r="I619" s="112"/>
      <c r="J619" s="113"/>
      <c r="K619" s="114"/>
      <c r="L619" s="5"/>
    </row>
    <row r="620" spans="1:12" x14ac:dyDescent="0.25">
      <c r="A620" s="45" t="s">
        <v>308</v>
      </c>
      <c r="B620" s="46" t="s">
        <v>47</v>
      </c>
      <c r="C620" s="47"/>
      <c r="D620" s="56">
        <v>373.15199999999999</v>
      </c>
      <c r="E620" s="57">
        <v>7798.84</v>
      </c>
      <c r="F620" s="44">
        <f>E620/D620</f>
        <v>20.899901380670613</v>
      </c>
      <c r="G620" s="110" t="s">
        <v>61</v>
      </c>
      <c r="H620" s="111"/>
      <c r="I620" s="112"/>
      <c r="J620" s="113"/>
      <c r="K620" s="114"/>
      <c r="L620" s="5"/>
    </row>
    <row r="621" spans="1:12" x14ac:dyDescent="0.25">
      <c r="A621" s="45"/>
      <c r="B621" s="46"/>
      <c r="C621" s="47"/>
      <c r="D621" s="56"/>
      <c r="E621" s="57"/>
      <c r="F621" s="44"/>
      <c r="G621" s="110" t="s">
        <v>51</v>
      </c>
      <c r="H621" s="111"/>
      <c r="I621" s="112"/>
      <c r="J621" s="113"/>
      <c r="K621" s="114"/>
      <c r="L621" s="5"/>
    </row>
    <row r="622" spans="1:12" x14ac:dyDescent="0.25">
      <c r="A622" s="48"/>
      <c r="B622" s="46"/>
      <c r="C622" s="39"/>
      <c r="D622" s="52"/>
      <c r="E622" s="53"/>
      <c r="F622" s="44"/>
      <c r="G622" s="110" t="s">
        <v>58</v>
      </c>
      <c r="H622" s="111"/>
      <c r="I622" s="112"/>
      <c r="J622" s="113"/>
      <c r="K622" s="114"/>
      <c r="L622" s="5"/>
    </row>
    <row r="623" spans="1:12" x14ac:dyDescent="0.25">
      <c r="A623" s="48"/>
      <c r="B623" s="35"/>
      <c r="C623" s="39"/>
      <c r="D623" s="52"/>
      <c r="E623" s="53"/>
      <c r="F623" s="44"/>
      <c r="G623" s="110" t="s">
        <v>51</v>
      </c>
      <c r="H623" s="111"/>
      <c r="I623" s="112"/>
      <c r="J623" s="113"/>
      <c r="K623" s="114"/>
      <c r="L623" s="5"/>
    </row>
    <row r="624" spans="1:12" x14ac:dyDescent="0.25">
      <c r="A624" s="48"/>
      <c r="B624" s="35"/>
      <c r="C624" s="39"/>
      <c r="D624" s="52"/>
      <c r="E624" s="53"/>
      <c r="F624" s="44"/>
      <c r="G624" s="77"/>
      <c r="H624" s="78" t="s">
        <v>69</v>
      </c>
      <c r="I624" s="79"/>
      <c r="J624" s="113"/>
      <c r="K624" s="114"/>
      <c r="L624" s="5"/>
    </row>
    <row r="625" spans="1:12" x14ac:dyDescent="0.25">
      <c r="A625" s="38"/>
      <c r="B625" s="35"/>
      <c r="C625" s="39"/>
      <c r="D625" s="52"/>
      <c r="E625" s="53"/>
      <c r="F625" s="44"/>
      <c r="G625" s="77"/>
      <c r="H625" s="78" t="s">
        <v>72</v>
      </c>
      <c r="I625" s="79"/>
      <c r="J625" s="113"/>
      <c r="K625" s="114"/>
      <c r="L625" s="5"/>
    </row>
    <row r="626" spans="1:12" ht="15.75" thickBot="1" x14ac:dyDescent="0.3">
      <c r="A626" s="5"/>
      <c r="B626" s="5"/>
      <c r="C626" s="7" t="s">
        <v>35</v>
      </c>
      <c r="D626" s="17">
        <f>SUM(D618:D625)</f>
        <v>1374.3720000000001</v>
      </c>
      <c r="E626" s="17">
        <f>SUM(E618:E625)</f>
        <v>28974.639999999999</v>
      </c>
      <c r="F626" s="89">
        <f>AVERAGE(F618:F622)</f>
        <v>21.066632367470906</v>
      </c>
      <c r="G626" s="110" t="s">
        <v>73</v>
      </c>
      <c r="H626" s="111"/>
      <c r="I626" s="112"/>
      <c r="J626" s="113"/>
      <c r="K626" s="114"/>
      <c r="L626" s="7" t="s">
        <v>36</v>
      </c>
    </row>
    <row r="627" spans="1:12" ht="15.75" thickBot="1" x14ac:dyDescent="0.3">
      <c r="A627" s="5"/>
      <c r="B627" s="5"/>
      <c r="C627" s="5"/>
      <c r="D627" s="5"/>
      <c r="E627" s="5"/>
      <c r="F627" s="5"/>
      <c r="G627" s="130"/>
      <c r="H627" s="131"/>
      <c r="I627" s="132"/>
      <c r="J627" s="133"/>
      <c r="K627" s="134"/>
      <c r="L627" s="18">
        <f>J618+J619+J620+J621+J622+J623+J624+J625+J626</f>
        <v>0</v>
      </c>
    </row>
    <row r="628" spans="1:12" ht="15.75" thickBo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75" thickBot="1" x14ac:dyDescent="0.3">
      <c r="A629" s="19"/>
      <c r="B629" s="20"/>
      <c r="C629" s="20"/>
      <c r="D629" s="20"/>
      <c r="E629" s="21" t="s">
        <v>13</v>
      </c>
      <c r="F629" s="5"/>
      <c r="G629" s="19"/>
      <c r="H629" s="20"/>
      <c r="I629" s="20"/>
      <c r="J629" s="20"/>
      <c r="K629" s="21" t="s">
        <v>13</v>
      </c>
      <c r="L629" s="5"/>
    </row>
    <row r="630" spans="1:12" x14ac:dyDescent="0.25">
      <c r="A630" s="22" t="s">
        <v>31</v>
      </c>
      <c r="B630" s="115">
        <v>18713</v>
      </c>
      <c r="C630" s="116"/>
      <c r="D630" s="116"/>
      <c r="E630" s="117"/>
      <c r="F630" s="5"/>
      <c r="G630" s="22" t="s">
        <v>32</v>
      </c>
      <c r="H630" s="115">
        <v>42449</v>
      </c>
      <c r="I630" s="116"/>
      <c r="J630" s="116"/>
      <c r="K630" s="117"/>
      <c r="L630" s="5"/>
    </row>
    <row r="631" spans="1:1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x14ac:dyDescent="0.25">
      <c r="A632" s="7" t="s">
        <v>16</v>
      </c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x14ac:dyDescent="0.25">
      <c r="A633" s="9" t="s">
        <v>17</v>
      </c>
      <c r="B633" s="23">
        <f>L610-C605</f>
        <v>3052</v>
      </c>
      <c r="C633" s="5"/>
      <c r="D633" s="106" t="s">
        <v>18</v>
      </c>
      <c r="E633" s="107"/>
      <c r="F633" s="24" t="s">
        <v>19</v>
      </c>
      <c r="G633" s="9" t="s">
        <v>20</v>
      </c>
      <c r="H633" s="118">
        <f>B630+H630</f>
        <v>61162</v>
      </c>
      <c r="I633" s="119"/>
      <c r="J633" s="60"/>
      <c r="K633" s="5"/>
      <c r="L633" s="5"/>
    </row>
    <row r="634" spans="1:12" x14ac:dyDescent="0.25">
      <c r="A634" s="9" t="s">
        <v>41</v>
      </c>
      <c r="B634" s="40">
        <f>B633/D626</f>
        <v>2.2206505953264473</v>
      </c>
      <c r="C634" s="5"/>
      <c r="D634" s="102">
        <f>E626</f>
        <v>28974.639999999999</v>
      </c>
      <c r="E634" s="103"/>
      <c r="F634" s="25">
        <f>H634/B633</f>
        <v>10.421310615989515</v>
      </c>
      <c r="G634" s="9" t="s">
        <v>21</v>
      </c>
      <c r="H634" s="104">
        <f>L627+D634+D636+D638+D640+A637</f>
        <v>31805.84</v>
      </c>
      <c r="I634" s="105"/>
      <c r="J634" s="5"/>
      <c r="K634" s="5"/>
      <c r="L634" s="5"/>
    </row>
    <row r="635" spans="1:12" x14ac:dyDescent="0.25">
      <c r="A635" s="9" t="s">
        <v>43</v>
      </c>
      <c r="B635" s="23">
        <f>D626/B633*100</f>
        <v>45.031847968545222</v>
      </c>
      <c r="C635" s="5"/>
      <c r="D635" s="106" t="s">
        <v>33</v>
      </c>
      <c r="E635" s="107"/>
      <c r="F635" s="5"/>
      <c r="G635" s="13" t="s">
        <v>22</v>
      </c>
      <c r="H635" s="6"/>
      <c r="I635" s="26">
        <f>H633-H634</f>
        <v>29356.16</v>
      </c>
      <c r="J635" s="5"/>
      <c r="K635" s="5"/>
      <c r="L635" s="5"/>
    </row>
    <row r="636" spans="1:12" x14ac:dyDescent="0.25">
      <c r="A636" s="106" t="s">
        <v>40</v>
      </c>
      <c r="B636" s="107"/>
      <c r="C636" s="5"/>
      <c r="D636" s="149">
        <v>1000</v>
      </c>
      <c r="E636" s="150"/>
      <c r="F636" s="5"/>
      <c r="G636" s="5"/>
      <c r="H636" s="5"/>
      <c r="I636" s="5"/>
      <c r="J636" s="5"/>
      <c r="K636" s="5"/>
      <c r="L636" s="5"/>
    </row>
    <row r="637" spans="1:12" x14ac:dyDescent="0.25">
      <c r="A637" s="108">
        <f>B633*0.6</f>
        <v>1831.2</v>
      </c>
      <c r="B637" s="109"/>
      <c r="C637" s="5"/>
      <c r="D637" s="106" t="s">
        <v>34</v>
      </c>
      <c r="E637" s="107"/>
      <c r="F637" s="5"/>
      <c r="G637" s="145" t="s">
        <v>292</v>
      </c>
      <c r="H637" s="146"/>
      <c r="I637" s="23">
        <f>B633/2.3</f>
        <v>1326.9565217391305</v>
      </c>
      <c r="J637" s="60"/>
      <c r="K637" s="5"/>
      <c r="L637" s="5"/>
    </row>
    <row r="638" spans="1:12" x14ac:dyDescent="0.25">
      <c r="A638" s="5"/>
      <c r="B638" s="5"/>
      <c r="C638" s="5"/>
      <c r="D638" s="108"/>
      <c r="E638" s="109"/>
      <c r="F638" s="5"/>
      <c r="G638" s="145" t="s">
        <v>294</v>
      </c>
      <c r="H638" s="146"/>
      <c r="I638" s="23">
        <f>I637-D626</f>
        <v>-47.415478260869577</v>
      </c>
      <c r="J638" s="5"/>
      <c r="K638" s="5"/>
      <c r="L638" s="5"/>
    </row>
    <row r="639" spans="1:12" x14ac:dyDescent="0.25">
      <c r="A639" s="5"/>
      <c r="B639" s="5"/>
      <c r="C639" s="5"/>
      <c r="D639" s="106" t="s">
        <v>37</v>
      </c>
      <c r="E639" s="107"/>
      <c r="F639" s="5"/>
      <c r="G639" s="147" t="s">
        <v>295</v>
      </c>
      <c r="H639" s="148"/>
      <c r="I639" s="86">
        <f>I638*F626</f>
        <v>-998.88444904954815</v>
      </c>
      <c r="J639" s="87">
        <f>I635-I639</f>
        <v>30355.044449049547</v>
      </c>
      <c r="K639" s="5"/>
      <c r="L639" s="5"/>
    </row>
    <row r="640" spans="1:12" x14ac:dyDescent="0.25">
      <c r="A640" s="5"/>
      <c r="B640" s="5"/>
      <c r="C640" s="5"/>
      <c r="D640" s="108"/>
      <c r="E640" s="109"/>
      <c r="F640" s="5" t="s">
        <v>78</v>
      </c>
      <c r="G640" s="5"/>
      <c r="H640" s="5"/>
      <c r="I640" s="5"/>
      <c r="J640" s="88" t="s">
        <v>293</v>
      </c>
      <c r="K640" s="44"/>
      <c r="L640" s="5"/>
    </row>
    <row r="642" spans="1:12" s="49" customFormat="1" x14ac:dyDescent="0.25"/>
    <row r="645" spans="1:12" x14ac:dyDescent="0.25">
      <c r="A645" s="120" t="s">
        <v>24</v>
      </c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</row>
    <row r="646" spans="1:12" x14ac:dyDescent="0.25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</row>
    <row r="647" spans="1:12" x14ac:dyDescent="0.25">
      <c r="A647" s="1" t="s">
        <v>4</v>
      </c>
      <c r="B647" s="2"/>
      <c r="C647" s="90"/>
      <c r="D647" s="2"/>
      <c r="E647" s="2"/>
      <c r="F647" s="2"/>
      <c r="G647" s="3" t="s">
        <v>5</v>
      </c>
      <c r="H647" s="3" t="s">
        <v>6</v>
      </c>
      <c r="I647" s="4" t="s">
        <v>7</v>
      </c>
      <c r="J647" s="5"/>
      <c r="K647" s="5"/>
      <c r="L647" s="5"/>
    </row>
    <row r="648" spans="1:12" x14ac:dyDescent="0.25">
      <c r="A648" s="91" t="s">
        <v>341</v>
      </c>
      <c r="B648" s="92" t="s">
        <v>42</v>
      </c>
      <c r="C648" s="64"/>
      <c r="D648" s="66"/>
      <c r="E648" s="2"/>
      <c r="F648" s="2"/>
      <c r="G648" s="91" t="s">
        <v>299</v>
      </c>
      <c r="H648" s="66"/>
      <c r="I648" s="33"/>
      <c r="J648" s="6"/>
      <c r="K648" s="33"/>
      <c r="L648" s="6"/>
    </row>
    <row r="649" spans="1:12" x14ac:dyDescent="0.25">
      <c r="A649" s="7" t="s">
        <v>2</v>
      </c>
      <c r="B649" s="5"/>
      <c r="C649" s="5"/>
      <c r="D649" s="5"/>
      <c r="E649" s="5"/>
      <c r="F649" s="5"/>
      <c r="G649" s="8" t="s">
        <v>8</v>
      </c>
      <c r="H649" s="93">
        <v>3</v>
      </c>
      <c r="I649" s="5"/>
      <c r="J649" s="5"/>
      <c r="K649" s="5"/>
      <c r="L649" s="5"/>
    </row>
    <row r="650" spans="1:12" x14ac:dyDescent="0.25">
      <c r="A650" s="7" t="s">
        <v>25</v>
      </c>
      <c r="B650" s="5"/>
      <c r="C650" s="7" t="s">
        <v>0</v>
      </c>
      <c r="D650" s="5"/>
      <c r="E650" s="5"/>
      <c r="F650" s="5"/>
      <c r="G650" s="7" t="s">
        <v>25</v>
      </c>
      <c r="H650" s="5"/>
      <c r="I650" s="7" t="s">
        <v>0</v>
      </c>
      <c r="J650" s="5"/>
      <c r="K650" s="5"/>
      <c r="L650" s="5"/>
    </row>
    <row r="651" spans="1:12" x14ac:dyDescent="0.25">
      <c r="A651" s="42" t="s">
        <v>348</v>
      </c>
      <c r="B651" s="6"/>
      <c r="C651" s="31">
        <f>L610</f>
        <v>866693</v>
      </c>
      <c r="D651" s="5"/>
      <c r="E651" s="5"/>
      <c r="F651" s="5"/>
      <c r="G651" s="42" t="s">
        <v>335</v>
      </c>
      <c r="H651" s="6"/>
      <c r="I651" s="9"/>
      <c r="J651" s="5"/>
      <c r="K651" s="5"/>
      <c r="L651" s="5"/>
    </row>
    <row r="652" spans="1:12" ht="16.5" thickBot="1" x14ac:dyDescent="0.3">
      <c r="A652" s="7"/>
      <c r="B652" s="62"/>
      <c r="C652" s="62"/>
      <c r="D652" s="62"/>
      <c r="E652" s="5"/>
      <c r="F652" s="5"/>
      <c r="G652" s="10"/>
      <c r="H652" s="5"/>
      <c r="I652" s="5"/>
      <c r="J652" s="5"/>
      <c r="K652" s="5"/>
      <c r="L652" s="5"/>
    </row>
    <row r="653" spans="1:12" ht="15.75" thickBot="1" x14ac:dyDescent="0.3">
      <c r="A653" s="121" t="s">
        <v>9</v>
      </c>
      <c r="B653" s="122"/>
      <c r="C653" s="123"/>
      <c r="D653" s="5"/>
      <c r="E653" s="5"/>
      <c r="F653" s="5"/>
      <c r="G653" s="121" t="s">
        <v>26</v>
      </c>
      <c r="H653" s="122"/>
      <c r="I653" s="123"/>
      <c r="J653" s="5"/>
      <c r="K653" s="5"/>
      <c r="L653" s="5"/>
    </row>
    <row r="654" spans="1:12" x14ac:dyDescent="0.25">
      <c r="A654" s="30" t="s">
        <v>38</v>
      </c>
      <c r="B654" s="11"/>
      <c r="C654" s="11"/>
      <c r="D654" s="11"/>
      <c r="E654" s="6"/>
      <c r="F654" s="5"/>
      <c r="G654" s="30"/>
      <c r="H654" s="11"/>
      <c r="I654" s="11"/>
      <c r="J654" s="11"/>
      <c r="K654" s="11"/>
      <c r="L654" s="6"/>
    </row>
    <row r="655" spans="1:12" ht="15.75" thickBot="1" x14ac:dyDescent="0.3">
      <c r="A655" s="7"/>
      <c r="B655" s="7"/>
      <c r="C655" s="7"/>
      <c r="D655" s="5"/>
      <c r="E655" s="5"/>
      <c r="F655" s="5"/>
      <c r="G655" s="7" t="str">
        <f>A657</f>
        <v>Cape Town</v>
      </c>
      <c r="H655" s="7"/>
      <c r="I655" s="7"/>
      <c r="J655" s="5"/>
      <c r="K655" s="5"/>
      <c r="L655" s="5"/>
    </row>
    <row r="656" spans="1:12" ht="15.75" thickBot="1" x14ac:dyDescent="0.3">
      <c r="A656" s="121"/>
      <c r="B656" s="122"/>
      <c r="C656" s="124"/>
      <c r="D656" s="12" t="s">
        <v>1</v>
      </c>
      <c r="E656" s="32"/>
      <c r="F656" s="5"/>
      <c r="G656" s="121" t="s">
        <v>27</v>
      </c>
      <c r="H656" s="122"/>
      <c r="I656" s="123"/>
      <c r="J656" s="5"/>
      <c r="K656" s="12" t="s">
        <v>1</v>
      </c>
      <c r="L656" s="32">
        <v>869759</v>
      </c>
    </row>
    <row r="657" spans="1:12" x14ac:dyDescent="0.25">
      <c r="A657" s="30" t="s">
        <v>65</v>
      </c>
      <c r="B657" s="11"/>
      <c r="C657" s="11"/>
      <c r="D657" s="11"/>
      <c r="E657" s="6"/>
      <c r="F657" s="5"/>
      <c r="G657" s="30" t="s">
        <v>38</v>
      </c>
      <c r="H657" s="11"/>
      <c r="I657" s="11"/>
      <c r="J657" s="11"/>
      <c r="K657" s="11"/>
      <c r="L657" s="6"/>
    </row>
    <row r="658" spans="1:12" x14ac:dyDescent="0.25">
      <c r="A658" s="76"/>
      <c r="B658" s="11"/>
      <c r="C658" s="11"/>
      <c r="D658" s="11"/>
      <c r="E658" s="6"/>
      <c r="F658" s="5"/>
      <c r="G658" s="34"/>
      <c r="H658" s="11"/>
      <c r="I658" s="11"/>
      <c r="J658" s="11"/>
      <c r="K658" s="11"/>
      <c r="L658" s="6"/>
    </row>
    <row r="659" spans="1:12" x14ac:dyDescent="0.25">
      <c r="A659" s="13"/>
      <c r="B659" s="11"/>
      <c r="C659" s="11"/>
      <c r="D659" s="11"/>
      <c r="E659" s="6"/>
      <c r="F659" s="5"/>
      <c r="G659" s="13"/>
      <c r="H659" s="11"/>
      <c r="I659" s="11"/>
      <c r="J659" s="11"/>
      <c r="K659" s="11"/>
      <c r="L659" s="6"/>
    </row>
    <row r="660" spans="1:12" x14ac:dyDescent="0.25">
      <c r="A660" s="13"/>
      <c r="B660" s="11"/>
      <c r="C660" s="11"/>
      <c r="D660" s="11"/>
      <c r="E660" s="6"/>
      <c r="F660" s="5"/>
      <c r="G660" s="13"/>
      <c r="H660" s="11"/>
      <c r="I660" s="11"/>
      <c r="J660" s="11"/>
      <c r="K660" s="11"/>
      <c r="L660" s="6"/>
    </row>
    <row r="661" spans="1:12" ht="15.75" thickBot="1" x14ac:dyDescent="0.3">
      <c r="A661" s="13"/>
      <c r="B661" s="11"/>
      <c r="C661" s="11" t="s">
        <v>29</v>
      </c>
      <c r="D661" s="43"/>
      <c r="E661" s="6"/>
      <c r="F661" s="5"/>
      <c r="G661" s="13"/>
      <c r="H661" s="11"/>
      <c r="I661" s="14" t="s">
        <v>28</v>
      </c>
      <c r="J661" s="43"/>
      <c r="K661" s="59"/>
      <c r="L661" s="6"/>
    </row>
    <row r="662" spans="1:12" ht="15.75" thickBot="1" x14ac:dyDescent="0.3">
      <c r="A662" s="15" t="s">
        <v>10</v>
      </c>
      <c r="B662" s="5"/>
      <c r="C662" s="5"/>
      <c r="D662" s="5"/>
      <c r="E662" s="5"/>
      <c r="F662" s="5"/>
      <c r="G662" s="15" t="s">
        <v>14</v>
      </c>
      <c r="H662" s="5"/>
      <c r="I662" s="5"/>
      <c r="J662" s="5"/>
      <c r="K662" s="5"/>
      <c r="L662" s="5"/>
    </row>
    <row r="663" spans="1:12" ht="15.75" thickBot="1" x14ac:dyDescent="0.3">
      <c r="A663" s="121" t="s">
        <v>11</v>
      </c>
      <c r="B663" s="122"/>
      <c r="C663" s="123"/>
      <c r="D663" s="16" t="s">
        <v>12</v>
      </c>
      <c r="E663" s="16" t="s">
        <v>13</v>
      </c>
      <c r="F663" s="5"/>
      <c r="G663" s="121" t="s">
        <v>15</v>
      </c>
      <c r="H663" s="122"/>
      <c r="I663" s="123"/>
      <c r="J663" s="121"/>
      <c r="K663" s="123"/>
      <c r="L663" s="5"/>
    </row>
    <row r="664" spans="1:12" x14ac:dyDescent="0.25">
      <c r="A664" s="45" t="s">
        <v>349</v>
      </c>
      <c r="B664" s="46" t="s">
        <v>66</v>
      </c>
      <c r="C664" s="47"/>
      <c r="D664" s="56">
        <v>315.82</v>
      </c>
      <c r="E664" s="57">
        <v>6679.6</v>
      </c>
      <c r="F664" s="44">
        <f>E664/D664</f>
        <v>21.150022164524099</v>
      </c>
      <c r="G664" s="125" t="s">
        <v>69</v>
      </c>
      <c r="H664" s="126"/>
      <c r="I664" s="127"/>
      <c r="J664" s="128">
        <v>0</v>
      </c>
      <c r="K664" s="129"/>
      <c r="L664" s="5"/>
    </row>
    <row r="665" spans="1:12" x14ac:dyDescent="0.25">
      <c r="A665" s="94" t="s">
        <v>350</v>
      </c>
      <c r="B665" s="46" t="s">
        <v>66</v>
      </c>
      <c r="C665" s="47"/>
      <c r="D665" s="56">
        <v>741.53</v>
      </c>
      <c r="E665" s="57">
        <v>15683.35</v>
      </c>
      <c r="F665" s="44">
        <f>E665/D665</f>
        <v>21.149987188650496</v>
      </c>
      <c r="G665" s="110" t="s">
        <v>59</v>
      </c>
      <c r="H665" s="111"/>
      <c r="I665" s="112"/>
      <c r="J665" s="113"/>
      <c r="K665" s="114"/>
      <c r="L665" s="5"/>
    </row>
    <row r="666" spans="1:12" x14ac:dyDescent="0.25">
      <c r="A666" s="45" t="s">
        <v>352</v>
      </c>
      <c r="B666" s="46" t="s">
        <v>47</v>
      </c>
      <c r="C666" s="47"/>
      <c r="D666" s="56">
        <v>438.9</v>
      </c>
      <c r="E666" s="57">
        <v>9174.06</v>
      </c>
      <c r="F666" s="44">
        <f>E666/D666</f>
        <v>20.902392344497606</v>
      </c>
      <c r="G666" s="110" t="s">
        <v>61</v>
      </c>
      <c r="H666" s="111"/>
      <c r="I666" s="112"/>
      <c r="J666" s="113"/>
      <c r="K666" s="114"/>
      <c r="L666" s="5"/>
    </row>
    <row r="667" spans="1:12" x14ac:dyDescent="0.25">
      <c r="A667" s="45"/>
      <c r="B667" s="46"/>
      <c r="C667" s="47"/>
      <c r="D667" s="56"/>
      <c r="E667" s="57"/>
      <c r="F667" s="44"/>
      <c r="G667" s="110" t="s">
        <v>51</v>
      </c>
      <c r="H667" s="111"/>
      <c r="I667" s="112"/>
      <c r="J667" s="113"/>
      <c r="K667" s="114"/>
      <c r="L667" s="5"/>
    </row>
    <row r="668" spans="1:12" x14ac:dyDescent="0.25">
      <c r="A668" s="48"/>
      <c r="B668" s="46"/>
      <c r="C668" s="39"/>
      <c r="D668" s="52"/>
      <c r="E668" s="53"/>
      <c r="F668" s="44"/>
      <c r="G668" s="110" t="s">
        <v>58</v>
      </c>
      <c r="H668" s="111"/>
      <c r="I668" s="112"/>
      <c r="J668" s="113"/>
      <c r="K668" s="114"/>
      <c r="L668" s="5"/>
    </row>
    <row r="669" spans="1:12" x14ac:dyDescent="0.25">
      <c r="A669" s="48"/>
      <c r="B669" s="35"/>
      <c r="C669" s="39"/>
      <c r="D669" s="52"/>
      <c r="E669" s="53"/>
      <c r="F669" s="44"/>
      <c r="G669" s="110" t="s">
        <v>51</v>
      </c>
      <c r="H669" s="111"/>
      <c r="I669" s="112"/>
      <c r="J669" s="113"/>
      <c r="K669" s="114"/>
      <c r="L669" s="5"/>
    </row>
    <row r="670" spans="1:12" x14ac:dyDescent="0.25">
      <c r="A670" s="48"/>
      <c r="B670" s="35"/>
      <c r="C670" s="39"/>
      <c r="D670" s="52"/>
      <c r="E670" s="53"/>
      <c r="F670" s="44"/>
      <c r="G670" s="77"/>
      <c r="H670" s="78" t="s">
        <v>69</v>
      </c>
      <c r="I670" s="79"/>
      <c r="J670" s="113"/>
      <c r="K670" s="114"/>
      <c r="L670" s="5"/>
    </row>
    <row r="671" spans="1:12" x14ac:dyDescent="0.25">
      <c r="A671" s="38"/>
      <c r="B671" s="35"/>
      <c r="C671" s="39"/>
      <c r="D671" s="52"/>
      <c r="E671" s="53"/>
      <c r="F671" s="44"/>
      <c r="G671" s="77"/>
      <c r="H671" s="78" t="s">
        <v>72</v>
      </c>
      <c r="I671" s="79"/>
      <c r="J671" s="113"/>
      <c r="K671" s="114"/>
      <c r="L671" s="5"/>
    </row>
    <row r="672" spans="1:12" ht="15.75" thickBot="1" x14ac:dyDescent="0.3">
      <c r="A672" s="5"/>
      <c r="B672" s="5"/>
      <c r="C672" s="7" t="s">
        <v>35</v>
      </c>
      <c r="D672" s="17">
        <f>SUM(D664:D671)</f>
        <v>1496.25</v>
      </c>
      <c r="E672" s="17">
        <f>SUM(E664:E671)</f>
        <v>31537.010000000002</v>
      </c>
      <c r="F672" s="89">
        <f>AVERAGE(F664:F668)</f>
        <v>21.067467232557402</v>
      </c>
      <c r="G672" s="110" t="s">
        <v>73</v>
      </c>
      <c r="H672" s="111"/>
      <c r="I672" s="112"/>
      <c r="J672" s="113"/>
      <c r="K672" s="114"/>
      <c r="L672" s="7" t="s">
        <v>36</v>
      </c>
    </row>
    <row r="673" spans="1:12" ht="15.75" thickBot="1" x14ac:dyDescent="0.3">
      <c r="A673" s="5"/>
      <c r="B673" s="5"/>
      <c r="C673" s="5"/>
      <c r="D673" s="5"/>
      <c r="E673" s="5"/>
      <c r="F673" s="5"/>
      <c r="G673" s="130"/>
      <c r="H673" s="131"/>
      <c r="I673" s="132"/>
      <c r="J673" s="133"/>
      <c r="K673" s="134"/>
      <c r="L673" s="18">
        <f>J664+J665+J666+J667+J668+J669+J670+J671+J672</f>
        <v>0</v>
      </c>
    </row>
    <row r="674" spans="1:12" ht="15.75" thickBo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75" thickBot="1" x14ac:dyDescent="0.3">
      <c r="A675" s="19"/>
      <c r="B675" s="20"/>
      <c r="C675" s="20"/>
      <c r="D675" s="20"/>
      <c r="E675" s="21" t="s">
        <v>13</v>
      </c>
      <c r="F675" s="5"/>
      <c r="G675" s="19"/>
      <c r="H675" s="20"/>
      <c r="I675" s="20"/>
      <c r="J675" s="20"/>
      <c r="K675" s="21" t="s">
        <v>13</v>
      </c>
      <c r="L675" s="5"/>
    </row>
    <row r="676" spans="1:12" x14ac:dyDescent="0.25">
      <c r="A676" s="22" t="s">
        <v>31</v>
      </c>
      <c r="B676" s="115">
        <v>18256</v>
      </c>
      <c r="C676" s="116"/>
      <c r="D676" s="116"/>
      <c r="E676" s="117"/>
      <c r="F676" s="5"/>
      <c r="G676" s="22" t="s">
        <v>32</v>
      </c>
      <c r="H676" s="115">
        <v>42449</v>
      </c>
      <c r="I676" s="116"/>
      <c r="J676" s="116"/>
      <c r="K676" s="117"/>
      <c r="L676" s="5"/>
    </row>
    <row r="677" spans="1:1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x14ac:dyDescent="0.25">
      <c r="A678" s="7" t="s">
        <v>16</v>
      </c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x14ac:dyDescent="0.25">
      <c r="A679" s="9" t="s">
        <v>17</v>
      </c>
      <c r="B679" s="23">
        <f>L656-C651</f>
        <v>3066</v>
      </c>
      <c r="C679" s="5"/>
      <c r="D679" s="106" t="s">
        <v>18</v>
      </c>
      <c r="E679" s="107"/>
      <c r="F679" s="24" t="s">
        <v>19</v>
      </c>
      <c r="G679" s="9" t="s">
        <v>20</v>
      </c>
      <c r="H679" s="118">
        <f>B676+H676</f>
        <v>60705</v>
      </c>
      <c r="I679" s="119"/>
      <c r="J679" s="60"/>
      <c r="K679" s="5"/>
      <c r="L679" s="5"/>
    </row>
    <row r="680" spans="1:12" x14ac:dyDescent="0.25">
      <c r="A680" s="9" t="s">
        <v>41</v>
      </c>
      <c r="B680" s="40">
        <f>B679/D672</f>
        <v>2.049122807017544</v>
      </c>
      <c r="C680" s="5"/>
      <c r="D680" s="102">
        <f>E672</f>
        <v>31537.010000000002</v>
      </c>
      <c r="E680" s="103"/>
      <c r="F680" s="25">
        <f>H680/B679</f>
        <v>11.212201565557731</v>
      </c>
      <c r="G680" s="9" t="s">
        <v>21</v>
      </c>
      <c r="H680" s="104">
        <f>L673+D680+D682+D684+D686+A683</f>
        <v>34376.61</v>
      </c>
      <c r="I680" s="105"/>
      <c r="J680" s="5"/>
      <c r="K680" s="5"/>
      <c r="L680" s="5"/>
    </row>
    <row r="681" spans="1:12" x14ac:dyDescent="0.25">
      <c r="A681" s="9" t="s">
        <v>43</v>
      </c>
      <c r="B681" s="23">
        <f>D672/B679*100</f>
        <v>48.801369863013697</v>
      </c>
      <c r="C681" s="5"/>
      <c r="D681" s="106" t="s">
        <v>33</v>
      </c>
      <c r="E681" s="107"/>
      <c r="F681" s="5"/>
      <c r="G681" s="13" t="s">
        <v>22</v>
      </c>
      <c r="H681" s="6"/>
      <c r="I681" s="26">
        <f>H679-H680</f>
        <v>26328.39</v>
      </c>
      <c r="J681" s="5"/>
      <c r="K681" s="5"/>
      <c r="L681" s="5"/>
    </row>
    <row r="682" spans="1:12" x14ac:dyDescent="0.25">
      <c r="A682" s="106" t="s">
        <v>40</v>
      </c>
      <c r="B682" s="107"/>
      <c r="C682" s="5"/>
      <c r="D682" s="149">
        <v>1000</v>
      </c>
      <c r="E682" s="150"/>
      <c r="F682" s="5"/>
      <c r="G682" s="5"/>
      <c r="H682" s="5"/>
      <c r="I682" s="5"/>
      <c r="J682" s="5"/>
      <c r="K682" s="5"/>
      <c r="L682" s="5"/>
    </row>
    <row r="683" spans="1:12" x14ac:dyDescent="0.25">
      <c r="A683" s="108">
        <f>B679*0.6</f>
        <v>1839.6</v>
      </c>
      <c r="B683" s="109"/>
      <c r="C683" s="5"/>
      <c r="D683" s="106" t="s">
        <v>34</v>
      </c>
      <c r="E683" s="107"/>
      <c r="F683" s="5"/>
      <c r="G683" s="145" t="s">
        <v>292</v>
      </c>
      <c r="H683" s="146"/>
      <c r="I683" s="23">
        <f>B679/2.3</f>
        <v>1333.0434782608697</v>
      </c>
      <c r="J683" s="60"/>
      <c r="K683" s="5"/>
      <c r="L683" s="5"/>
    </row>
    <row r="684" spans="1:12" x14ac:dyDescent="0.25">
      <c r="A684" s="5"/>
      <c r="B684" s="5"/>
      <c r="C684" s="5"/>
      <c r="D684" s="108"/>
      <c r="E684" s="109"/>
      <c r="F684" s="5"/>
      <c r="G684" s="145" t="s">
        <v>294</v>
      </c>
      <c r="H684" s="146"/>
      <c r="I684" s="23">
        <f>I683-D672</f>
        <v>-163.20652173913027</v>
      </c>
      <c r="J684" s="5"/>
      <c r="K684" s="5"/>
      <c r="L684" s="5"/>
    </row>
    <row r="685" spans="1:12" x14ac:dyDescent="0.25">
      <c r="A685" s="5"/>
      <c r="B685" s="5"/>
      <c r="C685" s="5"/>
      <c r="D685" s="106" t="s">
        <v>37</v>
      </c>
      <c r="E685" s="107"/>
      <c r="F685" s="5"/>
      <c r="G685" s="147" t="s">
        <v>295</v>
      </c>
      <c r="H685" s="148"/>
      <c r="I685" s="86">
        <f>I684*F672</f>
        <v>-3438.3480488787941</v>
      </c>
      <c r="J685" s="87">
        <f>I681-I685</f>
        <v>29766.738048878793</v>
      </c>
      <c r="K685" s="5"/>
      <c r="L685" s="5"/>
    </row>
    <row r="686" spans="1:12" x14ac:dyDescent="0.25">
      <c r="A686" s="5"/>
      <c r="B686" s="5"/>
      <c r="C686" s="5"/>
      <c r="D686" s="108"/>
      <c r="E686" s="109"/>
      <c r="F686" s="5" t="s">
        <v>78</v>
      </c>
      <c r="G686" s="5"/>
      <c r="H686" s="5"/>
      <c r="I686" s="5"/>
      <c r="J686" s="88" t="s">
        <v>293</v>
      </c>
      <c r="K686" s="44"/>
      <c r="L686" s="5"/>
    </row>
    <row r="687" spans="1:12" s="49" customFormat="1" x14ac:dyDescent="0.25"/>
    <row r="690" spans="1:12" x14ac:dyDescent="0.25">
      <c r="A690" s="120" t="s">
        <v>24</v>
      </c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</row>
    <row r="691" spans="1:12" x14ac:dyDescent="0.25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</row>
    <row r="692" spans="1:12" x14ac:dyDescent="0.25">
      <c r="A692" s="1" t="s">
        <v>4</v>
      </c>
      <c r="B692" s="2"/>
      <c r="C692" s="90"/>
      <c r="D692" s="2"/>
      <c r="E692" s="2"/>
      <c r="F692" s="2"/>
      <c r="G692" s="3" t="s">
        <v>5</v>
      </c>
      <c r="H692" s="3" t="s">
        <v>6</v>
      </c>
      <c r="I692" s="4" t="s">
        <v>7</v>
      </c>
      <c r="J692" s="5"/>
      <c r="K692" s="5"/>
      <c r="L692" s="5"/>
    </row>
    <row r="693" spans="1:12" x14ac:dyDescent="0.25">
      <c r="A693" s="91" t="s">
        <v>341</v>
      </c>
      <c r="B693" s="92" t="s">
        <v>42</v>
      </c>
      <c r="C693" s="64"/>
      <c r="D693" s="66"/>
      <c r="E693" s="2"/>
      <c r="F693" s="2"/>
      <c r="G693" s="91" t="s">
        <v>299</v>
      </c>
      <c r="H693" s="66"/>
      <c r="I693" s="33"/>
      <c r="J693" s="6"/>
      <c r="K693" s="33"/>
      <c r="L693" s="6"/>
    </row>
    <row r="694" spans="1:12" x14ac:dyDescent="0.25">
      <c r="A694" s="7" t="s">
        <v>2</v>
      </c>
      <c r="B694" s="5"/>
      <c r="C694" s="5"/>
      <c r="D694" s="5"/>
      <c r="E694" s="5"/>
      <c r="F694" s="5"/>
      <c r="G694" s="8" t="s">
        <v>8</v>
      </c>
      <c r="H694" s="93">
        <v>3</v>
      </c>
      <c r="I694" s="5"/>
      <c r="J694" s="5"/>
      <c r="K694" s="5"/>
      <c r="L694" s="5"/>
    </row>
    <row r="695" spans="1:12" x14ac:dyDescent="0.25">
      <c r="A695" s="7" t="s">
        <v>25</v>
      </c>
      <c r="B695" s="5"/>
      <c r="C695" s="7" t="s">
        <v>0</v>
      </c>
      <c r="D695" s="5"/>
      <c r="E695" s="5"/>
      <c r="F695" s="5"/>
      <c r="G695" s="7" t="s">
        <v>25</v>
      </c>
      <c r="H695" s="5"/>
      <c r="I695" s="7" t="s">
        <v>0</v>
      </c>
      <c r="J695" s="5"/>
      <c r="K695" s="5"/>
      <c r="L695" s="5"/>
    </row>
    <row r="696" spans="1:12" x14ac:dyDescent="0.25">
      <c r="A696" s="42" t="s">
        <v>355</v>
      </c>
      <c r="B696" s="6"/>
      <c r="C696" s="31">
        <f>L656</f>
        <v>869759</v>
      </c>
      <c r="D696" s="5"/>
      <c r="E696" s="5"/>
      <c r="F696" s="5"/>
      <c r="G696" s="42" t="s">
        <v>356</v>
      </c>
      <c r="H696" s="6"/>
      <c r="I696" s="9"/>
      <c r="J696" s="5"/>
      <c r="K696" s="5"/>
      <c r="L696" s="5"/>
    </row>
    <row r="697" spans="1:12" ht="16.5" thickBot="1" x14ac:dyDescent="0.3">
      <c r="A697" s="7"/>
      <c r="B697" s="62"/>
      <c r="C697" s="62"/>
      <c r="D697" s="62"/>
      <c r="E697" s="5"/>
      <c r="F697" s="5"/>
      <c r="G697" s="10"/>
      <c r="H697" s="5"/>
      <c r="I697" s="5"/>
      <c r="J697" s="5"/>
      <c r="K697" s="5"/>
      <c r="L697" s="5"/>
    </row>
    <row r="698" spans="1:12" ht="15.75" thickBot="1" x14ac:dyDescent="0.3">
      <c r="A698" s="121" t="s">
        <v>9</v>
      </c>
      <c r="B698" s="122"/>
      <c r="C698" s="123"/>
      <c r="D698" s="5"/>
      <c r="E698" s="5"/>
      <c r="F698" s="5"/>
      <c r="G698" s="121" t="s">
        <v>26</v>
      </c>
      <c r="H698" s="122"/>
      <c r="I698" s="123"/>
      <c r="J698" s="5"/>
      <c r="K698" s="5"/>
      <c r="L698" s="5"/>
    </row>
    <row r="699" spans="1:12" x14ac:dyDescent="0.25">
      <c r="A699" s="30" t="s">
        <v>38</v>
      </c>
      <c r="B699" s="11"/>
      <c r="C699" s="11"/>
      <c r="D699" s="11"/>
      <c r="E699" s="6"/>
      <c r="F699" s="5"/>
      <c r="G699" s="30"/>
      <c r="H699" s="11"/>
      <c r="I699" s="11"/>
      <c r="J699" s="11"/>
      <c r="K699" s="11"/>
      <c r="L699" s="6"/>
    </row>
    <row r="700" spans="1:12" ht="15.75" thickBot="1" x14ac:dyDescent="0.3">
      <c r="A700" s="7"/>
      <c r="B700" s="7"/>
      <c r="C700" s="7"/>
      <c r="D700" s="5"/>
      <c r="E700" s="5"/>
      <c r="F700" s="5"/>
      <c r="G700" s="7" t="str">
        <f>A702</f>
        <v>Cape Town</v>
      </c>
      <c r="H700" s="7"/>
      <c r="I700" s="7"/>
      <c r="J700" s="5"/>
      <c r="K700" s="5"/>
      <c r="L700" s="5"/>
    </row>
    <row r="701" spans="1:12" ht="15.75" thickBot="1" x14ac:dyDescent="0.3">
      <c r="A701" s="121"/>
      <c r="B701" s="122"/>
      <c r="C701" s="124"/>
      <c r="D701" s="12" t="s">
        <v>1</v>
      </c>
      <c r="E701" s="32">
        <f>L656</f>
        <v>869759</v>
      </c>
      <c r="F701" s="5"/>
      <c r="G701" s="121" t="s">
        <v>27</v>
      </c>
      <c r="H701" s="122"/>
      <c r="I701" s="123"/>
      <c r="J701" s="5"/>
      <c r="K701" s="12" t="s">
        <v>1</v>
      </c>
      <c r="L701" s="32">
        <v>872804</v>
      </c>
    </row>
    <row r="702" spans="1:12" x14ac:dyDescent="0.25">
      <c r="A702" s="30" t="s">
        <v>65</v>
      </c>
      <c r="B702" s="11"/>
      <c r="C702" s="11"/>
      <c r="D702" s="11"/>
      <c r="E702" s="6"/>
      <c r="F702" s="5"/>
      <c r="G702" s="30" t="s">
        <v>38</v>
      </c>
      <c r="H702" s="11"/>
      <c r="I702" s="11"/>
      <c r="J702" s="11"/>
      <c r="K702" s="11"/>
      <c r="L702" s="6"/>
    </row>
    <row r="703" spans="1:12" x14ac:dyDescent="0.25">
      <c r="A703" s="76"/>
      <c r="B703" s="11"/>
      <c r="C703" s="11"/>
      <c r="D703" s="11"/>
      <c r="E703" s="6"/>
      <c r="F703" s="5"/>
      <c r="G703" s="34"/>
      <c r="H703" s="11"/>
      <c r="I703" s="11"/>
      <c r="J703" s="11"/>
      <c r="K703" s="11"/>
      <c r="L703" s="6"/>
    </row>
    <row r="704" spans="1:12" x14ac:dyDescent="0.25">
      <c r="A704" s="13"/>
      <c r="B704" s="11"/>
      <c r="C704" s="11"/>
      <c r="D704" s="11"/>
      <c r="E704" s="6"/>
      <c r="F704" s="5"/>
      <c r="G704" s="13"/>
      <c r="H704" s="11"/>
      <c r="I704" s="11"/>
      <c r="J704" s="11"/>
      <c r="K704" s="11"/>
      <c r="L704" s="6"/>
    </row>
    <row r="705" spans="1:12" x14ac:dyDescent="0.25">
      <c r="A705" s="13"/>
      <c r="B705" s="11"/>
      <c r="C705" s="11"/>
      <c r="D705" s="11"/>
      <c r="E705" s="6"/>
      <c r="F705" s="5"/>
      <c r="G705" s="13"/>
      <c r="H705" s="11"/>
      <c r="I705" s="11"/>
      <c r="J705" s="11"/>
      <c r="K705" s="11"/>
      <c r="L705" s="6"/>
    </row>
    <row r="706" spans="1:12" ht="15.75" thickBot="1" x14ac:dyDescent="0.3">
      <c r="A706" s="13"/>
      <c r="B706" s="11"/>
      <c r="C706" s="11" t="s">
        <v>29</v>
      </c>
      <c r="D706" s="43"/>
      <c r="E706" s="6"/>
      <c r="F706" s="5"/>
      <c r="G706" s="13"/>
      <c r="H706" s="11"/>
      <c r="I706" s="14" t="s">
        <v>28</v>
      </c>
      <c r="J706" s="43"/>
      <c r="K706" s="59"/>
      <c r="L706" s="6"/>
    </row>
    <row r="707" spans="1:12" ht="15.75" thickBot="1" x14ac:dyDescent="0.3">
      <c r="A707" s="15" t="s">
        <v>10</v>
      </c>
      <c r="B707" s="5"/>
      <c r="C707" s="5"/>
      <c r="D707" s="5"/>
      <c r="E707" s="5"/>
      <c r="F707" s="5"/>
      <c r="G707" s="15" t="s">
        <v>14</v>
      </c>
      <c r="H707" s="5"/>
      <c r="I707" s="5"/>
      <c r="J707" s="5"/>
      <c r="K707" s="5"/>
      <c r="L707" s="5"/>
    </row>
    <row r="708" spans="1:12" ht="15.75" thickBot="1" x14ac:dyDescent="0.3">
      <c r="A708" s="121" t="s">
        <v>11</v>
      </c>
      <c r="B708" s="122"/>
      <c r="C708" s="123"/>
      <c r="D708" s="16" t="s">
        <v>12</v>
      </c>
      <c r="E708" s="16" t="s">
        <v>13</v>
      </c>
      <c r="F708" s="5"/>
      <c r="G708" s="121" t="s">
        <v>15</v>
      </c>
      <c r="H708" s="122"/>
      <c r="I708" s="123"/>
      <c r="J708" s="121"/>
      <c r="K708" s="123"/>
      <c r="L708" s="5"/>
    </row>
    <row r="709" spans="1:12" x14ac:dyDescent="0.25">
      <c r="A709" s="45" t="s">
        <v>351</v>
      </c>
      <c r="B709" s="46" t="s">
        <v>66</v>
      </c>
      <c r="C709" s="47"/>
      <c r="D709" s="56">
        <v>300</v>
      </c>
      <c r="E709" s="57">
        <v>6345</v>
      </c>
      <c r="F709" s="44">
        <f>E709/D709</f>
        <v>21.15</v>
      </c>
      <c r="G709" s="125" t="s">
        <v>69</v>
      </c>
      <c r="H709" s="126"/>
      <c r="I709" s="127"/>
      <c r="J709" s="128">
        <v>0</v>
      </c>
      <c r="K709" s="129"/>
      <c r="L709" s="5"/>
    </row>
    <row r="710" spans="1:12" x14ac:dyDescent="0.25">
      <c r="A710" s="94" t="s">
        <v>357</v>
      </c>
      <c r="B710" s="46" t="s">
        <v>66</v>
      </c>
      <c r="C710" s="47"/>
      <c r="D710" s="56">
        <v>743.53</v>
      </c>
      <c r="E710" s="57">
        <v>15725.65</v>
      </c>
      <c r="F710" s="44">
        <f>E710/D710</f>
        <v>21.149987223111374</v>
      </c>
      <c r="G710" s="110" t="s">
        <v>59</v>
      </c>
      <c r="H710" s="111"/>
      <c r="I710" s="112"/>
      <c r="J710" s="113"/>
      <c r="K710" s="114"/>
      <c r="L710" s="5"/>
    </row>
    <row r="711" spans="1:12" x14ac:dyDescent="0.25">
      <c r="A711" s="45" t="s">
        <v>358</v>
      </c>
      <c r="B711" s="46" t="s">
        <v>47</v>
      </c>
      <c r="C711" s="47"/>
      <c r="D711" s="56">
        <v>391</v>
      </c>
      <c r="E711" s="57">
        <v>8172.53</v>
      </c>
      <c r="F711" s="44">
        <f>E711/D711</f>
        <v>20.901611253196929</v>
      </c>
      <c r="G711" s="110" t="s">
        <v>61</v>
      </c>
      <c r="H711" s="111"/>
      <c r="I711" s="112"/>
      <c r="J711" s="113"/>
      <c r="K711" s="114"/>
      <c r="L711" s="5"/>
    </row>
    <row r="712" spans="1:12" x14ac:dyDescent="0.25">
      <c r="A712" s="45"/>
      <c r="B712" s="46"/>
      <c r="C712" s="47"/>
      <c r="D712" s="56"/>
      <c r="E712" s="57"/>
      <c r="F712" s="44"/>
      <c r="G712" s="110" t="s">
        <v>51</v>
      </c>
      <c r="H712" s="111"/>
      <c r="I712" s="112"/>
      <c r="J712" s="113"/>
      <c r="K712" s="114"/>
      <c r="L712" s="5"/>
    </row>
    <row r="713" spans="1:12" x14ac:dyDescent="0.25">
      <c r="A713" s="48"/>
      <c r="B713" s="46"/>
      <c r="C713" s="39"/>
      <c r="D713" s="52"/>
      <c r="E713" s="53"/>
      <c r="F713" s="44"/>
      <c r="G713" s="110" t="s">
        <v>58</v>
      </c>
      <c r="H713" s="111"/>
      <c r="I713" s="112"/>
      <c r="J713" s="113"/>
      <c r="K713" s="114"/>
      <c r="L713" s="5"/>
    </row>
    <row r="714" spans="1:12" x14ac:dyDescent="0.25">
      <c r="A714" s="48"/>
      <c r="B714" s="35"/>
      <c r="C714" s="39"/>
      <c r="D714" s="52"/>
      <c r="E714" s="53"/>
      <c r="F714" s="44"/>
      <c r="G714" s="110" t="s">
        <v>51</v>
      </c>
      <c r="H714" s="111"/>
      <c r="I714" s="112"/>
      <c r="J714" s="113"/>
      <c r="K714" s="114"/>
      <c r="L714" s="5"/>
    </row>
    <row r="715" spans="1:12" x14ac:dyDescent="0.25">
      <c r="A715" s="48"/>
      <c r="B715" s="35"/>
      <c r="C715" s="39"/>
      <c r="D715" s="52"/>
      <c r="E715" s="53"/>
      <c r="F715" s="44"/>
      <c r="G715" s="77"/>
      <c r="H715" s="78" t="s">
        <v>69</v>
      </c>
      <c r="I715" s="79"/>
      <c r="J715" s="113"/>
      <c r="K715" s="114"/>
      <c r="L715" s="5"/>
    </row>
    <row r="716" spans="1:12" x14ac:dyDescent="0.25">
      <c r="A716" s="38"/>
      <c r="B716" s="35"/>
      <c r="C716" s="39"/>
      <c r="D716" s="52"/>
      <c r="E716" s="53"/>
      <c r="F716" s="44"/>
      <c r="G716" s="77"/>
      <c r="H716" s="78" t="s">
        <v>72</v>
      </c>
      <c r="I716" s="79"/>
      <c r="J716" s="113"/>
      <c r="K716" s="114"/>
      <c r="L716" s="5"/>
    </row>
    <row r="717" spans="1:12" ht="15.75" thickBot="1" x14ac:dyDescent="0.3">
      <c r="A717" s="5"/>
      <c r="B717" s="5"/>
      <c r="C717" s="7" t="s">
        <v>35</v>
      </c>
      <c r="D717" s="17">
        <f>SUM(D709:D716)</f>
        <v>1434.53</v>
      </c>
      <c r="E717" s="17">
        <f>SUM(E709:E716)</f>
        <v>30243.18</v>
      </c>
      <c r="F717" s="89">
        <f>AVERAGE(F709:F713)</f>
        <v>21.06719949210277</v>
      </c>
      <c r="G717" s="110" t="s">
        <v>73</v>
      </c>
      <c r="H717" s="111"/>
      <c r="I717" s="112"/>
      <c r="J717" s="113"/>
      <c r="K717" s="114"/>
      <c r="L717" s="7" t="s">
        <v>36</v>
      </c>
    </row>
    <row r="718" spans="1:12" ht="15.75" thickBot="1" x14ac:dyDescent="0.3">
      <c r="A718" s="5"/>
      <c r="B718" s="5"/>
      <c r="C718" s="5"/>
      <c r="D718" s="5"/>
      <c r="E718" s="5"/>
      <c r="F718" s="5"/>
      <c r="G718" s="130"/>
      <c r="H718" s="131"/>
      <c r="I718" s="132"/>
      <c r="J718" s="133"/>
      <c r="K718" s="134"/>
      <c r="L718" s="18">
        <f>J709+J710+J711+J712+J713+J714+J715+J716+J717</f>
        <v>0</v>
      </c>
    </row>
    <row r="719" spans="1:12" ht="15.75" thickBo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75" thickBot="1" x14ac:dyDescent="0.3">
      <c r="A720" s="19"/>
      <c r="B720" s="20"/>
      <c r="C720" s="20"/>
      <c r="D720" s="20"/>
      <c r="E720" s="21" t="s">
        <v>13</v>
      </c>
      <c r="F720" s="5"/>
      <c r="G720" s="19"/>
      <c r="H720" s="20"/>
      <c r="I720" s="20"/>
      <c r="J720" s="20"/>
      <c r="K720" s="21" t="s">
        <v>13</v>
      </c>
      <c r="L720" s="5"/>
    </row>
    <row r="721" spans="1:12" x14ac:dyDescent="0.25">
      <c r="A721" s="22" t="s">
        <v>31</v>
      </c>
      <c r="B721" s="115">
        <v>18256</v>
      </c>
      <c r="C721" s="116"/>
      <c r="D721" s="116"/>
      <c r="E721" s="117"/>
      <c r="F721" s="5"/>
      <c r="G721" s="22" t="s">
        <v>32</v>
      </c>
      <c r="H721" s="115">
        <v>42449</v>
      </c>
      <c r="I721" s="116"/>
      <c r="J721" s="116"/>
      <c r="K721" s="117"/>
      <c r="L721" s="5"/>
    </row>
    <row r="722" spans="1:1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x14ac:dyDescent="0.25">
      <c r="A723" s="7" t="s">
        <v>16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x14ac:dyDescent="0.25">
      <c r="A724" s="9" t="s">
        <v>17</v>
      </c>
      <c r="B724" s="23">
        <f>L701-C696</f>
        <v>3045</v>
      </c>
      <c r="C724" s="5"/>
      <c r="D724" s="106" t="s">
        <v>18</v>
      </c>
      <c r="E724" s="107"/>
      <c r="F724" s="24" t="s">
        <v>19</v>
      </c>
      <c r="G724" s="9" t="s">
        <v>20</v>
      </c>
      <c r="H724" s="118">
        <f>B721+H721</f>
        <v>60705</v>
      </c>
      <c r="I724" s="119"/>
      <c r="J724" s="60"/>
      <c r="K724" s="5"/>
      <c r="L724" s="5"/>
    </row>
    <row r="725" spans="1:12" x14ac:dyDescent="0.25">
      <c r="A725" s="9" t="s">
        <v>41</v>
      </c>
      <c r="B725" s="40">
        <f>B724/D717</f>
        <v>2.1226464416917041</v>
      </c>
      <c r="C725" s="5"/>
      <c r="D725" s="102">
        <f>E717</f>
        <v>30243.18</v>
      </c>
      <c r="E725" s="103"/>
      <c r="F725" s="25">
        <f>H725/B724</f>
        <v>10.860486042692939</v>
      </c>
      <c r="G725" s="9" t="s">
        <v>21</v>
      </c>
      <c r="H725" s="104">
        <f>L718+D725+D727+D729+D731+A728</f>
        <v>33070.18</v>
      </c>
      <c r="I725" s="105"/>
      <c r="J725" s="5"/>
      <c r="K725" s="5"/>
      <c r="L725" s="5"/>
    </row>
    <row r="726" spans="1:12" x14ac:dyDescent="0.25">
      <c r="A726" s="9" t="s">
        <v>43</v>
      </c>
      <c r="B726" s="23">
        <f>D717/B724*100</f>
        <v>47.111001642036129</v>
      </c>
      <c r="C726" s="5"/>
      <c r="D726" s="106" t="s">
        <v>33</v>
      </c>
      <c r="E726" s="107"/>
      <c r="F726" s="5"/>
      <c r="G726" s="13" t="s">
        <v>22</v>
      </c>
      <c r="H726" s="6"/>
      <c r="I726" s="26">
        <f>H724-H725</f>
        <v>27634.82</v>
      </c>
      <c r="J726" s="5"/>
      <c r="K726" s="5"/>
      <c r="L726" s="5"/>
    </row>
    <row r="727" spans="1:12" x14ac:dyDescent="0.25">
      <c r="A727" s="106" t="s">
        <v>40</v>
      </c>
      <c r="B727" s="107"/>
      <c r="C727" s="5"/>
      <c r="D727" s="149">
        <v>1000</v>
      </c>
      <c r="E727" s="150"/>
      <c r="F727" s="5"/>
      <c r="G727" s="5"/>
      <c r="H727" s="5"/>
      <c r="I727" s="5"/>
      <c r="J727" s="5"/>
      <c r="K727" s="5"/>
      <c r="L727" s="5"/>
    </row>
    <row r="728" spans="1:12" x14ac:dyDescent="0.25">
      <c r="A728" s="108">
        <f>B724*0.6</f>
        <v>1827</v>
      </c>
      <c r="B728" s="109"/>
      <c r="C728" s="5"/>
      <c r="D728" s="106" t="s">
        <v>34</v>
      </c>
      <c r="E728" s="107"/>
      <c r="F728" s="5"/>
      <c r="G728" s="145" t="s">
        <v>292</v>
      </c>
      <c r="H728" s="146"/>
      <c r="I728" s="23">
        <f>B724/2.3</f>
        <v>1323.913043478261</v>
      </c>
      <c r="J728" s="60"/>
      <c r="K728" s="5"/>
      <c r="L728" s="5"/>
    </row>
    <row r="729" spans="1:12" x14ac:dyDescent="0.25">
      <c r="A729" s="5"/>
      <c r="B729" s="5"/>
      <c r="C729" s="5"/>
      <c r="D729" s="108"/>
      <c r="E729" s="109"/>
      <c r="F729" s="5"/>
      <c r="G729" s="145" t="s">
        <v>294</v>
      </c>
      <c r="H729" s="146"/>
      <c r="I729" s="23">
        <f>I728-D717</f>
        <v>-110.61695652173898</v>
      </c>
      <c r="J729" s="5"/>
      <c r="K729" s="5"/>
      <c r="L729" s="5"/>
    </row>
    <row r="730" spans="1:12" x14ac:dyDescent="0.25">
      <c r="A730" s="5"/>
      <c r="B730" s="5"/>
      <c r="C730" s="5"/>
      <c r="D730" s="106" t="s">
        <v>37</v>
      </c>
      <c r="E730" s="107"/>
      <c r="F730" s="5"/>
      <c r="G730" s="147" t="s">
        <v>295</v>
      </c>
      <c r="H730" s="148"/>
      <c r="I730" s="86">
        <f>I729*F717</f>
        <v>-2330.3894902527336</v>
      </c>
      <c r="J730" s="87">
        <f>I726-I730</f>
        <v>29965.209490252731</v>
      </c>
      <c r="K730" s="5"/>
      <c r="L730" s="5"/>
    </row>
    <row r="731" spans="1:12" x14ac:dyDescent="0.25">
      <c r="A731" s="5"/>
      <c r="B731" s="5"/>
      <c r="C731" s="5"/>
      <c r="D731" s="108"/>
      <c r="E731" s="109"/>
      <c r="F731" s="5" t="s">
        <v>78</v>
      </c>
      <c r="G731" s="5"/>
      <c r="H731" s="5"/>
      <c r="I731" s="5"/>
      <c r="J731" s="88" t="s">
        <v>293</v>
      </c>
      <c r="K731" s="44"/>
      <c r="L731" s="5"/>
    </row>
    <row r="733" spans="1:12" s="49" customFormat="1" x14ac:dyDescent="0.25"/>
    <row r="736" spans="1:12" x14ac:dyDescent="0.25">
      <c r="A736" s="120" t="s">
        <v>24</v>
      </c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</row>
    <row r="737" spans="1:12" x14ac:dyDescent="0.25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</row>
    <row r="738" spans="1:12" x14ac:dyDescent="0.25">
      <c r="A738" s="1" t="s">
        <v>4</v>
      </c>
      <c r="B738" s="2"/>
      <c r="C738" s="90"/>
      <c r="D738" s="2"/>
      <c r="E738" s="2"/>
      <c r="F738" s="2"/>
      <c r="G738" s="3" t="s">
        <v>5</v>
      </c>
      <c r="H738" s="3" t="s">
        <v>6</v>
      </c>
      <c r="I738" s="4" t="s">
        <v>7</v>
      </c>
      <c r="J738" s="5"/>
      <c r="K738" s="5"/>
      <c r="L738" s="5"/>
    </row>
    <row r="739" spans="1:12" x14ac:dyDescent="0.25">
      <c r="A739" s="91" t="s">
        <v>359</v>
      </c>
      <c r="B739" s="92" t="s">
        <v>42</v>
      </c>
      <c r="C739" s="64"/>
      <c r="D739" s="66"/>
      <c r="E739" s="2"/>
      <c r="F739" s="2"/>
      <c r="G739" s="91" t="s">
        <v>299</v>
      </c>
      <c r="H739" s="66"/>
      <c r="I739" s="33"/>
      <c r="J739" s="6"/>
      <c r="K739" s="33"/>
      <c r="L739" s="6"/>
    </row>
    <row r="740" spans="1:12" x14ac:dyDescent="0.25">
      <c r="A740" s="7" t="s">
        <v>2</v>
      </c>
      <c r="B740" s="5"/>
      <c r="C740" s="5"/>
      <c r="D740" s="5"/>
      <c r="E740" s="5"/>
      <c r="F740" s="5"/>
      <c r="G740" s="8" t="s">
        <v>8</v>
      </c>
      <c r="H740" s="93">
        <v>3</v>
      </c>
      <c r="I740" s="5"/>
      <c r="J740" s="5"/>
      <c r="K740" s="5"/>
      <c r="L740" s="5"/>
    </row>
    <row r="741" spans="1:12" x14ac:dyDescent="0.25">
      <c r="A741" s="7" t="s">
        <v>25</v>
      </c>
      <c r="B741" s="5"/>
      <c r="C741" s="7" t="s">
        <v>0</v>
      </c>
      <c r="D741" s="5"/>
      <c r="E741" s="5"/>
      <c r="F741" s="5"/>
      <c r="G741" s="7" t="s">
        <v>25</v>
      </c>
      <c r="H741" s="5"/>
      <c r="I741" s="7" t="s">
        <v>0</v>
      </c>
      <c r="J741" s="5"/>
      <c r="K741" s="5"/>
      <c r="L741" s="5"/>
    </row>
    <row r="742" spans="1:12" x14ac:dyDescent="0.25">
      <c r="A742" s="42" t="s">
        <v>358</v>
      </c>
      <c r="B742" s="6"/>
      <c r="C742" s="31">
        <f>L701</f>
        <v>872804</v>
      </c>
      <c r="D742" s="5"/>
      <c r="E742" s="5"/>
      <c r="F742" s="5"/>
      <c r="G742" s="42">
        <v>45332</v>
      </c>
      <c r="H742" s="6"/>
      <c r="I742" s="9"/>
      <c r="J742" s="5"/>
      <c r="K742" s="5"/>
      <c r="L742" s="5"/>
    </row>
    <row r="743" spans="1:12" ht="16.5" thickBot="1" x14ac:dyDescent="0.3">
      <c r="A743" s="7"/>
      <c r="B743" s="62"/>
      <c r="C743" s="62"/>
      <c r="D743" s="62"/>
      <c r="E743" s="5"/>
      <c r="F743" s="5"/>
      <c r="G743" s="10"/>
      <c r="H743" s="5"/>
      <c r="I743" s="5"/>
      <c r="J743" s="5"/>
      <c r="K743" s="5"/>
      <c r="L743" s="5"/>
    </row>
    <row r="744" spans="1:12" ht="15.75" thickBot="1" x14ac:dyDescent="0.3">
      <c r="A744" s="121" t="s">
        <v>9</v>
      </c>
      <c r="B744" s="122"/>
      <c r="C744" s="123"/>
      <c r="D744" s="5"/>
      <c r="E744" s="5"/>
      <c r="F744" s="5"/>
      <c r="G744" s="121" t="s">
        <v>26</v>
      </c>
      <c r="H744" s="122"/>
      <c r="I744" s="123"/>
      <c r="J744" s="5"/>
      <c r="K744" s="5"/>
      <c r="L744" s="5"/>
    </row>
    <row r="745" spans="1:12" x14ac:dyDescent="0.25">
      <c r="A745" s="30" t="s">
        <v>38</v>
      </c>
      <c r="B745" s="11"/>
      <c r="C745" s="11"/>
      <c r="D745" s="11"/>
      <c r="E745" s="6"/>
      <c r="F745" s="5"/>
      <c r="G745" s="30"/>
      <c r="H745" s="11"/>
      <c r="I745" s="11"/>
      <c r="J745" s="11"/>
      <c r="K745" s="11"/>
      <c r="L745" s="6"/>
    </row>
    <row r="746" spans="1:12" ht="15.75" thickBot="1" x14ac:dyDescent="0.3">
      <c r="A746" s="7"/>
      <c r="B746" s="7"/>
      <c r="C746" s="7"/>
      <c r="D746" s="5"/>
      <c r="E746" s="5"/>
      <c r="F746" s="5"/>
      <c r="G746" s="7" t="str">
        <f>A748</f>
        <v>Cape Town</v>
      </c>
      <c r="H746" s="7"/>
      <c r="I746" s="7"/>
      <c r="J746" s="5"/>
      <c r="K746" s="5"/>
      <c r="L746" s="5"/>
    </row>
    <row r="747" spans="1:12" ht="15.75" thickBot="1" x14ac:dyDescent="0.3">
      <c r="A747" s="121"/>
      <c r="B747" s="122"/>
      <c r="C747" s="124"/>
      <c r="D747" s="12" t="s">
        <v>1</v>
      </c>
      <c r="E747" s="32"/>
      <c r="F747" s="5"/>
      <c r="G747" s="121" t="s">
        <v>27</v>
      </c>
      <c r="H747" s="122"/>
      <c r="I747" s="123"/>
      <c r="J747" s="5"/>
      <c r="K747" s="12" t="s">
        <v>1</v>
      </c>
      <c r="L747" s="32">
        <v>875859</v>
      </c>
    </row>
    <row r="748" spans="1:12" x14ac:dyDescent="0.25">
      <c r="A748" s="30" t="s">
        <v>65</v>
      </c>
      <c r="B748" s="11"/>
      <c r="C748" s="11"/>
      <c r="D748" s="11"/>
      <c r="E748" s="6"/>
      <c r="F748" s="5"/>
      <c r="G748" s="30" t="s">
        <v>38</v>
      </c>
      <c r="H748" s="11"/>
      <c r="I748" s="11"/>
      <c r="J748" s="11"/>
      <c r="K748" s="11"/>
      <c r="L748" s="6"/>
    </row>
    <row r="749" spans="1:12" x14ac:dyDescent="0.25">
      <c r="A749" s="76"/>
      <c r="B749" s="11"/>
      <c r="C749" s="11"/>
      <c r="D749" s="11"/>
      <c r="E749" s="6"/>
      <c r="F749" s="5"/>
      <c r="G749" s="34"/>
      <c r="H749" s="11"/>
      <c r="I749" s="11"/>
      <c r="J749" s="11"/>
      <c r="K749" s="11"/>
      <c r="L749" s="6"/>
    </row>
    <row r="750" spans="1:12" x14ac:dyDescent="0.25">
      <c r="A750" s="13"/>
      <c r="B750" s="11"/>
      <c r="C750" s="11"/>
      <c r="D750" s="11"/>
      <c r="E750" s="6"/>
      <c r="F750" s="5"/>
      <c r="G750" s="13"/>
      <c r="H750" s="11"/>
      <c r="I750" s="11"/>
      <c r="J750" s="11"/>
      <c r="K750" s="11"/>
      <c r="L750" s="6"/>
    </row>
    <row r="751" spans="1:12" x14ac:dyDescent="0.25">
      <c r="A751" s="13"/>
      <c r="B751" s="11"/>
      <c r="C751" s="11"/>
      <c r="D751" s="11"/>
      <c r="E751" s="6"/>
      <c r="F751" s="5"/>
      <c r="G751" s="13"/>
      <c r="H751" s="11"/>
      <c r="I751" s="11"/>
      <c r="J751" s="11"/>
      <c r="K751" s="11"/>
      <c r="L751" s="6"/>
    </row>
    <row r="752" spans="1:12" ht="15.75" thickBot="1" x14ac:dyDescent="0.3">
      <c r="A752" s="13"/>
      <c r="B752" s="11"/>
      <c r="C752" s="11" t="s">
        <v>29</v>
      </c>
      <c r="D752" s="43"/>
      <c r="E752" s="6"/>
      <c r="F752" s="5"/>
      <c r="G752" s="13"/>
      <c r="H752" s="11"/>
      <c r="I752" s="14" t="s">
        <v>28</v>
      </c>
      <c r="J752" s="43"/>
      <c r="K752" s="59"/>
      <c r="L752" s="6"/>
    </row>
    <row r="753" spans="1:12" ht="15.75" thickBot="1" x14ac:dyDescent="0.3">
      <c r="A753" s="15" t="s">
        <v>10</v>
      </c>
      <c r="B753" s="5"/>
      <c r="C753" s="5"/>
      <c r="D753" s="5"/>
      <c r="E753" s="5"/>
      <c r="F753" s="5"/>
      <c r="G753" s="15" t="s">
        <v>14</v>
      </c>
      <c r="H753" s="5"/>
      <c r="I753" s="5"/>
      <c r="J753" s="5"/>
      <c r="K753" s="5"/>
      <c r="L753" s="5"/>
    </row>
    <row r="754" spans="1:12" ht="15.75" thickBot="1" x14ac:dyDescent="0.3">
      <c r="A754" s="121" t="s">
        <v>11</v>
      </c>
      <c r="B754" s="122"/>
      <c r="C754" s="123"/>
      <c r="D754" s="16" t="s">
        <v>12</v>
      </c>
      <c r="E754" s="16" t="s">
        <v>13</v>
      </c>
      <c r="F754" s="5"/>
      <c r="G754" s="121" t="s">
        <v>15</v>
      </c>
      <c r="H754" s="122"/>
      <c r="I754" s="123"/>
      <c r="J754" s="121"/>
      <c r="K754" s="123"/>
      <c r="L754" s="5"/>
    </row>
    <row r="755" spans="1:12" x14ac:dyDescent="0.25">
      <c r="A755" s="45">
        <v>45301</v>
      </c>
      <c r="B755" s="46" t="s">
        <v>66</v>
      </c>
      <c r="C755" s="47"/>
      <c r="D755" s="56">
        <v>313</v>
      </c>
      <c r="E755" s="57">
        <v>6619</v>
      </c>
      <c r="F755" s="44">
        <f>E755/D755</f>
        <v>21.146964856230031</v>
      </c>
      <c r="G755" s="125" t="s">
        <v>69</v>
      </c>
      <c r="H755" s="126"/>
      <c r="I755" s="127"/>
      <c r="J755" s="128">
        <v>0</v>
      </c>
      <c r="K755" s="129"/>
      <c r="L755" s="5"/>
    </row>
    <row r="756" spans="1:12" x14ac:dyDescent="0.25">
      <c r="A756" s="94">
        <v>45361</v>
      </c>
      <c r="B756" s="46" t="s">
        <v>66</v>
      </c>
      <c r="C756" s="47"/>
      <c r="D756" s="56">
        <v>732.28</v>
      </c>
      <c r="E756" s="57">
        <v>15246.05</v>
      </c>
      <c r="F756" s="44">
        <f>E756/D756</f>
        <v>20.819973234281967</v>
      </c>
      <c r="G756" s="110" t="s">
        <v>59</v>
      </c>
      <c r="H756" s="111"/>
      <c r="I756" s="112"/>
      <c r="J756" s="113"/>
      <c r="K756" s="114"/>
      <c r="L756" s="5"/>
    </row>
    <row r="757" spans="1:12" x14ac:dyDescent="0.25">
      <c r="A757" s="94">
        <v>45422</v>
      </c>
      <c r="B757" s="46" t="s">
        <v>47</v>
      </c>
      <c r="C757" s="47"/>
      <c r="D757" s="56">
        <v>405.6</v>
      </c>
      <c r="E757" s="57">
        <v>8198.59</v>
      </c>
      <c r="F757" s="44">
        <f>E757/D757</f>
        <v>20.213486193293885</v>
      </c>
      <c r="G757" s="110" t="s">
        <v>61</v>
      </c>
      <c r="H757" s="111"/>
      <c r="I757" s="112"/>
      <c r="J757" s="113"/>
      <c r="K757" s="114"/>
      <c r="L757" s="5"/>
    </row>
    <row r="758" spans="1:12" x14ac:dyDescent="0.25">
      <c r="A758" s="45"/>
      <c r="B758" s="46"/>
      <c r="C758" s="47"/>
      <c r="D758" s="56"/>
      <c r="E758" s="57"/>
      <c r="F758" s="44"/>
      <c r="G758" s="110" t="s">
        <v>51</v>
      </c>
      <c r="H758" s="111"/>
      <c r="I758" s="112"/>
      <c r="J758" s="113"/>
      <c r="K758" s="114"/>
      <c r="L758" s="5"/>
    </row>
    <row r="759" spans="1:12" x14ac:dyDescent="0.25">
      <c r="A759" s="48"/>
      <c r="B759" s="46"/>
      <c r="C759" s="39"/>
      <c r="D759" s="52"/>
      <c r="E759" s="53"/>
      <c r="F759" s="44"/>
      <c r="G759" s="110" t="s">
        <v>58</v>
      </c>
      <c r="H759" s="111"/>
      <c r="I759" s="112"/>
      <c r="J759" s="113"/>
      <c r="K759" s="114"/>
      <c r="L759" s="5"/>
    </row>
    <row r="760" spans="1:12" x14ac:dyDescent="0.25">
      <c r="A760" s="48"/>
      <c r="B760" s="35"/>
      <c r="C760" s="39"/>
      <c r="D760" s="52"/>
      <c r="E760" s="53"/>
      <c r="F760" s="44"/>
      <c r="G760" s="110" t="s">
        <v>51</v>
      </c>
      <c r="H760" s="111"/>
      <c r="I760" s="112"/>
      <c r="J760" s="113"/>
      <c r="K760" s="114"/>
      <c r="L760" s="5"/>
    </row>
    <row r="761" spans="1:12" x14ac:dyDescent="0.25">
      <c r="A761" s="48"/>
      <c r="B761" s="35"/>
      <c r="C761" s="39"/>
      <c r="D761" s="52"/>
      <c r="E761" s="53"/>
      <c r="F761" s="44"/>
      <c r="G761" s="77"/>
      <c r="H761" s="78" t="s">
        <v>69</v>
      </c>
      <c r="I761" s="79"/>
      <c r="J761" s="113"/>
      <c r="K761" s="114"/>
      <c r="L761" s="5"/>
    </row>
    <row r="762" spans="1:12" x14ac:dyDescent="0.25">
      <c r="A762" s="38"/>
      <c r="B762" s="35"/>
      <c r="C762" s="39"/>
      <c r="D762" s="52"/>
      <c r="E762" s="53"/>
      <c r="F762" s="44"/>
      <c r="G762" s="77"/>
      <c r="H762" s="78" t="s">
        <v>72</v>
      </c>
      <c r="I762" s="79"/>
      <c r="J762" s="113"/>
      <c r="K762" s="114"/>
      <c r="L762" s="5"/>
    </row>
    <row r="763" spans="1:12" ht="15.75" thickBot="1" x14ac:dyDescent="0.3">
      <c r="A763" s="5"/>
      <c r="B763" s="5"/>
      <c r="C763" s="7" t="s">
        <v>35</v>
      </c>
      <c r="D763" s="17">
        <f>SUM(D755:D762)</f>
        <v>1450.88</v>
      </c>
      <c r="E763" s="17">
        <f>SUM(E755:E762)</f>
        <v>30063.64</v>
      </c>
      <c r="F763" s="89">
        <f>AVERAGE(F755:F759)</f>
        <v>20.726808094601964</v>
      </c>
      <c r="G763" s="110" t="s">
        <v>73</v>
      </c>
      <c r="H763" s="111"/>
      <c r="I763" s="112"/>
      <c r="J763" s="113"/>
      <c r="K763" s="114"/>
      <c r="L763" s="7" t="s">
        <v>36</v>
      </c>
    </row>
    <row r="764" spans="1:12" ht="15.75" thickBot="1" x14ac:dyDescent="0.3">
      <c r="A764" s="5"/>
      <c r="B764" s="5"/>
      <c r="C764" s="5"/>
      <c r="D764" s="5"/>
      <c r="E764" s="5"/>
      <c r="F764" s="5"/>
      <c r="G764" s="130"/>
      <c r="H764" s="131"/>
      <c r="I764" s="132"/>
      <c r="J764" s="133"/>
      <c r="K764" s="134"/>
      <c r="L764" s="18">
        <f>J755+J756+J757+J758+J759+J760+J761+J762+J763</f>
        <v>0</v>
      </c>
    </row>
    <row r="765" spans="1:12" ht="15.75" thickBo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75" thickBot="1" x14ac:dyDescent="0.3">
      <c r="A766" s="19"/>
      <c r="B766" s="20"/>
      <c r="C766" s="20"/>
      <c r="D766" s="20"/>
      <c r="E766" s="21" t="s">
        <v>13</v>
      </c>
      <c r="F766" s="5"/>
      <c r="G766" s="19"/>
      <c r="H766" s="20"/>
      <c r="I766" s="20"/>
      <c r="J766" s="20"/>
      <c r="K766" s="21" t="s">
        <v>13</v>
      </c>
      <c r="L766" s="5"/>
    </row>
    <row r="767" spans="1:12" x14ac:dyDescent="0.25">
      <c r="A767" s="22" t="s">
        <v>31</v>
      </c>
      <c r="B767" s="115">
        <v>18256</v>
      </c>
      <c r="C767" s="116"/>
      <c r="D767" s="116"/>
      <c r="E767" s="117"/>
      <c r="F767" s="5"/>
      <c r="G767" s="22" t="s">
        <v>32</v>
      </c>
      <c r="H767" s="115">
        <v>42449</v>
      </c>
      <c r="I767" s="116"/>
      <c r="J767" s="116"/>
      <c r="K767" s="117"/>
      <c r="L767" s="5"/>
    </row>
    <row r="768" spans="1:1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x14ac:dyDescent="0.25">
      <c r="A769" s="7" t="s">
        <v>16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x14ac:dyDescent="0.25">
      <c r="A770" s="9" t="s">
        <v>17</v>
      </c>
      <c r="B770" s="23">
        <f>L747-C742</f>
        <v>3055</v>
      </c>
      <c r="C770" s="5"/>
      <c r="D770" s="106" t="s">
        <v>18</v>
      </c>
      <c r="E770" s="107"/>
      <c r="F770" s="24" t="s">
        <v>19</v>
      </c>
      <c r="G770" s="9" t="s">
        <v>20</v>
      </c>
      <c r="H770" s="118">
        <f>B767+H767</f>
        <v>60705</v>
      </c>
      <c r="I770" s="119"/>
      <c r="J770" s="60"/>
      <c r="K770" s="5"/>
      <c r="L770" s="5"/>
    </row>
    <row r="771" spans="1:12" x14ac:dyDescent="0.25">
      <c r="A771" s="9" t="s">
        <v>41</v>
      </c>
      <c r="B771" s="40">
        <f>B770/D763</f>
        <v>2.105618659020732</v>
      </c>
      <c r="C771" s="5"/>
      <c r="D771" s="102">
        <f>E763</f>
        <v>30063.64</v>
      </c>
      <c r="E771" s="103"/>
      <c r="F771" s="25">
        <f>H771/B770</f>
        <v>10.76813093289689</v>
      </c>
      <c r="G771" s="9" t="s">
        <v>21</v>
      </c>
      <c r="H771" s="104">
        <f>L764+D771+D773+D775+D777+A774</f>
        <v>32896.639999999999</v>
      </c>
      <c r="I771" s="105"/>
      <c r="J771" s="5"/>
      <c r="K771" s="5"/>
      <c r="L771" s="5"/>
    </row>
    <row r="772" spans="1:12" x14ac:dyDescent="0.25">
      <c r="A772" s="9" t="s">
        <v>43</v>
      </c>
      <c r="B772" s="23">
        <f>D763/B770*100</f>
        <v>47.491980360065469</v>
      </c>
      <c r="C772" s="5"/>
      <c r="D772" s="106" t="s">
        <v>33</v>
      </c>
      <c r="E772" s="107"/>
      <c r="F772" s="5"/>
      <c r="G772" s="13" t="s">
        <v>22</v>
      </c>
      <c r="H772" s="6"/>
      <c r="I772" s="26">
        <f>H770-H771</f>
        <v>27808.36</v>
      </c>
      <c r="J772" s="5"/>
      <c r="K772" s="5"/>
      <c r="L772" s="5"/>
    </row>
    <row r="773" spans="1:12" x14ac:dyDescent="0.25">
      <c r="A773" s="106" t="s">
        <v>40</v>
      </c>
      <c r="B773" s="107"/>
      <c r="C773" s="5"/>
      <c r="D773" s="149">
        <v>1000</v>
      </c>
      <c r="E773" s="150"/>
      <c r="F773" s="5"/>
      <c r="G773" s="5"/>
      <c r="H773" s="5"/>
      <c r="I773" s="5"/>
      <c r="J773" s="5"/>
      <c r="K773" s="5"/>
      <c r="L773" s="5"/>
    </row>
    <row r="774" spans="1:12" x14ac:dyDescent="0.25">
      <c r="A774" s="108">
        <f>B770*0.6</f>
        <v>1833</v>
      </c>
      <c r="B774" s="109"/>
      <c r="C774" s="5"/>
      <c r="D774" s="106" t="s">
        <v>34</v>
      </c>
      <c r="E774" s="107"/>
      <c r="F774" s="5"/>
      <c r="G774" s="145" t="s">
        <v>292</v>
      </c>
      <c r="H774" s="146"/>
      <c r="I774" s="23">
        <f>B770/2.3</f>
        <v>1328.2608695652175</v>
      </c>
      <c r="J774" s="60"/>
      <c r="K774" s="5"/>
      <c r="L774" s="5"/>
    </row>
    <row r="775" spans="1:12" x14ac:dyDescent="0.25">
      <c r="A775" s="5"/>
      <c r="B775" s="5"/>
      <c r="C775" s="5"/>
      <c r="D775" s="108"/>
      <c r="E775" s="109"/>
      <c r="F775" s="5"/>
      <c r="G775" s="145" t="s">
        <v>294</v>
      </c>
      <c r="H775" s="146"/>
      <c r="I775" s="23">
        <f>I774-D763</f>
        <v>-122.61913043478262</v>
      </c>
      <c r="J775" s="5"/>
      <c r="K775" s="5"/>
      <c r="L775" s="5"/>
    </row>
    <row r="776" spans="1:12" x14ac:dyDescent="0.25">
      <c r="A776" s="5"/>
      <c r="B776" s="5"/>
      <c r="C776" s="5"/>
      <c r="D776" s="106" t="s">
        <v>37</v>
      </c>
      <c r="E776" s="107"/>
      <c r="F776" s="5"/>
      <c r="G776" s="147" t="s">
        <v>295</v>
      </c>
      <c r="H776" s="148"/>
      <c r="I776" s="86">
        <f>I775*F763</f>
        <v>-2541.5031852487064</v>
      </c>
      <c r="J776" s="87">
        <f>I772-I776</f>
        <v>30349.863185248709</v>
      </c>
      <c r="K776" s="5"/>
      <c r="L776" s="5"/>
    </row>
    <row r="777" spans="1:12" x14ac:dyDescent="0.25">
      <c r="A777" s="5"/>
      <c r="B777" s="5"/>
      <c r="C777" s="5"/>
      <c r="D777" s="108"/>
      <c r="E777" s="109"/>
      <c r="F777" s="5" t="s">
        <v>78</v>
      </c>
      <c r="G777" s="5"/>
      <c r="H777" s="5"/>
      <c r="I777" s="5"/>
      <c r="J777" s="88" t="s">
        <v>293</v>
      </c>
      <c r="K777" s="44"/>
      <c r="L777" s="5"/>
    </row>
    <row r="778" spans="1:12" s="49" customFormat="1" x14ac:dyDescent="0.25"/>
    <row r="781" spans="1:12" x14ac:dyDescent="0.25">
      <c r="A781" s="120" t="s">
        <v>24</v>
      </c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</row>
    <row r="782" spans="1:12" x14ac:dyDescent="0.25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</row>
    <row r="783" spans="1:12" x14ac:dyDescent="0.25">
      <c r="A783" s="1" t="s">
        <v>4</v>
      </c>
      <c r="B783" s="2"/>
      <c r="C783" s="90"/>
      <c r="D783" s="2"/>
      <c r="E783" s="2"/>
      <c r="F783" s="2"/>
      <c r="G783" s="3" t="s">
        <v>5</v>
      </c>
      <c r="H783" s="3" t="s">
        <v>6</v>
      </c>
      <c r="I783" s="4" t="s">
        <v>7</v>
      </c>
      <c r="J783" s="5"/>
      <c r="K783" s="5"/>
      <c r="L783" s="5"/>
    </row>
    <row r="784" spans="1:12" x14ac:dyDescent="0.25">
      <c r="A784" s="91" t="s">
        <v>359</v>
      </c>
      <c r="B784" s="92" t="s">
        <v>42</v>
      </c>
      <c r="C784" s="64"/>
      <c r="D784" s="66"/>
      <c r="E784" s="2"/>
      <c r="F784" s="2"/>
      <c r="G784" s="91" t="s">
        <v>299</v>
      </c>
      <c r="H784" s="66"/>
      <c r="I784" s="33"/>
      <c r="J784" s="6"/>
      <c r="K784" s="33"/>
      <c r="L784" s="6"/>
    </row>
    <row r="785" spans="1:12" x14ac:dyDescent="0.25">
      <c r="A785" s="7" t="s">
        <v>2</v>
      </c>
      <c r="B785" s="5"/>
      <c r="C785" s="5"/>
      <c r="D785" s="5"/>
      <c r="E785" s="5"/>
      <c r="F785" s="5"/>
      <c r="G785" s="8" t="s">
        <v>8</v>
      </c>
      <c r="H785" s="93">
        <v>3</v>
      </c>
      <c r="I785" s="5"/>
      <c r="J785" s="5"/>
      <c r="K785" s="5"/>
      <c r="L785" s="5"/>
    </row>
    <row r="786" spans="1:12" x14ac:dyDescent="0.25">
      <c r="A786" s="7" t="s">
        <v>25</v>
      </c>
      <c r="B786" s="5"/>
      <c r="C786" s="7" t="s">
        <v>0</v>
      </c>
      <c r="D786" s="5"/>
      <c r="E786" s="5"/>
      <c r="F786" s="5"/>
      <c r="G786" s="7" t="s">
        <v>25</v>
      </c>
      <c r="H786" s="5"/>
      <c r="I786" s="7" t="s">
        <v>0</v>
      </c>
      <c r="J786" s="5"/>
      <c r="K786" s="5"/>
      <c r="L786" s="5"/>
    </row>
    <row r="787" spans="1:12" x14ac:dyDescent="0.25">
      <c r="A787" s="42">
        <v>45392</v>
      </c>
      <c r="B787" s="6"/>
      <c r="C787" s="31">
        <f>L747</f>
        <v>875859</v>
      </c>
      <c r="D787" s="5"/>
      <c r="E787" s="5"/>
      <c r="F787" s="5"/>
      <c r="G787" s="42">
        <v>45483</v>
      </c>
      <c r="H787" s="6"/>
      <c r="I787" s="9"/>
      <c r="J787" s="5"/>
      <c r="K787" s="5"/>
      <c r="L787" s="5"/>
    </row>
    <row r="788" spans="1:12" ht="16.5" thickBot="1" x14ac:dyDescent="0.3">
      <c r="A788" s="7"/>
      <c r="B788" s="62"/>
      <c r="C788" s="62"/>
      <c r="D788" s="62"/>
      <c r="E788" s="5"/>
      <c r="F788" s="5"/>
      <c r="G788" s="10"/>
      <c r="H788" s="5"/>
      <c r="I788" s="5"/>
      <c r="J788" s="5"/>
      <c r="K788" s="5"/>
      <c r="L788" s="5"/>
    </row>
    <row r="789" spans="1:12" ht="15.75" thickBot="1" x14ac:dyDescent="0.3">
      <c r="A789" s="121" t="s">
        <v>9</v>
      </c>
      <c r="B789" s="122"/>
      <c r="C789" s="123"/>
      <c r="D789" s="5"/>
      <c r="E789" s="5"/>
      <c r="F789" s="5"/>
      <c r="G789" s="121" t="s">
        <v>26</v>
      </c>
      <c r="H789" s="122"/>
      <c r="I789" s="123"/>
      <c r="J789" s="5"/>
      <c r="K789" s="5"/>
      <c r="L789" s="5"/>
    </row>
    <row r="790" spans="1:12" x14ac:dyDescent="0.25">
      <c r="A790" s="30" t="s">
        <v>38</v>
      </c>
      <c r="B790" s="11"/>
      <c r="C790" s="11"/>
      <c r="D790" s="11"/>
      <c r="E790" s="6"/>
      <c r="F790" s="5"/>
      <c r="G790" s="30"/>
      <c r="H790" s="11"/>
      <c r="I790" s="11"/>
      <c r="J790" s="11"/>
      <c r="K790" s="11"/>
      <c r="L790" s="6"/>
    </row>
    <row r="791" spans="1:12" ht="15.75" thickBot="1" x14ac:dyDescent="0.3">
      <c r="A791" s="7"/>
      <c r="B791" s="7"/>
      <c r="C791" s="7"/>
      <c r="D791" s="5"/>
      <c r="E791" s="5"/>
      <c r="F791" s="5"/>
      <c r="G791" s="7" t="str">
        <f>A793</f>
        <v>Cape Town</v>
      </c>
      <c r="H791" s="7"/>
      <c r="I791" s="7"/>
      <c r="J791" s="5"/>
      <c r="K791" s="5"/>
      <c r="L791" s="5"/>
    </row>
    <row r="792" spans="1:12" ht="15.75" thickBot="1" x14ac:dyDescent="0.3">
      <c r="A792" s="121"/>
      <c r="B792" s="122"/>
      <c r="C792" s="124"/>
      <c r="D792" s="12" t="s">
        <v>1</v>
      </c>
      <c r="E792" s="32"/>
      <c r="F792" s="5"/>
      <c r="G792" s="121" t="s">
        <v>27</v>
      </c>
      <c r="H792" s="122"/>
      <c r="I792" s="123"/>
      <c r="J792" s="5"/>
      <c r="K792" s="12" t="s">
        <v>1</v>
      </c>
      <c r="L792" s="32">
        <v>878895</v>
      </c>
    </row>
    <row r="793" spans="1:12" x14ac:dyDescent="0.25">
      <c r="A793" s="30" t="s">
        <v>65</v>
      </c>
      <c r="B793" s="11"/>
      <c r="C793" s="11"/>
      <c r="D793" s="11"/>
      <c r="E793" s="6"/>
      <c r="F793" s="5"/>
      <c r="G793" s="30" t="s">
        <v>38</v>
      </c>
      <c r="H793" s="11"/>
      <c r="I793" s="11"/>
      <c r="J793" s="11"/>
      <c r="K793" s="11"/>
      <c r="L793" s="6"/>
    </row>
    <row r="794" spans="1:12" x14ac:dyDescent="0.25">
      <c r="A794" s="76"/>
      <c r="B794" s="11"/>
      <c r="C794" s="11"/>
      <c r="D794" s="11"/>
      <c r="E794" s="6"/>
      <c r="F794" s="5"/>
      <c r="G794" s="34"/>
      <c r="H794" s="11"/>
      <c r="I794" s="11"/>
      <c r="J794" s="11"/>
      <c r="K794" s="11"/>
      <c r="L794" s="6"/>
    </row>
    <row r="795" spans="1:12" x14ac:dyDescent="0.25">
      <c r="A795" s="13"/>
      <c r="B795" s="11"/>
      <c r="C795" s="11"/>
      <c r="D795" s="11"/>
      <c r="E795" s="6"/>
      <c r="F795" s="5"/>
      <c r="G795" s="13"/>
      <c r="H795" s="11"/>
      <c r="I795" s="11"/>
      <c r="J795" s="11"/>
      <c r="K795" s="11"/>
      <c r="L795" s="6"/>
    </row>
    <row r="796" spans="1:12" x14ac:dyDescent="0.25">
      <c r="A796" s="13"/>
      <c r="B796" s="11"/>
      <c r="C796" s="11"/>
      <c r="D796" s="11"/>
      <c r="E796" s="6"/>
      <c r="F796" s="5"/>
      <c r="G796" s="13"/>
      <c r="H796" s="11"/>
      <c r="I796" s="11"/>
      <c r="J796" s="11"/>
      <c r="K796" s="11"/>
      <c r="L796" s="6"/>
    </row>
    <row r="797" spans="1:12" ht="15.75" thickBot="1" x14ac:dyDescent="0.3">
      <c r="A797" s="13"/>
      <c r="B797" s="11"/>
      <c r="C797" s="11" t="s">
        <v>29</v>
      </c>
      <c r="D797" s="43"/>
      <c r="E797" s="6"/>
      <c r="F797" s="5"/>
      <c r="G797" s="13"/>
      <c r="H797" s="11"/>
      <c r="I797" s="14" t="s">
        <v>28</v>
      </c>
      <c r="J797" s="43"/>
      <c r="K797" s="59"/>
      <c r="L797" s="6"/>
    </row>
    <row r="798" spans="1:12" ht="15.75" thickBot="1" x14ac:dyDescent="0.3">
      <c r="A798" s="15" t="s">
        <v>10</v>
      </c>
      <c r="B798" s="5"/>
      <c r="C798" s="5"/>
      <c r="D798" s="5"/>
      <c r="E798" s="5"/>
      <c r="F798" s="5"/>
      <c r="G798" s="15" t="s">
        <v>14</v>
      </c>
      <c r="H798" s="5"/>
      <c r="I798" s="5"/>
      <c r="J798" s="5"/>
      <c r="K798" s="5"/>
      <c r="L798" s="5"/>
    </row>
    <row r="799" spans="1:12" ht="15.75" thickBot="1" x14ac:dyDescent="0.3">
      <c r="A799" s="121" t="s">
        <v>11</v>
      </c>
      <c r="B799" s="122"/>
      <c r="C799" s="123"/>
      <c r="D799" s="16" t="s">
        <v>12</v>
      </c>
      <c r="E799" s="16" t="s">
        <v>13</v>
      </c>
      <c r="F799" s="5"/>
      <c r="G799" s="121" t="s">
        <v>15</v>
      </c>
      <c r="H799" s="122"/>
      <c r="I799" s="123"/>
      <c r="J799" s="121"/>
      <c r="K799" s="123"/>
      <c r="L799" s="5"/>
    </row>
    <row r="800" spans="1:12" x14ac:dyDescent="0.25">
      <c r="A800" s="45">
        <v>45453</v>
      </c>
      <c r="B800" s="46" t="s">
        <v>66</v>
      </c>
      <c r="C800" s="47"/>
      <c r="D800" s="56">
        <v>286</v>
      </c>
      <c r="E800" s="57">
        <v>5954.5</v>
      </c>
      <c r="F800" s="44">
        <f>E800/D800</f>
        <v>20.81993006993007</v>
      </c>
      <c r="G800" s="125" t="s">
        <v>69</v>
      </c>
      <c r="H800" s="126"/>
      <c r="I800" s="127"/>
      <c r="J800" s="128">
        <v>0</v>
      </c>
      <c r="K800" s="129"/>
      <c r="L800" s="5"/>
    </row>
    <row r="801" spans="1:12" x14ac:dyDescent="0.25">
      <c r="A801" s="94">
        <v>45514</v>
      </c>
      <c r="B801" s="46" t="s">
        <v>66</v>
      </c>
      <c r="C801" s="47"/>
      <c r="D801" s="56">
        <v>698.21</v>
      </c>
      <c r="E801" s="57">
        <v>14536.7</v>
      </c>
      <c r="F801" s="44">
        <f>E801/D801</f>
        <v>20.819953882069864</v>
      </c>
      <c r="G801" s="110" t="s">
        <v>59</v>
      </c>
      <c r="H801" s="111"/>
      <c r="I801" s="112"/>
      <c r="J801" s="113"/>
      <c r="K801" s="114"/>
      <c r="L801" s="5"/>
    </row>
    <row r="802" spans="1:12" x14ac:dyDescent="0.25">
      <c r="A802" s="94">
        <v>45545</v>
      </c>
      <c r="B802" s="46" t="s">
        <v>47</v>
      </c>
      <c r="C802" s="47"/>
      <c r="D802" s="56">
        <v>400</v>
      </c>
      <c r="E802" s="57">
        <v>8084</v>
      </c>
      <c r="F802" s="44">
        <f>E802/D802</f>
        <v>20.21</v>
      </c>
      <c r="G802" s="110" t="s">
        <v>61</v>
      </c>
      <c r="H802" s="111"/>
      <c r="I802" s="112"/>
      <c r="J802" s="113"/>
      <c r="K802" s="114"/>
      <c r="L802" s="5"/>
    </row>
    <row r="803" spans="1:12" x14ac:dyDescent="0.25">
      <c r="A803" s="45"/>
      <c r="B803" s="46"/>
      <c r="C803" s="47"/>
      <c r="D803" s="56"/>
      <c r="E803" s="57"/>
      <c r="F803" s="44"/>
      <c r="G803" s="110" t="s">
        <v>51</v>
      </c>
      <c r="H803" s="111"/>
      <c r="I803" s="112"/>
      <c r="J803" s="113"/>
      <c r="K803" s="114"/>
      <c r="L803" s="5"/>
    </row>
    <row r="804" spans="1:12" x14ac:dyDescent="0.25">
      <c r="A804" s="48"/>
      <c r="B804" s="46"/>
      <c r="C804" s="39"/>
      <c r="D804" s="52"/>
      <c r="E804" s="53"/>
      <c r="F804" s="44"/>
      <c r="G804" s="110" t="s">
        <v>58</v>
      </c>
      <c r="H804" s="111"/>
      <c r="I804" s="112"/>
      <c r="J804" s="113"/>
      <c r="K804" s="114"/>
      <c r="L804" s="5"/>
    </row>
    <row r="805" spans="1:12" x14ac:dyDescent="0.25">
      <c r="A805" s="48"/>
      <c r="B805" s="35"/>
      <c r="C805" s="39"/>
      <c r="D805" s="52"/>
      <c r="E805" s="53"/>
      <c r="F805" s="44"/>
      <c r="G805" s="110" t="s">
        <v>51</v>
      </c>
      <c r="H805" s="111"/>
      <c r="I805" s="112"/>
      <c r="J805" s="113"/>
      <c r="K805" s="114"/>
      <c r="L805" s="5"/>
    </row>
    <row r="806" spans="1:12" x14ac:dyDescent="0.25">
      <c r="A806" s="48"/>
      <c r="B806" s="35"/>
      <c r="C806" s="39"/>
      <c r="D806" s="52"/>
      <c r="E806" s="53"/>
      <c r="F806" s="44"/>
      <c r="G806" s="77"/>
      <c r="H806" s="78" t="s">
        <v>69</v>
      </c>
      <c r="I806" s="79"/>
      <c r="J806" s="113"/>
      <c r="K806" s="114"/>
      <c r="L806" s="5"/>
    </row>
    <row r="807" spans="1:12" x14ac:dyDescent="0.25">
      <c r="A807" s="38"/>
      <c r="B807" s="35"/>
      <c r="C807" s="39"/>
      <c r="D807" s="52"/>
      <c r="E807" s="53"/>
      <c r="F807" s="44"/>
      <c r="G807" s="77"/>
      <c r="H807" s="78" t="s">
        <v>72</v>
      </c>
      <c r="I807" s="79"/>
      <c r="J807" s="113"/>
      <c r="K807" s="114"/>
      <c r="L807" s="5"/>
    </row>
    <row r="808" spans="1:12" ht="15.75" thickBot="1" x14ac:dyDescent="0.3">
      <c r="A808" s="5"/>
      <c r="B808" s="5"/>
      <c r="C808" s="7" t="s">
        <v>35</v>
      </c>
      <c r="D808" s="17">
        <f>SUM(D800:D807)</f>
        <v>1384.21</v>
      </c>
      <c r="E808" s="17">
        <f>SUM(E800:E807)</f>
        <v>28575.200000000001</v>
      </c>
      <c r="F808" s="89">
        <f>AVERAGE(F800:F804)</f>
        <v>20.61662798399998</v>
      </c>
      <c r="G808" s="110" t="s">
        <v>73</v>
      </c>
      <c r="H808" s="111"/>
      <c r="I808" s="112"/>
      <c r="J808" s="113"/>
      <c r="K808" s="114"/>
      <c r="L808" s="7" t="s">
        <v>36</v>
      </c>
    </row>
    <row r="809" spans="1:12" ht="15.75" thickBot="1" x14ac:dyDescent="0.3">
      <c r="A809" s="5"/>
      <c r="B809" s="5"/>
      <c r="C809" s="5"/>
      <c r="D809" s="5"/>
      <c r="E809" s="5"/>
      <c r="F809" s="5"/>
      <c r="G809" s="130"/>
      <c r="H809" s="131"/>
      <c r="I809" s="132"/>
      <c r="J809" s="133"/>
      <c r="K809" s="134"/>
      <c r="L809" s="18">
        <f>J800+J801+J802+J803+J804+J805+J806+J807+J808</f>
        <v>0</v>
      </c>
    </row>
    <row r="810" spans="1:12" ht="15.75" thickBo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75" thickBot="1" x14ac:dyDescent="0.3">
      <c r="A811" s="19"/>
      <c r="B811" s="20"/>
      <c r="C811" s="20"/>
      <c r="D811" s="20"/>
      <c r="E811" s="21" t="s">
        <v>13</v>
      </c>
      <c r="F811" s="5"/>
      <c r="G811" s="19"/>
      <c r="H811" s="20"/>
      <c r="I811" s="20"/>
      <c r="J811" s="20"/>
      <c r="K811" s="21" t="s">
        <v>13</v>
      </c>
      <c r="L811" s="5"/>
    </row>
    <row r="812" spans="1:12" x14ac:dyDescent="0.25">
      <c r="A812" s="22" t="s">
        <v>31</v>
      </c>
      <c r="B812" s="115">
        <v>18256</v>
      </c>
      <c r="C812" s="116"/>
      <c r="D812" s="116"/>
      <c r="E812" s="117"/>
      <c r="F812" s="5"/>
      <c r="G812" s="22" t="s">
        <v>32</v>
      </c>
      <c r="H812" s="115">
        <v>41306</v>
      </c>
      <c r="I812" s="116"/>
      <c r="J812" s="116"/>
      <c r="K812" s="117"/>
      <c r="L812" s="5"/>
    </row>
    <row r="813" spans="1:1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x14ac:dyDescent="0.25">
      <c r="A814" s="7" t="s">
        <v>16</v>
      </c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x14ac:dyDescent="0.25">
      <c r="A815" s="9" t="s">
        <v>17</v>
      </c>
      <c r="B815" s="23">
        <f>L792-C787</f>
        <v>3036</v>
      </c>
      <c r="C815" s="5"/>
      <c r="D815" s="106" t="s">
        <v>18</v>
      </c>
      <c r="E815" s="107"/>
      <c r="F815" s="24" t="s">
        <v>19</v>
      </c>
      <c r="G815" s="9" t="s">
        <v>20</v>
      </c>
      <c r="H815" s="118">
        <f>B812+H812</f>
        <v>59562</v>
      </c>
      <c r="I815" s="119"/>
      <c r="J815" s="60"/>
      <c r="K815" s="5"/>
      <c r="L815" s="5"/>
    </row>
    <row r="816" spans="1:12" x14ac:dyDescent="0.25">
      <c r="A816" s="9" t="s">
        <v>41</v>
      </c>
      <c r="B816" s="40">
        <f>B815/D808</f>
        <v>2.1933088187486001</v>
      </c>
      <c r="C816" s="5"/>
      <c r="D816" s="102">
        <f>E808</f>
        <v>28575.200000000001</v>
      </c>
      <c r="E816" s="103"/>
      <c r="F816" s="25">
        <f>H816/B815</f>
        <v>10.341501976284585</v>
      </c>
      <c r="G816" s="9" t="s">
        <v>21</v>
      </c>
      <c r="H816" s="104">
        <f>L809+D816+D818+D820+D822+A819</f>
        <v>31396.799999999999</v>
      </c>
      <c r="I816" s="105"/>
      <c r="J816" s="5"/>
      <c r="K816" s="5"/>
      <c r="L816" s="5"/>
    </row>
    <row r="817" spans="1:12" x14ac:dyDescent="0.25">
      <c r="A817" s="9" t="s">
        <v>43</v>
      </c>
      <c r="B817" s="23">
        <f>D808/B815*100</f>
        <v>45.593214756258234</v>
      </c>
      <c r="C817" s="5"/>
      <c r="D817" s="106" t="s">
        <v>33</v>
      </c>
      <c r="E817" s="107"/>
      <c r="F817" s="5"/>
      <c r="G817" s="13" t="s">
        <v>22</v>
      </c>
      <c r="H817" s="6"/>
      <c r="I817" s="26">
        <f>H815-H816</f>
        <v>28165.200000000001</v>
      </c>
      <c r="J817" s="5"/>
      <c r="K817" s="5"/>
      <c r="L817" s="5"/>
    </row>
    <row r="818" spans="1:12" x14ac:dyDescent="0.25">
      <c r="A818" s="106" t="s">
        <v>40</v>
      </c>
      <c r="B818" s="107"/>
      <c r="C818" s="5"/>
      <c r="D818" s="149">
        <v>1000</v>
      </c>
      <c r="E818" s="150"/>
      <c r="F818" s="5"/>
      <c r="G818" s="5"/>
      <c r="H818" s="5"/>
      <c r="I818" s="5"/>
      <c r="J818" s="5"/>
      <c r="K818" s="5"/>
      <c r="L818" s="5"/>
    </row>
    <row r="819" spans="1:12" x14ac:dyDescent="0.25">
      <c r="A819" s="108">
        <f>B815*0.6</f>
        <v>1821.6</v>
      </c>
      <c r="B819" s="109"/>
      <c r="C819" s="5"/>
      <c r="D819" s="106" t="s">
        <v>34</v>
      </c>
      <c r="E819" s="107"/>
      <c r="F819" s="5"/>
      <c r="G819" s="145" t="s">
        <v>292</v>
      </c>
      <c r="H819" s="146"/>
      <c r="I819" s="23">
        <f>B815/2.3</f>
        <v>1320</v>
      </c>
      <c r="J819" s="60"/>
      <c r="K819" s="5"/>
      <c r="L819" s="5"/>
    </row>
    <row r="820" spans="1:12" x14ac:dyDescent="0.25">
      <c r="A820" s="5"/>
      <c r="B820" s="5"/>
      <c r="C820" s="5"/>
      <c r="D820" s="108"/>
      <c r="E820" s="109"/>
      <c r="F820" s="5"/>
      <c r="G820" s="145" t="s">
        <v>294</v>
      </c>
      <c r="H820" s="146"/>
      <c r="I820" s="23">
        <f>I819-D808</f>
        <v>-64.210000000000036</v>
      </c>
      <c r="J820" s="5"/>
      <c r="K820" s="5"/>
      <c r="L820" s="5"/>
    </row>
    <row r="821" spans="1:12" x14ac:dyDescent="0.25">
      <c r="A821" s="5"/>
      <c r="B821" s="5"/>
      <c r="C821" s="5"/>
      <c r="D821" s="106" t="s">
        <v>37</v>
      </c>
      <c r="E821" s="107"/>
      <c r="F821" s="5"/>
      <c r="G821" s="147" t="s">
        <v>295</v>
      </c>
      <c r="H821" s="148"/>
      <c r="I821" s="86">
        <f>I820*F808</f>
        <v>-1323.7936828526394</v>
      </c>
      <c r="J821" s="87">
        <f>I817-I821</f>
        <v>29488.993682852641</v>
      </c>
      <c r="K821" s="5"/>
      <c r="L821" s="5"/>
    </row>
    <row r="822" spans="1:12" x14ac:dyDescent="0.25">
      <c r="A822" s="5"/>
      <c r="B822" s="5"/>
      <c r="C822" s="5"/>
      <c r="D822" s="108"/>
      <c r="E822" s="109"/>
      <c r="F822" s="5" t="s">
        <v>78</v>
      </c>
      <c r="G822" s="5"/>
      <c r="H822" s="5"/>
      <c r="I822" s="5"/>
      <c r="J822" s="88" t="s">
        <v>293</v>
      </c>
      <c r="K822" s="44"/>
      <c r="L822" s="5"/>
    </row>
    <row r="824" spans="1:12" s="49" customFormat="1" x14ac:dyDescent="0.25"/>
    <row r="827" spans="1:12" x14ac:dyDescent="0.25">
      <c r="A827" s="120" t="s">
        <v>24</v>
      </c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</row>
    <row r="828" spans="1:12" x14ac:dyDescent="0.25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</row>
    <row r="829" spans="1:12" x14ac:dyDescent="0.25">
      <c r="A829" s="1" t="s">
        <v>4</v>
      </c>
      <c r="B829" s="2"/>
      <c r="C829" s="90"/>
      <c r="D829" s="2"/>
      <c r="E829" s="2"/>
      <c r="F829" s="2"/>
      <c r="G829" s="3" t="s">
        <v>5</v>
      </c>
      <c r="H829" s="3" t="s">
        <v>6</v>
      </c>
      <c r="I829" s="4" t="s">
        <v>7</v>
      </c>
      <c r="J829" s="5"/>
      <c r="K829" s="5"/>
      <c r="L829" s="5"/>
    </row>
    <row r="830" spans="1:12" x14ac:dyDescent="0.25">
      <c r="A830" s="91" t="s">
        <v>359</v>
      </c>
      <c r="B830" s="92" t="s">
        <v>42</v>
      </c>
      <c r="C830" s="64"/>
      <c r="D830" s="66"/>
      <c r="E830" s="2"/>
      <c r="F830" s="2"/>
      <c r="G830" s="91" t="s">
        <v>299</v>
      </c>
      <c r="H830" s="66"/>
      <c r="I830" s="33"/>
      <c r="J830" s="6"/>
      <c r="K830" s="33"/>
      <c r="L830" s="6"/>
    </row>
    <row r="831" spans="1:12" x14ac:dyDescent="0.25">
      <c r="A831" s="7" t="s">
        <v>2</v>
      </c>
      <c r="B831" s="5"/>
      <c r="C831" s="5"/>
      <c r="D831" s="5"/>
      <c r="E831" s="5"/>
      <c r="F831" s="5"/>
      <c r="G831" s="8" t="s">
        <v>8</v>
      </c>
      <c r="H831" s="93">
        <v>3</v>
      </c>
      <c r="I831" s="5"/>
      <c r="J831" s="5"/>
      <c r="K831" s="5"/>
      <c r="L831" s="5"/>
    </row>
    <row r="832" spans="1:12" x14ac:dyDescent="0.25">
      <c r="A832" s="7" t="s">
        <v>25</v>
      </c>
      <c r="B832" s="5"/>
      <c r="C832" s="7" t="s">
        <v>0</v>
      </c>
      <c r="D832" s="5"/>
      <c r="E832" s="5"/>
      <c r="F832" s="5"/>
      <c r="G832" s="7" t="s">
        <v>25</v>
      </c>
      <c r="H832" s="5"/>
      <c r="I832" s="7" t="s">
        <v>0</v>
      </c>
      <c r="J832" s="5"/>
      <c r="K832" s="5"/>
      <c r="L832" s="5"/>
    </row>
    <row r="833" spans="1:12" x14ac:dyDescent="0.25">
      <c r="A833" s="42">
        <v>45545</v>
      </c>
      <c r="B833" s="6"/>
      <c r="C833" s="31">
        <f>L792</f>
        <v>878895</v>
      </c>
      <c r="D833" s="5"/>
      <c r="E833" s="5"/>
      <c r="F833" s="5"/>
      <c r="G833" s="42">
        <v>45606</v>
      </c>
      <c r="H833" s="6"/>
      <c r="I833" s="9"/>
      <c r="J833" s="5"/>
      <c r="K833" s="5"/>
      <c r="L833" s="5"/>
    </row>
    <row r="834" spans="1:12" ht="16.5" thickBot="1" x14ac:dyDescent="0.3">
      <c r="A834" s="7"/>
      <c r="B834" s="62"/>
      <c r="C834" s="62"/>
      <c r="D834" s="62"/>
      <c r="E834" s="5"/>
      <c r="F834" s="5"/>
      <c r="G834" s="10"/>
      <c r="H834" s="5"/>
      <c r="I834" s="5"/>
      <c r="J834" s="5"/>
      <c r="K834" s="5"/>
      <c r="L834" s="5"/>
    </row>
    <row r="835" spans="1:12" ht="15.75" thickBot="1" x14ac:dyDescent="0.3">
      <c r="A835" s="121" t="s">
        <v>9</v>
      </c>
      <c r="B835" s="122"/>
      <c r="C835" s="123"/>
      <c r="D835" s="5"/>
      <c r="E835" s="5"/>
      <c r="F835" s="5"/>
      <c r="G835" s="121" t="s">
        <v>26</v>
      </c>
      <c r="H835" s="122"/>
      <c r="I835" s="123"/>
      <c r="J835" s="5"/>
      <c r="K835" s="5"/>
      <c r="L835" s="5"/>
    </row>
    <row r="836" spans="1:12" x14ac:dyDescent="0.25">
      <c r="A836" s="30" t="s">
        <v>38</v>
      </c>
      <c r="B836" s="11"/>
      <c r="C836" s="11"/>
      <c r="D836" s="11"/>
      <c r="E836" s="6"/>
      <c r="F836" s="5"/>
      <c r="G836" s="30"/>
      <c r="H836" s="11"/>
      <c r="I836" s="11"/>
      <c r="J836" s="11"/>
      <c r="K836" s="11"/>
      <c r="L836" s="6"/>
    </row>
    <row r="837" spans="1:12" ht="15.75" thickBot="1" x14ac:dyDescent="0.3">
      <c r="A837" s="7"/>
      <c r="B837" s="7"/>
      <c r="C837" s="7"/>
      <c r="D837" s="5"/>
      <c r="E837" s="5"/>
      <c r="F837" s="5"/>
      <c r="G837" s="7" t="str">
        <f>A839</f>
        <v>Cape Town</v>
      </c>
      <c r="H837" s="7"/>
      <c r="I837" s="7"/>
      <c r="J837" s="5"/>
      <c r="K837" s="5"/>
      <c r="L837" s="5"/>
    </row>
    <row r="838" spans="1:12" ht="15.75" thickBot="1" x14ac:dyDescent="0.3">
      <c r="A838" s="121"/>
      <c r="B838" s="122"/>
      <c r="C838" s="124"/>
      <c r="D838" s="12" t="s">
        <v>1</v>
      </c>
      <c r="E838" s="32"/>
      <c r="F838" s="5"/>
      <c r="G838" s="121" t="s">
        <v>27</v>
      </c>
      <c r="H838" s="122"/>
      <c r="I838" s="123"/>
      <c r="J838" s="5"/>
      <c r="K838" s="12" t="s">
        <v>1</v>
      </c>
      <c r="L838" s="32">
        <v>883404</v>
      </c>
    </row>
    <row r="839" spans="1:12" x14ac:dyDescent="0.25">
      <c r="A839" s="30" t="s">
        <v>65</v>
      </c>
      <c r="B839" s="11"/>
      <c r="C839" s="11"/>
      <c r="D839" s="11"/>
      <c r="E839" s="6"/>
      <c r="F839" s="5"/>
      <c r="G839" s="30" t="s">
        <v>360</v>
      </c>
      <c r="H839" s="11"/>
      <c r="I839" s="11"/>
      <c r="J839" s="11"/>
      <c r="K839" s="11"/>
      <c r="L839" s="6"/>
    </row>
    <row r="840" spans="1:12" x14ac:dyDescent="0.25">
      <c r="A840" s="76"/>
      <c r="B840" s="11"/>
      <c r="C840" s="11"/>
      <c r="D840" s="11"/>
      <c r="E840" s="6"/>
      <c r="F840" s="5"/>
      <c r="G840" s="34" t="s">
        <v>363</v>
      </c>
      <c r="H840" s="11"/>
      <c r="I840" s="11"/>
      <c r="J840" s="11"/>
      <c r="K840" s="11"/>
      <c r="L840" s="6"/>
    </row>
    <row r="841" spans="1:12" x14ac:dyDescent="0.25">
      <c r="A841" s="13"/>
      <c r="B841" s="11"/>
      <c r="C841" s="11"/>
      <c r="D841" s="11"/>
      <c r="E841" s="6"/>
      <c r="F841" s="5"/>
      <c r="G841" s="13"/>
      <c r="H841" s="11"/>
      <c r="I841" s="11"/>
      <c r="J841" s="11"/>
      <c r="K841" s="11"/>
      <c r="L841" s="6"/>
    </row>
    <row r="842" spans="1:12" x14ac:dyDescent="0.25">
      <c r="A842" s="13"/>
      <c r="B842" s="11"/>
      <c r="C842" s="11"/>
      <c r="D842" s="11"/>
      <c r="E842" s="6"/>
      <c r="F842" s="5"/>
      <c r="G842" s="13"/>
      <c r="H842" s="11"/>
      <c r="I842" s="11"/>
      <c r="J842" s="11"/>
      <c r="K842" s="11"/>
      <c r="L842" s="6"/>
    </row>
    <row r="843" spans="1:12" ht="15.75" thickBot="1" x14ac:dyDescent="0.3">
      <c r="A843" s="13"/>
      <c r="B843" s="11"/>
      <c r="C843" s="11" t="s">
        <v>29</v>
      </c>
      <c r="D843" s="43"/>
      <c r="E843" s="6"/>
      <c r="F843" s="5"/>
      <c r="G843" s="13"/>
      <c r="H843" s="11"/>
      <c r="I843" s="14" t="s">
        <v>28</v>
      </c>
      <c r="J843" s="43"/>
      <c r="K843" s="59"/>
      <c r="L843" s="6"/>
    </row>
    <row r="844" spans="1:12" ht="15.75" thickBot="1" x14ac:dyDescent="0.3">
      <c r="A844" s="15" t="s">
        <v>10</v>
      </c>
      <c r="B844" s="5"/>
      <c r="C844" s="5"/>
      <c r="D844" s="5"/>
      <c r="E844" s="5"/>
      <c r="F844" s="5"/>
      <c r="G844" s="15" t="s">
        <v>14</v>
      </c>
      <c r="H844" s="5"/>
      <c r="I844" s="5"/>
      <c r="J844" s="5"/>
      <c r="K844" s="5"/>
      <c r="L844" s="5"/>
    </row>
    <row r="845" spans="1:12" ht="15.75" thickBot="1" x14ac:dyDescent="0.3">
      <c r="A845" s="121" t="s">
        <v>11</v>
      </c>
      <c r="B845" s="122"/>
      <c r="C845" s="123"/>
      <c r="D845" s="16" t="s">
        <v>12</v>
      </c>
      <c r="E845" s="16" t="s">
        <v>13</v>
      </c>
      <c r="F845" s="5"/>
      <c r="G845" s="121" t="s">
        <v>15</v>
      </c>
      <c r="H845" s="122"/>
      <c r="I845" s="123"/>
      <c r="J845" s="121"/>
      <c r="K845" s="123"/>
      <c r="L845" s="5"/>
    </row>
    <row r="846" spans="1:12" x14ac:dyDescent="0.25">
      <c r="A846" s="45">
        <v>45575</v>
      </c>
      <c r="B846" s="46" t="s">
        <v>66</v>
      </c>
      <c r="C846" s="47"/>
      <c r="D846" s="56">
        <v>274.89999999999998</v>
      </c>
      <c r="E846" s="57">
        <v>5723.4</v>
      </c>
      <c r="F846" s="44">
        <f>E846/D846</f>
        <v>20.819934521644235</v>
      </c>
      <c r="G846" s="125" t="s">
        <v>69</v>
      </c>
      <c r="H846" s="126"/>
      <c r="I846" s="127"/>
      <c r="J846" s="128">
        <v>0</v>
      </c>
      <c r="K846" s="129"/>
      <c r="L846" s="5"/>
    </row>
    <row r="847" spans="1:12" x14ac:dyDescent="0.25">
      <c r="A847" s="94">
        <v>45636</v>
      </c>
      <c r="B847" s="46" t="s">
        <v>66</v>
      </c>
      <c r="C847" s="47"/>
      <c r="D847" s="56">
        <v>712.28</v>
      </c>
      <c r="E847" s="57">
        <v>14829.65</v>
      </c>
      <c r="F847" s="44">
        <f>E847/D847</f>
        <v>20.819972482731512</v>
      </c>
      <c r="G847" s="110" t="s">
        <v>59</v>
      </c>
      <c r="H847" s="111"/>
      <c r="I847" s="112"/>
      <c r="J847" s="113"/>
      <c r="K847" s="114"/>
      <c r="L847" s="5"/>
    </row>
    <row r="848" spans="1:12" x14ac:dyDescent="0.25">
      <c r="A848" s="94" t="s">
        <v>361</v>
      </c>
      <c r="B848" s="46" t="s">
        <v>47</v>
      </c>
      <c r="C848" s="47"/>
      <c r="D848" s="56">
        <v>398.8</v>
      </c>
      <c r="E848" s="57">
        <v>8060.96</v>
      </c>
      <c r="F848" s="44">
        <f>E848/D848</f>
        <v>20.213039117352057</v>
      </c>
      <c r="G848" s="110" t="s">
        <v>61</v>
      </c>
      <c r="H848" s="111"/>
      <c r="I848" s="112"/>
      <c r="J848" s="113"/>
      <c r="K848" s="114"/>
      <c r="L848" s="5"/>
    </row>
    <row r="849" spans="1:12" x14ac:dyDescent="0.25">
      <c r="A849" s="45" t="s">
        <v>362</v>
      </c>
      <c r="B849" s="46" t="s">
        <v>47</v>
      </c>
      <c r="C849" s="47"/>
      <c r="D849" s="56">
        <f>494.7+79.7</f>
        <v>574.4</v>
      </c>
      <c r="E849" s="57">
        <v>11611.35</v>
      </c>
      <c r="F849" s="44">
        <f>E849/D849</f>
        <v>20.214745821727021</v>
      </c>
      <c r="G849" s="110" t="s">
        <v>51</v>
      </c>
      <c r="H849" s="111"/>
      <c r="I849" s="112"/>
      <c r="J849" s="113"/>
      <c r="K849" s="114"/>
      <c r="L849" s="5"/>
    </row>
    <row r="850" spans="1:12" x14ac:dyDescent="0.25">
      <c r="A850" s="48"/>
      <c r="B850" s="46"/>
      <c r="C850" s="39"/>
      <c r="D850" s="52"/>
      <c r="E850" s="53"/>
      <c r="F850" s="44"/>
      <c r="G850" s="110" t="s">
        <v>58</v>
      </c>
      <c r="H850" s="111"/>
      <c r="I850" s="112"/>
      <c r="J850" s="113"/>
      <c r="K850" s="114"/>
      <c r="L850" s="5"/>
    </row>
    <row r="851" spans="1:12" x14ac:dyDescent="0.25">
      <c r="A851" s="48"/>
      <c r="B851" s="35"/>
      <c r="C851" s="39"/>
      <c r="D851" s="52"/>
      <c r="E851" s="53"/>
      <c r="F851" s="44"/>
      <c r="G851" s="110" t="s">
        <v>51</v>
      </c>
      <c r="H851" s="111"/>
      <c r="I851" s="112"/>
      <c r="J851" s="113"/>
      <c r="K851" s="114"/>
      <c r="L851" s="5"/>
    </row>
    <row r="852" spans="1:12" x14ac:dyDescent="0.25">
      <c r="A852" s="48"/>
      <c r="B852" s="35"/>
      <c r="C852" s="39"/>
      <c r="D852" s="52"/>
      <c r="E852" s="53"/>
      <c r="F852" s="44"/>
      <c r="G852" s="77"/>
      <c r="H852" s="78" t="s">
        <v>69</v>
      </c>
      <c r="I852" s="79"/>
      <c r="J852" s="113"/>
      <c r="K852" s="114"/>
      <c r="L852" s="5"/>
    </row>
    <row r="853" spans="1:12" x14ac:dyDescent="0.25">
      <c r="A853" s="38"/>
      <c r="B853" s="35"/>
      <c r="C853" s="39"/>
      <c r="D853" s="52"/>
      <c r="E853" s="53"/>
      <c r="F853" s="44"/>
      <c r="G853" s="77"/>
      <c r="H853" s="78" t="s">
        <v>72</v>
      </c>
      <c r="I853" s="79"/>
      <c r="J853" s="113"/>
      <c r="K853" s="114"/>
      <c r="L853" s="5"/>
    </row>
    <row r="854" spans="1:12" ht="15.75" thickBot="1" x14ac:dyDescent="0.3">
      <c r="A854" s="5"/>
      <c r="B854" s="5"/>
      <c r="C854" s="7" t="s">
        <v>35</v>
      </c>
      <c r="D854" s="17">
        <f>SUM(D846:D853)</f>
        <v>1960.38</v>
      </c>
      <c r="E854" s="17">
        <f>SUM(E846:E853)</f>
        <v>40225.360000000001</v>
      </c>
      <c r="F854" s="89">
        <f>AVERAGE(F846:F850)</f>
        <v>20.516922985863705</v>
      </c>
      <c r="G854" s="110" t="s">
        <v>73</v>
      </c>
      <c r="H854" s="111"/>
      <c r="I854" s="112"/>
      <c r="J854" s="113"/>
      <c r="K854" s="114"/>
      <c r="L854" s="7" t="s">
        <v>36</v>
      </c>
    </row>
    <row r="855" spans="1:12" ht="15.75" thickBot="1" x14ac:dyDescent="0.3">
      <c r="A855" s="5"/>
      <c r="B855" s="5"/>
      <c r="C855" s="5"/>
      <c r="D855" s="5"/>
      <c r="E855" s="5"/>
      <c r="F855" s="5"/>
      <c r="G855" s="130"/>
      <c r="H855" s="131"/>
      <c r="I855" s="132"/>
      <c r="J855" s="133"/>
      <c r="K855" s="134"/>
      <c r="L855" s="18">
        <f>J846+J847+J848+J849+J850+J851+J852+J853+J854</f>
        <v>0</v>
      </c>
    </row>
    <row r="856" spans="1:12" ht="15.75" thickBo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75" thickBot="1" x14ac:dyDescent="0.3">
      <c r="A857" s="19"/>
      <c r="B857" s="20"/>
      <c r="C857" s="20"/>
      <c r="D857" s="20"/>
      <c r="E857" s="21" t="s">
        <v>13</v>
      </c>
      <c r="F857" s="5"/>
      <c r="G857" s="19"/>
      <c r="H857" s="20"/>
      <c r="I857" s="20"/>
      <c r="J857" s="20"/>
      <c r="K857" s="21" t="s">
        <v>13</v>
      </c>
      <c r="L857" s="5"/>
    </row>
    <row r="858" spans="1:12" x14ac:dyDescent="0.25">
      <c r="A858" s="22" t="s">
        <v>31</v>
      </c>
      <c r="B858" s="115">
        <v>17931</v>
      </c>
      <c r="C858" s="116"/>
      <c r="D858" s="116"/>
      <c r="E858" s="117"/>
      <c r="F858" s="5"/>
      <c r="G858" s="22" t="s">
        <v>32</v>
      </c>
      <c r="H858" s="115">
        <f>62823+12564</f>
        <v>75387</v>
      </c>
      <c r="I858" s="116"/>
      <c r="J858" s="116"/>
      <c r="K858" s="117"/>
      <c r="L858" s="5"/>
    </row>
    <row r="859" spans="1:1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x14ac:dyDescent="0.25">
      <c r="A860" s="7" t="s">
        <v>16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x14ac:dyDescent="0.25">
      <c r="A861" s="9" t="s">
        <v>17</v>
      </c>
      <c r="B861" s="23">
        <f>L838-C833</f>
        <v>4509</v>
      </c>
      <c r="C861" s="5"/>
      <c r="D861" s="106" t="s">
        <v>18</v>
      </c>
      <c r="E861" s="107"/>
      <c r="F861" s="24" t="s">
        <v>19</v>
      </c>
      <c r="G861" s="9" t="s">
        <v>20</v>
      </c>
      <c r="H861" s="118">
        <f>B858+H858</f>
        <v>93318</v>
      </c>
      <c r="I861" s="119"/>
      <c r="J861" s="60"/>
      <c r="K861" s="5"/>
      <c r="L861" s="5"/>
    </row>
    <row r="862" spans="1:12" x14ac:dyDescent="0.25">
      <c r="A862" s="9" t="s">
        <v>41</v>
      </c>
      <c r="B862" s="40">
        <f>B861/D854</f>
        <v>2.3000642732531449</v>
      </c>
      <c r="C862" s="5"/>
      <c r="D862" s="102">
        <f>E854</f>
        <v>40225.360000000001</v>
      </c>
      <c r="E862" s="103"/>
      <c r="F862" s="25">
        <f>H862/B861</f>
        <v>10.031616766467065</v>
      </c>
      <c r="G862" s="9" t="s">
        <v>21</v>
      </c>
      <c r="H862" s="104">
        <f>L855+D862+D864+D866+D868+A865</f>
        <v>45232.56</v>
      </c>
      <c r="I862" s="105"/>
      <c r="J862" s="5"/>
      <c r="K862" s="5"/>
      <c r="L862" s="5"/>
    </row>
    <row r="863" spans="1:12" x14ac:dyDescent="0.25">
      <c r="A863" s="9" t="s">
        <v>43</v>
      </c>
      <c r="B863" s="23">
        <f>D854/B861*100</f>
        <v>43.477045908183634</v>
      </c>
      <c r="C863" s="5"/>
      <c r="D863" s="106" t="s">
        <v>33</v>
      </c>
      <c r="E863" s="107"/>
      <c r="F863" s="5"/>
      <c r="G863" s="13" t="s">
        <v>22</v>
      </c>
      <c r="H863" s="6"/>
      <c r="I863" s="26">
        <f>H861-H862</f>
        <v>48085.440000000002</v>
      </c>
      <c r="J863" s="5"/>
      <c r="K863" s="5"/>
      <c r="L863" s="5"/>
    </row>
    <row r="864" spans="1:12" x14ac:dyDescent="0.25">
      <c r="A864" s="106" t="s">
        <v>40</v>
      </c>
      <c r="B864" s="107"/>
      <c r="C864" s="5"/>
      <c r="D864" s="149">
        <v>1000</v>
      </c>
      <c r="E864" s="150"/>
      <c r="F864" s="5"/>
      <c r="G864" s="5"/>
      <c r="H864" s="5"/>
      <c r="I864" s="5"/>
      <c r="J864" s="5"/>
      <c r="K864" s="5"/>
      <c r="L864" s="5"/>
    </row>
    <row r="865" spans="1:12" x14ac:dyDescent="0.25">
      <c r="A865" s="108">
        <f>B861*0.8</f>
        <v>3607.2000000000003</v>
      </c>
      <c r="B865" s="109"/>
      <c r="C865" s="5"/>
      <c r="D865" s="106" t="s">
        <v>34</v>
      </c>
      <c r="E865" s="107"/>
      <c r="F865" s="5"/>
      <c r="G865" s="145" t="s">
        <v>292</v>
      </c>
      <c r="H865" s="146"/>
      <c r="I865" s="23">
        <f>B861/2.3</f>
        <v>1960.4347826086957</v>
      </c>
      <c r="J865" s="60"/>
      <c r="K865" s="5"/>
      <c r="L865" s="5"/>
    </row>
    <row r="866" spans="1:12" x14ac:dyDescent="0.25">
      <c r="A866" s="5"/>
      <c r="B866" s="5"/>
      <c r="C866" s="5"/>
      <c r="D866" s="108">
        <v>400</v>
      </c>
      <c r="E866" s="109"/>
      <c r="F866" s="5"/>
      <c r="G866" s="145" t="s">
        <v>294</v>
      </c>
      <c r="H866" s="146"/>
      <c r="I866" s="23">
        <f>I865-D854</f>
        <v>5.4782608695632007E-2</v>
      </c>
      <c r="J866" s="5"/>
      <c r="K866" s="5"/>
      <c r="L866" s="5"/>
    </row>
    <row r="867" spans="1:12" x14ac:dyDescent="0.25">
      <c r="A867" s="5"/>
      <c r="B867" s="5"/>
      <c r="C867" s="5"/>
      <c r="D867" s="106" t="s">
        <v>37</v>
      </c>
      <c r="E867" s="107"/>
      <c r="F867" s="5"/>
      <c r="G867" s="147" t="s">
        <v>295</v>
      </c>
      <c r="H867" s="148"/>
      <c r="I867" s="86">
        <f>I866*F854</f>
        <v>1.1239705635729891</v>
      </c>
      <c r="J867" s="87">
        <f>I863-I867</f>
        <v>48084.316029436428</v>
      </c>
      <c r="K867" s="5"/>
      <c r="L867" s="5"/>
    </row>
    <row r="868" spans="1:12" x14ac:dyDescent="0.25">
      <c r="A868" s="5"/>
      <c r="B868" s="5"/>
      <c r="C868" s="5"/>
      <c r="D868" s="108"/>
      <c r="E868" s="109"/>
      <c r="F868" s="5" t="s">
        <v>78</v>
      </c>
      <c r="G868" s="5"/>
      <c r="H868" s="5"/>
      <c r="I868" s="5"/>
      <c r="J868" s="88" t="s">
        <v>293</v>
      </c>
      <c r="K868" s="44"/>
      <c r="L868" s="5"/>
    </row>
    <row r="869" spans="1:12" s="49" customFormat="1" x14ac:dyDescent="0.25"/>
    <row r="872" spans="1:12" x14ac:dyDescent="0.25">
      <c r="A872" s="120" t="s">
        <v>24</v>
      </c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</row>
    <row r="873" spans="1:12" x14ac:dyDescent="0.25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</row>
    <row r="874" spans="1:12" x14ac:dyDescent="0.25">
      <c r="A874" s="1" t="s">
        <v>4</v>
      </c>
      <c r="B874" s="2"/>
      <c r="C874" s="90"/>
      <c r="D874" s="2"/>
      <c r="E874" s="2"/>
      <c r="F874" s="2"/>
      <c r="G874" s="3" t="s">
        <v>5</v>
      </c>
      <c r="H874" s="3" t="s">
        <v>6</v>
      </c>
      <c r="I874" s="4" t="s">
        <v>7</v>
      </c>
      <c r="J874" s="5"/>
      <c r="K874" s="5"/>
      <c r="L874" s="5"/>
    </row>
    <row r="875" spans="1:12" x14ac:dyDescent="0.25">
      <c r="A875" s="91" t="s">
        <v>359</v>
      </c>
      <c r="B875" s="92" t="s">
        <v>42</v>
      </c>
      <c r="C875" s="64"/>
      <c r="D875" s="66"/>
      <c r="E875" s="2"/>
      <c r="F875" s="2"/>
      <c r="G875" s="91" t="s">
        <v>299</v>
      </c>
      <c r="H875" s="66"/>
      <c r="I875" s="33"/>
      <c r="J875" s="6"/>
      <c r="K875" s="33"/>
      <c r="L875" s="6"/>
    </row>
    <row r="876" spans="1:12" x14ac:dyDescent="0.25">
      <c r="A876" s="7" t="s">
        <v>2</v>
      </c>
      <c r="B876" s="5"/>
      <c r="C876" s="5"/>
      <c r="D876" s="5"/>
      <c r="E876" s="5"/>
      <c r="F876" s="5"/>
      <c r="G876" s="8" t="s">
        <v>8</v>
      </c>
      <c r="H876" s="93">
        <v>3</v>
      </c>
      <c r="I876" s="5"/>
      <c r="J876" s="5"/>
      <c r="K876" s="5"/>
      <c r="L876" s="5"/>
    </row>
    <row r="877" spans="1:12" x14ac:dyDescent="0.25">
      <c r="A877" s="7" t="s">
        <v>25</v>
      </c>
      <c r="B877" s="5"/>
      <c r="C877" s="7" t="s">
        <v>0</v>
      </c>
      <c r="D877" s="5"/>
      <c r="E877" s="5"/>
      <c r="F877" s="5"/>
      <c r="G877" s="7" t="s">
        <v>25</v>
      </c>
      <c r="H877" s="5"/>
      <c r="I877" s="7" t="s">
        <v>0</v>
      </c>
      <c r="J877" s="5"/>
      <c r="K877" s="5"/>
      <c r="L877" s="5"/>
    </row>
    <row r="878" spans="1:12" x14ac:dyDescent="0.25">
      <c r="A878" s="42" t="s">
        <v>362</v>
      </c>
      <c r="B878" s="6"/>
      <c r="C878" s="31">
        <f>L838</f>
        <v>883404</v>
      </c>
      <c r="D878" s="5"/>
      <c r="E878" s="5"/>
      <c r="F878" s="5"/>
      <c r="G878" s="42">
        <v>45606</v>
      </c>
      <c r="H878" s="6"/>
      <c r="I878" s="9"/>
      <c r="J878" s="5"/>
      <c r="K878" s="5"/>
      <c r="L878" s="5"/>
    </row>
    <row r="879" spans="1:12" ht="16.5" thickBot="1" x14ac:dyDescent="0.3">
      <c r="A879" s="7"/>
      <c r="B879" s="62"/>
      <c r="C879" s="62"/>
      <c r="D879" s="62"/>
      <c r="E879" s="5"/>
      <c r="F879" s="5"/>
      <c r="G879" s="10"/>
      <c r="H879" s="5"/>
      <c r="I879" s="5"/>
      <c r="J879" s="5"/>
      <c r="K879" s="5"/>
      <c r="L879" s="5"/>
    </row>
    <row r="880" spans="1:12" ht="15.75" thickBot="1" x14ac:dyDescent="0.3">
      <c r="A880" s="121" t="s">
        <v>9</v>
      </c>
      <c r="B880" s="122"/>
      <c r="C880" s="123"/>
      <c r="D880" s="5"/>
      <c r="E880" s="5"/>
      <c r="F880" s="5"/>
      <c r="G880" s="121" t="s">
        <v>26</v>
      </c>
      <c r="H880" s="122"/>
      <c r="I880" s="123"/>
      <c r="J880" s="5"/>
      <c r="K880" s="5"/>
      <c r="L880" s="5"/>
    </row>
    <row r="881" spans="1:12" x14ac:dyDescent="0.25">
      <c r="A881" s="30" t="s">
        <v>38</v>
      </c>
      <c r="B881" s="11"/>
      <c r="C881" s="11"/>
      <c r="D881" s="11"/>
      <c r="E881" s="6"/>
      <c r="F881" s="5"/>
      <c r="G881" s="30"/>
      <c r="H881" s="11"/>
      <c r="I881" s="11"/>
      <c r="J881" s="11"/>
      <c r="K881" s="11"/>
      <c r="L881" s="6"/>
    </row>
    <row r="882" spans="1:12" ht="15.75" thickBot="1" x14ac:dyDescent="0.3">
      <c r="A882" s="7"/>
      <c r="B882" s="7"/>
      <c r="C882" s="7"/>
      <c r="D882" s="5"/>
      <c r="E882" s="5"/>
      <c r="F882" s="5"/>
      <c r="G882" s="7" t="str">
        <f>A884</f>
        <v>Cape Town</v>
      </c>
      <c r="H882" s="7"/>
      <c r="I882" s="7"/>
      <c r="J882" s="5"/>
      <c r="K882" s="5"/>
      <c r="L882" s="5"/>
    </row>
    <row r="883" spans="1:12" ht="15.75" thickBot="1" x14ac:dyDescent="0.3">
      <c r="A883" s="121"/>
      <c r="B883" s="122"/>
      <c r="C883" s="124"/>
      <c r="D883" s="12" t="s">
        <v>1</v>
      </c>
      <c r="E883" s="32"/>
      <c r="F883" s="5"/>
      <c r="G883" s="121" t="s">
        <v>27</v>
      </c>
      <c r="H883" s="122"/>
      <c r="I883" s="123"/>
      <c r="J883" s="5"/>
      <c r="K883" s="12" t="s">
        <v>1</v>
      </c>
      <c r="L883" s="32">
        <v>886445</v>
      </c>
    </row>
    <row r="884" spans="1:12" x14ac:dyDescent="0.25">
      <c r="A884" s="30" t="s">
        <v>65</v>
      </c>
      <c r="B884" s="11"/>
      <c r="C884" s="11"/>
      <c r="D884" s="11"/>
      <c r="E884" s="6"/>
      <c r="F884" s="5"/>
      <c r="G884" s="30" t="s">
        <v>364</v>
      </c>
      <c r="H884" s="11"/>
      <c r="I884" s="11"/>
      <c r="J884" s="11"/>
      <c r="K884" s="11"/>
      <c r="L884" s="6"/>
    </row>
    <row r="885" spans="1:12" x14ac:dyDescent="0.25">
      <c r="A885" s="76"/>
      <c r="B885" s="11"/>
      <c r="C885" s="11"/>
      <c r="D885" s="11"/>
      <c r="E885" s="6"/>
      <c r="F885" s="5"/>
      <c r="G885" s="34"/>
      <c r="H885" s="11"/>
      <c r="I885" s="11"/>
      <c r="J885" s="11"/>
      <c r="K885" s="11"/>
      <c r="L885" s="6"/>
    </row>
    <row r="886" spans="1:12" x14ac:dyDescent="0.25">
      <c r="A886" s="13"/>
      <c r="B886" s="11"/>
      <c r="C886" s="11"/>
      <c r="D886" s="11"/>
      <c r="E886" s="6"/>
      <c r="F886" s="5"/>
      <c r="G886" s="13"/>
      <c r="H886" s="11"/>
      <c r="I886" s="11"/>
      <c r="J886" s="11"/>
      <c r="K886" s="11"/>
      <c r="L886" s="6"/>
    </row>
    <row r="887" spans="1:12" x14ac:dyDescent="0.25">
      <c r="A887" s="13"/>
      <c r="B887" s="11"/>
      <c r="C887" s="11"/>
      <c r="D887" s="11"/>
      <c r="E887" s="6"/>
      <c r="F887" s="5"/>
      <c r="G887" s="13"/>
      <c r="H887" s="11"/>
      <c r="I887" s="11"/>
      <c r="J887" s="11"/>
      <c r="K887" s="11"/>
      <c r="L887" s="6"/>
    </row>
    <row r="888" spans="1:12" ht="15.75" thickBot="1" x14ac:dyDescent="0.3">
      <c r="A888" s="13"/>
      <c r="B888" s="11"/>
      <c r="C888" s="11" t="s">
        <v>29</v>
      </c>
      <c r="D888" s="43"/>
      <c r="E888" s="6"/>
      <c r="F888" s="5"/>
      <c r="G888" s="13"/>
      <c r="H888" s="11"/>
      <c r="I888" s="14" t="s">
        <v>28</v>
      </c>
      <c r="J888" s="43"/>
      <c r="K888" s="59"/>
      <c r="L888" s="6"/>
    </row>
    <row r="889" spans="1:12" ht="15.75" thickBot="1" x14ac:dyDescent="0.3">
      <c r="A889" s="15" t="s">
        <v>10</v>
      </c>
      <c r="B889" s="5"/>
      <c r="C889" s="5"/>
      <c r="D889" s="5"/>
      <c r="E889" s="5"/>
      <c r="F889" s="5"/>
      <c r="G889" s="15" t="s">
        <v>14</v>
      </c>
      <c r="H889" s="5"/>
      <c r="I889" s="5"/>
      <c r="J889" s="5"/>
      <c r="K889" s="5"/>
      <c r="L889" s="5"/>
    </row>
    <row r="890" spans="1:12" ht="15.75" thickBot="1" x14ac:dyDescent="0.3">
      <c r="A890" s="121" t="s">
        <v>11</v>
      </c>
      <c r="B890" s="122"/>
      <c r="C890" s="123"/>
      <c r="D890" s="16" t="s">
        <v>12</v>
      </c>
      <c r="E890" s="16" t="s">
        <v>13</v>
      </c>
      <c r="F890" s="5"/>
      <c r="G890" s="121" t="s">
        <v>15</v>
      </c>
      <c r="H890" s="122"/>
      <c r="I890" s="123"/>
      <c r="J890" s="121"/>
      <c r="K890" s="123"/>
      <c r="L890" s="5"/>
    </row>
    <row r="891" spans="1:12" x14ac:dyDescent="0.25">
      <c r="A891" s="45" t="s">
        <v>365</v>
      </c>
      <c r="B891" s="46" t="s">
        <v>66</v>
      </c>
      <c r="C891" s="47"/>
      <c r="D891" s="56">
        <v>255.01</v>
      </c>
      <c r="E891" s="57">
        <v>5309.3</v>
      </c>
      <c r="F891" s="44">
        <f>E891/D891</f>
        <v>20.81996784439826</v>
      </c>
      <c r="G891" s="125" t="s">
        <v>69</v>
      </c>
      <c r="H891" s="126"/>
      <c r="I891" s="127"/>
      <c r="J891" s="128">
        <v>0</v>
      </c>
      <c r="K891" s="129"/>
      <c r="L891" s="5"/>
    </row>
    <row r="892" spans="1:12" x14ac:dyDescent="0.25">
      <c r="A892" s="94" t="s">
        <v>366</v>
      </c>
      <c r="B892" s="46" t="s">
        <v>66</v>
      </c>
      <c r="C892" s="47"/>
      <c r="D892" s="56">
        <v>687.29</v>
      </c>
      <c r="E892" s="57">
        <v>14309.4</v>
      </c>
      <c r="F892" s="44">
        <f>E892/D892</f>
        <v>20.820032300775509</v>
      </c>
      <c r="G892" s="110" t="s">
        <v>59</v>
      </c>
      <c r="H892" s="111"/>
      <c r="I892" s="112"/>
      <c r="J892" s="113"/>
      <c r="K892" s="114"/>
      <c r="L892" s="5"/>
    </row>
    <row r="893" spans="1:12" x14ac:dyDescent="0.25">
      <c r="A893" s="94" t="s">
        <v>367</v>
      </c>
      <c r="B893" s="46" t="s">
        <v>47</v>
      </c>
      <c r="C893" s="47"/>
      <c r="D893" s="56">
        <v>410</v>
      </c>
      <c r="E893" s="57">
        <v>8286.7099999999991</v>
      </c>
      <c r="F893" s="44">
        <f>E893/D893</f>
        <v>20.211487804878047</v>
      </c>
      <c r="G893" s="110" t="s">
        <v>61</v>
      </c>
      <c r="H893" s="111"/>
      <c r="I893" s="112"/>
      <c r="J893" s="113"/>
      <c r="K893" s="114"/>
      <c r="L893" s="5"/>
    </row>
    <row r="894" spans="1:12" x14ac:dyDescent="0.25">
      <c r="A894" s="45"/>
      <c r="B894" s="46" t="s">
        <v>47</v>
      </c>
      <c r="C894" s="47"/>
      <c r="D894" s="56"/>
      <c r="E894" s="57"/>
      <c r="F894" s="44" t="e">
        <f>E894/D894</f>
        <v>#DIV/0!</v>
      </c>
      <c r="G894" s="110" t="s">
        <v>51</v>
      </c>
      <c r="H894" s="111"/>
      <c r="I894" s="112"/>
      <c r="J894" s="113"/>
      <c r="K894" s="114"/>
      <c r="L894" s="5"/>
    </row>
    <row r="895" spans="1:12" x14ac:dyDescent="0.25">
      <c r="A895" s="48"/>
      <c r="B895" s="46"/>
      <c r="C895" s="39"/>
      <c r="D895" s="52"/>
      <c r="E895" s="53"/>
      <c r="F895" s="44"/>
      <c r="G895" s="110" t="s">
        <v>58</v>
      </c>
      <c r="H895" s="111"/>
      <c r="I895" s="112"/>
      <c r="J895" s="113"/>
      <c r="K895" s="114"/>
      <c r="L895" s="5"/>
    </row>
    <row r="896" spans="1:12" x14ac:dyDescent="0.25">
      <c r="A896" s="48"/>
      <c r="B896" s="35"/>
      <c r="C896" s="39"/>
      <c r="D896" s="52"/>
      <c r="E896" s="53"/>
      <c r="F896" s="44"/>
      <c r="G896" s="110" t="s">
        <v>51</v>
      </c>
      <c r="H896" s="111"/>
      <c r="I896" s="112"/>
      <c r="J896" s="113"/>
      <c r="K896" s="114"/>
      <c r="L896" s="5"/>
    </row>
    <row r="897" spans="1:12" x14ac:dyDescent="0.25">
      <c r="A897" s="48"/>
      <c r="B897" s="35"/>
      <c r="C897" s="39"/>
      <c r="D897" s="52"/>
      <c r="E897" s="53"/>
      <c r="F897" s="44"/>
      <c r="G897" s="77"/>
      <c r="H897" s="78" t="s">
        <v>69</v>
      </c>
      <c r="I897" s="79"/>
      <c r="J897" s="113"/>
      <c r="K897" s="114"/>
      <c r="L897" s="5"/>
    </row>
    <row r="898" spans="1:12" x14ac:dyDescent="0.25">
      <c r="A898" s="38"/>
      <c r="B898" s="35"/>
      <c r="C898" s="39"/>
      <c r="D898" s="52"/>
      <c r="E898" s="53"/>
      <c r="F898" s="44"/>
      <c r="G898" s="77"/>
      <c r="H898" s="78" t="s">
        <v>72</v>
      </c>
      <c r="I898" s="79"/>
      <c r="J898" s="113"/>
      <c r="K898" s="114"/>
      <c r="L898" s="5"/>
    </row>
    <row r="899" spans="1:12" ht="15.75" thickBot="1" x14ac:dyDescent="0.3">
      <c r="A899" s="5"/>
      <c r="B899" s="5"/>
      <c r="C899" s="7" t="s">
        <v>35</v>
      </c>
      <c r="D899" s="17">
        <f>SUM(D891:D898)</f>
        <v>1352.3</v>
      </c>
      <c r="E899" s="17">
        <f>SUM(E891:E898)</f>
        <v>27905.41</v>
      </c>
      <c r="F899" s="89" t="e">
        <f>AVERAGE(F891:F895)</f>
        <v>#DIV/0!</v>
      </c>
      <c r="G899" s="110" t="s">
        <v>73</v>
      </c>
      <c r="H899" s="111"/>
      <c r="I899" s="112"/>
      <c r="J899" s="113"/>
      <c r="K899" s="114"/>
      <c r="L899" s="7" t="s">
        <v>36</v>
      </c>
    </row>
    <row r="900" spans="1:12" ht="15.75" thickBot="1" x14ac:dyDescent="0.3">
      <c r="A900" s="5"/>
      <c r="B900" s="5"/>
      <c r="C900" s="5"/>
      <c r="D900" s="5"/>
      <c r="E900" s="5"/>
      <c r="F900" s="5"/>
      <c r="G900" s="130"/>
      <c r="H900" s="131"/>
      <c r="I900" s="132"/>
      <c r="J900" s="133"/>
      <c r="K900" s="134"/>
      <c r="L900" s="18">
        <f>J891+J892+J893+J894+J895+J896+J897+J898+J899</f>
        <v>0</v>
      </c>
    </row>
    <row r="901" spans="1:12" ht="15.75" thickBo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75" thickBot="1" x14ac:dyDescent="0.3">
      <c r="A902" s="19"/>
      <c r="B902" s="20"/>
      <c r="C902" s="20"/>
      <c r="D902" s="20"/>
      <c r="E902" s="21" t="s">
        <v>13</v>
      </c>
      <c r="F902" s="5"/>
      <c r="G902" s="19"/>
      <c r="H902" s="20"/>
      <c r="I902" s="20"/>
      <c r="J902" s="20"/>
      <c r="K902" s="21" t="s">
        <v>13</v>
      </c>
      <c r="L902" s="5"/>
    </row>
    <row r="903" spans="1:12" x14ac:dyDescent="0.25">
      <c r="A903" s="22" t="s">
        <v>31</v>
      </c>
      <c r="B903" s="115">
        <v>17931</v>
      </c>
      <c r="C903" s="116"/>
      <c r="D903" s="116"/>
      <c r="E903" s="117"/>
      <c r="F903" s="5"/>
      <c r="G903" s="22" t="s">
        <v>32</v>
      </c>
      <c r="H903" s="115">
        <v>41306</v>
      </c>
      <c r="I903" s="116"/>
      <c r="J903" s="116"/>
      <c r="K903" s="117"/>
      <c r="L903" s="5"/>
    </row>
    <row r="904" spans="1:1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x14ac:dyDescent="0.25">
      <c r="A905" s="7" t="s">
        <v>16</v>
      </c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x14ac:dyDescent="0.25">
      <c r="A906" s="9" t="s">
        <v>17</v>
      </c>
      <c r="B906" s="23">
        <f>L883-C878</f>
        <v>3041</v>
      </c>
      <c r="C906" s="5"/>
      <c r="D906" s="106" t="s">
        <v>18</v>
      </c>
      <c r="E906" s="107"/>
      <c r="F906" s="24" t="s">
        <v>19</v>
      </c>
      <c r="G906" s="9" t="s">
        <v>20</v>
      </c>
      <c r="H906" s="118">
        <f>B903+H903</f>
        <v>59237</v>
      </c>
      <c r="I906" s="119"/>
      <c r="J906" s="60"/>
      <c r="K906" s="5"/>
      <c r="L906" s="5"/>
    </row>
    <row r="907" spans="1:12" x14ac:dyDescent="0.25">
      <c r="A907" s="9" t="s">
        <v>41</v>
      </c>
      <c r="B907" s="40">
        <f>B906/D899</f>
        <v>2.248761369518598</v>
      </c>
      <c r="C907" s="5"/>
      <c r="D907" s="102">
        <f>E899</f>
        <v>27905.41</v>
      </c>
      <c r="E907" s="103"/>
      <c r="F907" s="25">
        <f>H907/B906</f>
        <v>10.105231831634331</v>
      </c>
      <c r="G907" s="9" t="s">
        <v>21</v>
      </c>
      <c r="H907" s="104">
        <f>L900+D907+D909+D911+D913+A910</f>
        <v>30730.01</v>
      </c>
      <c r="I907" s="105"/>
      <c r="J907" s="5"/>
      <c r="K907" s="5"/>
      <c r="L907" s="5"/>
    </row>
    <row r="908" spans="1:12" x14ac:dyDescent="0.25">
      <c r="A908" s="9" t="s">
        <v>43</v>
      </c>
      <c r="B908" s="23">
        <f>D899/B906*100</f>
        <v>44.468924695823745</v>
      </c>
      <c r="C908" s="5"/>
      <c r="D908" s="106" t="s">
        <v>33</v>
      </c>
      <c r="E908" s="107"/>
      <c r="F908" s="5"/>
      <c r="G908" s="13" t="s">
        <v>22</v>
      </c>
      <c r="H908" s="6"/>
      <c r="I908" s="26">
        <f>H906-H907</f>
        <v>28506.99</v>
      </c>
      <c r="J908" s="5"/>
      <c r="K908" s="5"/>
      <c r="L908" s="5"/>
    </row>
    <row r="909" spans="1:12" x14ac:dyDescent="0.25">
      <c r="A909" s="106" t="s">
        <v>40</v>
      </c>
      <c r="B909" s="107"/>
      <c r="C909" s="5"/>
      <c r="D909" s="149">
        <v>1000</v>
      </c>
      <c r="E909" s="150"/>
      <c r="F909" s="5"/>
      <c r="G909" s="5"/>
      <c r="H909" s="5"/>
      <c r="I909" s="5"/>
      <c r="J909" s="5"/>
      <c r="K909" s="5"/>
      <c r="L909" s="5"/>
    </row>
    <row r="910" spans="1:12" x14ac:dyDescent="0.25">
      <c r="A910" s="108">
        <f>B906*0.6</f>
        <v>1824.6</v>
      </c>
      <c r="B910" s="109"/>
      <c r="C910" s="5"/>
      <c r="D910" s="106" t="s">
        <v>34</v>
      </c>
      <c r="E910" s="107"/>
      <c r="F910" s="5"/>
      <c r="G910" s="145" t="s">
        <v>292</v>
      </c>
      <c r="H910" s="146"/>
      <c r="I910" s="23">
        <f>B906/2.3</f>
        <v>1322.1739130434783</v>
      </c>
      <c r="J910" s="60"/>
      <c r="K910" s="5"/>
      <c r="L910" s="5"/>
    </row>
    <row r="911" spans="1:12" x14ac:dyDescent="0.25">
      <c r="A911" s="5"/>
      <c r="B911" s="5"/>
      <c r="C911" s="5"/>
      <c r="D911" s="108"/>
      <c r="E911" s="109"/>
      <c r="F911" s="5"/>
      <c r="G911" s="145" t="s">
        <v>294</v>
      </c>
      <c r="H911" s="146"/>
      <c r="I911" s="23">
        <f>I910-D899</f>
        <v>-30.126086956521704</v>
      </c>
      <c r="J911" s="5"/>
      <c r="K911" s="5"/>
      <c r="L911" s="5"/>
    </row>
    <row r="912" spans="1:12" x14ac:dyDescent="0.25">
      <c r="A912" s="5"/>
      <c r="B912" s="5"/>
      <c r="C912" s="5"/>
      <c r="D912" s="106" t="s">
        <v>37</v>
      </c>
      <c r="E912" s="107"/>
      <c r="F912" s="5"/>
      <c r="G912" s="147" t="s">
        <v>295</v>
      </c>
      <c r="H912" s="148"/>
      <c r="I912" s="86" t="e">
        <f>I911*F899</f>
        <v>#DIV/0!</v>
      </c>
      <c r="J912" s="87" t="e">
        <f>I908-I912</f>
        <v>#DIV/0!</v>
      </c>
      <c r="K912" s="5"/>
      <c r="L912" s="5"/>
    </row>
    <row r="913" spans="1:12" x14ac:dyDescent="0.25">
      <c r="A913" s="5"/>
      <c r="B913" s="5"/>
      <c r="C913" s="5"/>
      <c r="D913" s="108"/>
      <c r="E913" s="109"/>
      <c r="F913" s="5" t="s">
        <v>78</v>
      </c>
      <c r="G913" s="5"/>
      <c r="H913" s="5"/>
      <c r="I913" s="5"/>
      <c r="J913" s="88" t="s">
        <v>293</v>
      </c>
      <c r="K913" s="44"/>
      <c r="L913" s="5"/>
    </row>
    <row r="915" spans="1:12" s="49" customFormat="1" x14ac:dyDescent="0.25"/>
    <row r="918" spans="1:12" x14ac:dyDescent="0.25">
      <c r="A918" s="120" t="s">
        <v>24</v>
      </c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</row>
    <row r="919" spans="1:12" x14ac:dyDescent="0.25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</row>
    <row r="920" spans="1:12" x14ac:dyDescent="0.25">
      <c r="A920" s="1" t="s">
        <v>4</v>
      </c>
      <c r="B920" s="2"/>
      <c r="C920" s="90"/>
      <c r="D920" s="2"/>
      <c r="E920" s="2"/>
      <c r="F920" s="2"/>
      <c r="G920" s="3" t="s">
        <v>5</v>
      </c>
      <c r="H920" s="3" t="s">
        <v>6</v>
      </c>
      <c r="I920" s="4" t="s">
        <v>7</v>
      </c>
      <c r="J920" s="5"/>
      <c r="K920" s="5"/>
      <c r="L920" s="5"/>
    </row>
    <row r="921" spans="1:12" x14ac:dyDescent="0.25">
      <c r="A921" s="91" t="s">
        <v>359</v>
      </c>
      <c r="B921" s="92" t="s">
        <v>42</v>
      </c>
      <c r="C921" s="64"/>
      <c r="D921" s="66"/>
      <c r="E921" s="2"/>
      <c r="F921" s="2"/>
      <c r="G921" s="91" t="s">
        <v>299</v>
      </c>
      <c r="H921" s="66"/>
      <c r="I921" s="33"/>
      <c r="J921" s="6"/>
      <c r="K921" s="33"/>
      <c r="L921" s="6"/>
    </row>
    <row r="922" spans="1:12" x14ac:dyDescent="0.25">
      <c r="A922" s="7" t="s">
        <v>2</v>
      </c>
      <c r="B922" s="5"/>
      <c r="C922" s="5"/>
      <c r="D922" s="5"/>
      <c r="E922" s="5"/>
      <c r="F922" s="5"/>
      <c r="G922" s="8" t="s">
        <v>8</v>
      </c>
      <c r="H922" s="93">
        <v>3</v>
      </c>
      <c r="I922" s="5"/>
      <c r="J922" s="5"/>
      <c r="K922" s="5"/>
      <c r="L922" s="5"/>
    </row>
    <row r="923" spans="1:12" x14ac:dyDescent="0.25">
      <c r="A923" s="7" t="s">
        <v>25</v>
      </c>
      <c r="B923" s="5"/>
      <c r="C923" s="7" t="s">
        <v>0</v>
      </c>
      <c r="D923" s="5"/>
      <c r="E923" s="5"/>
      <c r="F923" s="5"/>
      <c r="G923" s="7" t="s">
        <v>25</v>
      </c>
      <c r="H923" s="5"/>
      <c r="I923" s="7" t="s">
        <v>0</v>
      </c>
      <c r="J923" s="5"/>
      <c r="K923" s="5"/>
      <c r="L923" s="5"/>
    </row>
    <row r="924" spans="1:12" x14ac:dyDescent="0.25">
      <c r="A924" s="42" t="s">
        <v>367</v>
      </c>
      <c r="B924" s="6"/>
      <c r="C924" s="31">
        <f>L883</f>
        <v>886445</v>
      </c>
      <c r="D924" s="5"/>
      <c r="E924" s="5"/>
      <c r="F924" s="5"/>
      <c r="G924" s="42" t="s">
        <v>373</v>
      </c>
      <c r="H924" s="6"/>
      <c r="I924" s="9"/>
      <c r="J924" s="5"/>
      <c r="K924" s="5"/>
      <c r="L924" s="5"/>
    </row>
    <row r="925" spans="1:12" ht="16.5" thickBot="1" x14ac:dyDescent="0.3">
      <c r="A925" s="7"/>
      <c r="B925" s="62"/>
      <c r="C925" s="62"/>
      <c r="D925" s="62"/>
      <c r="E925" s="5"/>
      <c r="F925" s="5"/>
      <c r="G925" s="10"/>
      <c r="H925" s="5"/>
      <c r="I925" s="5"/>
      <c r="J925" s="5"/>
      <c r="K925" s="5"/>
      <c r="L925" s="5"/>
    </row>
    <row r="926" spans="1:12" ht="15.75" thickBot="1" x14ac:dyDescent="0.3">
      <c r="A926" s="121" t="s">
        <v>9</v>
      </c>
      <c r="B926" s="122"/>
      <c r="C926" s="123"/>
      <c r="D926" s="5"/>
      <c r="E926" s="5"/>
      <c r="F926" s="5"/>
      <c r="G926" s="121" t="s">
        <v>26</v>
      </c>
      <c r="H926" s="122"/>
      <c r="I926" s="123"/>
      <c r="J926" s="5"/>
      <c r="K926" s="5"/>
      <c r="L926" s="5"/>
    </row>
    <row r="927" spans="1:12" x14ac:dyDescent="0.25">
      <c r="A927" s="30" t="s">
        <v>38</v>
      </c>
      <c r="B927" s="11"/>
      <c r="C927" s="11"/>
      <c r="D927" s="11"/>
      <c r="E927" s="6"/>
      <c r="F927" s="5"/>
      <c r="G927" s="30"/>
      <c r="H927" s="11"/>
      <c r="I927" s="11"/>
      <c r="J927" s="11"/>
      <c r="K927" s="11"/>
      <c r="L927" s="6"/>
    </row>
    <row r="928" spans="1:12" ht="15.75" thickBot="1" x14ac:dyDescent="0.3">
      <c r="A928" s="7"/>
      <c r="B928" s="7"/>
      <c r="C928" s="7"/>
      <c r="D928" s="5"/>
      <c r="E928" s="5"/>
      <c r="F928" s="5"/>
      <c r="G928" s="7" t="str">
        <f>A930</f>
        <v>Cape Town</v>
      </c>
      <c r="H928" s="7"/>
      <c r="I928" s="7"/>
      <c r="J928" s="5"/>
      <c r="K928" s="5"/>
      <c r="L928" s="5"/>
    </row>
    <row r="929" spans="1:12" ht="15.75" thickBot="1" x14ac:dyDescent="0.3">
      <c r="A929" s="121"/>
      <c r="B929" s="122"/>
      <c r="C929" s="124"/>
      <c r="D929" s="12" t="s">
        <v>1</v>
      </c>
      <c r="E929" s="32"/>
      <c r="F929" s="5"/>
      <c r="G929" s="121" t="s">
        <v>27</v>
      </c>
      <c r="H929" s="122"/>
      <c r="I929" s="123"/>
      <c r="J929" s="5"/>
      <c r="K929" s="12" t="s">
        <v>1</v>
      </c>
      <c r="L929" s="32">
        <v>890948</v>
      </c>
    </row>
    <row r="930" spans="1:12" x14ac:dyDescent="0.25">
      <c r="A930" s="30" t="s">
        <v>65</v>
      </c>
      <c r="B930" s="11"/>
      <c r="C930" s="11"/>
      <c r="D930" s="11"/>
      <c r="E930" s="6"/>
      <c r="F930" s="5"/>
      <c r="G930" s="30" t="s">
        <v>314</v>
      </c>
      <c r="H930" s="11"/>
      <c r="I930" s="11"/>
      <c r="J930" s="11"/>
      <c r="K930" s="11"/>
      <c r="L930" s="6"/>
    </row>
    <row r="931" spans="1:12" x14ac:dyDescent="0.25">
      <c r="A931" s="76"/>
      <c r="B931" s="11"/>
      <c r="C931" s="11"/>
      <c r="D931" s="11"/>
      <c r="E931" s="6"/>
      <c r="F931" s="5"/>
      <c r="G931" s="34" t="s">
        <v>368</v>
      </c>
      <c r="H931" s="11"/>
      <c r="I931" s="11"/>
      <c r="J931" s="11"/>
      <c r="K931" s="11"/>
      <c r="L931" s="6"/>
    </row>
    <row r="932" spans="1:12" x14ac:dyDescent="0.25">
      <c r="A932" s="13"/>
      <c r="B932" s="11"/>
      <c r="C932" s="11"/>
      <c r="D932" s="11"/>
      <c r="E932" s="6"/>
      <c r="F932" s="5"/>
      <c r="G932" s="13"/>
      <c r="H932" s="11"/>
      <c r="I932" s="11"/>
      <c r="J932" s="11"/>
      <c r="K932" s="11"/>
      <c r="L932" s="6"/>
    </row>
    <row r="933" spans="1:12" x14ac:dyDescent="0.25">
      <c r="A933" s="13"/>
      <c r="B933" s="11"/>
      <c r="C933" s="11"/>
      <c r="D933" s="11"/>
      <c r="E933" s="6"/>
      <c r="F933" s="5"/>
      <c r="G933" s="13"/>
      <c r="H933" s="11"/>
      <c r="I933" s="11"/>
      <c r="J933" s="11"/>
      <c r="K933" s="11"/>
      <c r="L933" s="6"/>
    </row>
    <row r="934" spans="1:12" ht="15.75" thickBot="1" x14ac:dyDescent="0.3">
      <c r="A934" s="13"/>
      <c r="B934" s="11"/>
      <c r="C934" s="11" t="s">
        <v>29</v>
      </c>
      <c r="D934" s="43"/>
      <c r="E934" s="6"/>
      <c r="F934" s="5"/>
      <c r="G934" s="13"/>
      <c r="H934" s="11"/>
      <c r="I934" s="14" t="s">
        <v>28</v>
      </c>
      <c r="J934" s="43"/>
      <c r="K934" s="59"/>
      <c r="L934" s="6"/>
    </row>
    <row r="935" spans="1:12" ht="15.75" thickBot="1" x14ac:dyDescent="0.3">
      <c r="A935" s="15" t="s">
        <v>10</v>
      </c>
      <c r="B935" s="5"/>
      <c r="C935" s="5"/>
      <c r="D935" s="5"/>
      <c r="E935" s="5"/>
      <c r="F935" s="5"/>
      <c r="G935" s="15" t="s">
        <v>14</v>
      </c>
      <c r="H935" s="5"/>
      <c r="I935" s="5"/>
      <c r="J935" s="5"/>
      <c r="K935" s="5"/>
      <c r="L935" s="5"/>
    </row>
    <row r="936" spans="1:12" ht="15.75" thickBot="1" x14ac:dyDescent="0.3">
      <c r="A936" s="121" t="s">
        <v>11</v>
      </c>
      <c r="B936" s="122"/>
      <c r="C936" s="123"/>
      <c r="D936" s="16" t="s">
        <v>12</v>
      </c>
      <c r="E936" s="16" t="s">
        <v>13</v>
      </c>
      <c r="F936" s="5"/>
      <c r="G936" s="121" t="s">
        <v>15</v>
      </c>
      <c r="H936" s="122"/>
      <c r="I936" s="123"/>
      <c r="J936" s="121"/>
      <c r="K936" s="123"/>
      <c r="L936" s="5"/>
    </row>
    <row r="937" spans="1:12" x14ac:dyDescent="0.25">
      <c r="A937" s="45" t="s">
        <v>369</v>
      </c>
      <c r="B937" s="46" t="s">
        <v>66</v>
      </c>
      <c r="C937" s="47"/>
      <c r="D937" s="56">
        <v>321</v>
      </c>
      <c r="E937" s="57">
        <v>6683.2</v>
      </c>
      <c r="F937" s="44">
        <f>E937/D937</f>
        <v>20.819937694704048</v>
      </c>
      <c r="G937" s="125" t="s">
        <v>69</v>
      </c>
      <c r="H937" s="126"/>
      <c r="I937" s="127"/>
      <c r="J937" s="128">
        <v>0</v>
      </c>
      <c r="K937" s="129"/>
      <c r="L937" s="5"/>
    </row>
    <row r="938" spans="1:12" x14ac:dyDescent="0.25">
      <c r="A938" s="94" t="s">
        <v>370</v>
      </c>
      <c r="B938" s="46" t="s">
        <v>66</v>
      </c>
      <c r="C938" s="47"/>
      <c r="D938" s="56">
        <v>782.28</v>
      </c>
      <c r="E938" s="57">
        <v>16287.05</v>
      </c>
      <c r="F938" s="44">
        <f>E938/D938</f>
        <v>20.81997494503247</v>
      </c>
      <c r="G938" s="110" t="s">
        <v>59</v>
      </c>
      <c r="H938" s="111"/>
      <c r="I938" s="112"/>
      <c r="J938" s="113"/>
      <c r="K938" s="114"/>
      <c r="L938" s="5"/>
    </row>
    <row r="939" spans="1:12" x14ac:dyDescent="0.25">
      <c r="A939" s="94" t="s">
        <v>371</v>
      </c>
      <c r="B939" s="46" t="s">
        <v>47</v>
      </c>
      <c r="C939" s="47"/>
      <c r="D939" s="56">
        <f>136.5+240</f>
        <v>376.5</v>
      </c>
      <c r="E939" s="57">
        <v>7610.68</v>
      </c>
      <c r="F939" s="44">
        <f>E939/D939</f>
        <v>20.214289508632138</v>
      </c>
      <c r="G939" s="110" t="s">
        <v>61</v>
      </c>
      <c r="H939" s="111"/>
      <c r="I939" s="112"/>
      <c r="J939" s="113"/>
      <c r="K939" s="114"/>
      <c r="L939" s="5"/>
    </row>
    <row r="940" spans="1:12" x14ac:dyDescent="0.25">
      <c r="A940" s="45" t="s">
        <v>372</v>
      </c>
      <c r="B940" s="46" t="s">
        <v>47</v>
      </c>
      <c r="C940" s="47"/>
      <c r="D940" s="56">
        <f>494.7+90</f>
        <v>584.70000000000005</v>
      </c>
      <c r="E940" s="57">
        <v>11817.9</v>
      </c>
      <c r="F940" s="44">
        <f>E940/D940</f>
        <v>20.211903540277063</v>
      </c>
      <c r="G940" s="110" t="s">
        <v>51</v>
      </c>
      <c r="H940" s="111"/>
      <c r="I940" s="112"/>
      <c r="J940" s="113"/>
      <c r="K940" s="114"/>
      <c r="L940" s="5"/>
    </row>
    <row r="941" spans="1:12" x14ac:dyDescent="0.25">
      <c r="A941" s="48"/>
      <c r="B941" s="46"/>
      <c r="C941" s="39"/>
      <c r="D941" s="52"/>
      <c r="E941" s="53"/>
      <c r="F941" s="44"/>
      <c r="G941" s="110" t="s">
        <v>58</v>
      </c>
      <c r="H941" s="111"/>
      <c r="I941" s="112"/>
      <c r="J941" s="113"/>
      <c r="K941" s="114"/>
      <c r="L941" s="5"/>
    </row>
    <row r="942" spans="1:12" x14ac:dyDescent="0.25">
      <c r="A942" s="48"/>
      <c r="B942" s="35"/>
      <c r="C942" s="39"/>
      <c r="D942" s="52"/>
      <c r="E942" s="53"/>
      <c r="F942" s="44"/>
      <c r="G942" s="110" t="s">
        <v>51</v>
      </c>
      <c r="H942" s="111"/>
      <c r="I942" s="112"/>
      <c r="J942" s="113"/>
      <c r="K942" s="114"/>
      <c r="L942" s="5"/>
    </row>
    <row r="943" spans="1:12" x14ac:dyDescent="0.25">
      <c r="A943" s="48"/>
      <c r="B943" s="35"/>
      <c r="C943" s="39"/>
      <c r="D943" s="52"/>
      <c r="E943" s="53"/>
      <c r="F943" s="44"/>
      <c r="G943" s="77"/>
      <c r="H943" s="78" t="s">
        <v>69</v>
      </c>
      <c r="I943" s="79"/>
      <c r="J943" s="113"/>
      <c r="K943" s="114"/>
      <c r="L943" s="5"/>
    </row>
    <row r="944" spans="1:12" x14ac:dyDescent="0.25">
      <c r="A944" s="38"/>
      <c r="B944" s="35"/>
      <c r="C944" s="39"/>
      <c r="D944" s="52"/>
      <c r="E944" s="53"/>
      <c r="F944" s="44"/>
      <c r="G944" s="77"/>
      <c r="H944" s="78" t="s">
        <v>72</v>
      </c>
      <c r="I944" s="79"/>
      <c r="J944" s="113"/>
      <c r="K944" s="114"/>
      <c r="L944" s="5"/>
    </row>
    <row r="945" spans="1:12" ht="15.75" thickBot="1" x14ac:dyDescent="0.3">
      <c r="A945" s="5"/>
      <c r="B945" s="5"/>
      <c r="C945" s="7" t="s">
        <v>35</v>
      </c>
      <c r="D945" s="17">
        <f>SUM(D937:D944)</f>
        <v>2064.48</v>
      </c>
      <c r="E945" s="17">
        <f>SUM(E937:E944)</f>
        <v>42398.83</v>
      </c>
      <c r="F945" s="89">
        <f>AVERAGE(F937:F941)</f>
        <v>20.51652642216143</v>
      </c>
      <c r="G945" s="110" t="s">
        <v>73</v>
      </c>
      <c r="H945" s="111"/>
      <c r="I945" s="112"/>
      <c r="J945" s="113"/>
      <c r="K945" s="114"/>
      <c r="L945" s="7" t="s">
        <v>36</v>
      </c>
    </row>
    <row r="946" spans="1:12" ht="15.75" thickBot="1" x14ac:dyDescent="0.3">
      <c r="A946" s="5"/>
      <c r="B946" s="5"/>
      <c r="C946" s="5"/>
      <c r="D946" s="5"/>
      <c r="E946" s="5"/>
      <c r="F946" s="5"/>
      <c r="G946" s="130"/>
      <c r="H946" s="131"/>
      <c r="I946" s="132"/>
      <c r="J946" s="133"/>
      <c r="K946" s="134"/>
      <c r="L946" s="18">
        <f>J937+J938+J939+J940+J941+J942+J943+J944+J945</f>
        <v>0</v>
      </c>
    </row>
    <row r="947" spans="1:12" ht="15.75" thickBo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75" thickBot="1" x14ac:dyDescent="0.3">
      <c r="A948" s="19"/>
      <c r="B948" s="20"/>
      <c r="C948" s="20"/>
      <c r="D948" s="20"/>
      <c r="E948" s="21" t="s">
        <v>13</v>
      </c>
      <c r="F948" s="5"/>
      <c r="G948" s="19"/>
      <c r="H948" s="20"/>
      <c r="I948" s="20"/>
      <c r="J948" s="20"/>
      <c r="K948" s="21" t="s">
        <v>13</v>
      </c>
      <c r="L948" s="5"/>
    </row>
    <row r="949" spans="1:12" x14ac:dyDescent="0.25">
      <c r="A949" s="22" t="s">
        <v>31</v>
      </c>
      <c r="B949" s="115">
        <v>17931</v>
      </c>
      <c r="C949" s="116"/>
      <c r="D949" s="116"/>
      <c r="E949" s="117"/>
      <c r="F949" s="5"/>
      <c r="G949" s="22" t="s">
        <v>32</v>
      </c>
      <c r="H949" s="115">
        <f>62823+12564</f>
        <v>75387</v>
      </c>
      <c r="I949" s="116"/>
      <c r="J949" s="116"/>
      <c r="K949" s="117"/>
      <c r="L949" s="5"/>
    </row>
    <row r="950" spans="1:1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x14ac:dyDescent="0.25">
      <c r="A951" s="7" t="s">
        <v>16</v>
      </c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x14ac:dyDescent="0.25">
      <c r="A952" s="9" t="s">
        <v>17</v>
      </c>
      <c r="B952" s="23">
        <f>L929-C924</f>
        <v>4503</v>
      </c>
      <c r="C952" s="5"/>
      <c r="D952" s="106" t="s">
        <v>18</v>
      </c>
      <c r="E952" s="107"/>
      <c r="F952" s="24" t="s">
        <v>19</v>
      </c>
      <c r="G952" s="9" t="s">
        <v>20</v>
      </c>
      <c r="H952" s="118">
        <f>B949+H949</f>
        <v>93318</v>
      </c>
      <c r="I952" s="119"/>
      <c r="J952" s="60"/>
      <c r="K952" s="5"/>
      <c r="L952" s="5"/>
    </row>
    <row r="953" spans="1:12" x14ac:dyDescent="0.25">
      <c r="A953" s="9" t="s">
        <v>41</v>
      </c>
      <c r="B953" s="40">
        <f>B952/D945</f>
        <v>2.1811787956289237</v>
      </c>
      <c r="C953" s="5"/>
      <c r="D953" s="102">
        <f>E945</f>
        <v>42398.83</v>
      </c>
      <c r="E953" s="103"/>
      <c r="F953" s="25">
        <f>H953/B952</f>
        <v>10.326588940706197</v>
      </c>
      <c r="G953" s="9" t="s">
        <v>21</v>
      </c>
      <c r="H953" s="104">
        <f>L946+D953+D955+D957+D959+A956</f>
        <v>46500.630000000005</v>
      </c>
      <c r="I953" s="105"/>
      <c r="J953" s="5"/>
      <c r="K953" s="5"/>
      <c r="L953" s="5"/>
    </row>
    <row r="954" spans="1:12" x14ac:dyDescent="0.25">
      <c r="A954" s="9" t="s">
        <v>43</v>
      </c>
      <c r="B954" s="23">
        <f>D945/B952*100</f>
        <v>45.846768820786146</v>
      </c>
      <c r="C954" s="5"/>
      <c r="D954" s="106" t="s">
        <v>33</v>
      </c>
      <c r="E954" s="107"/>
      <c r="F954" s="5"/>
      <c r="G954" s="13" t="s">
        <v>22</v>
      </c>
      <c r="H954" s="6"/>
      <c r="I954" s="26">
        <f>H952-H953</f>
        <v>46817.369999999995</v>
      </c>
      <c r="J954" s="5"/>
      <c r="K954" s="5"/>
      <c r="L954" s="5"/>
    </row>
    <row r="955" spans="1:12" x14ac:dyDescent="0.25">
      <c r="A955" s="106" t="s">
        <v>40</v>
      </c>
      <c r="B955" s="107"/>
      <c r="C955" s="5"/>
      <c r="D955" s="149">
        <v>1000</v>
      </c>
      <c r="E955" s="150"/>
      <c r="F955" s="5"/>
      <c r="G955" s="5"/>
      <c r="H955" s="5"/>
      <c r="I955" s="5"/>
      <c r="J955" s="5"/>
      <c r="K955" s="5"/>
      <c r="L955" s="5"/>
    </row>
    <row r="956" spans="1:12" x14ac:dyDescent="0.25">
      <c r="A956" s="108">
        <f>B952*0.6</f>
        <v>2701.7999999999997</v>
      </c>
      <c r="B956" s="109"/>
      <c r="C956" s="5"/>
      <c r="D956" s="106" t="s">
        <v>34</v>
      </c>
      <c r="E956" s="107"/>
      <c r="F956" s="5"/>
      <c r="G956" s="145" t="s">
        <v>292</v>
      </c>
      <c r="H956" s="146"/>
      <c r="I956" s="23">
        <f>B952/2.3</f>
        <v>1957.826086956522</v>
      </c>
      <c r="J956" s="60"/>
      <c r="K956" s="5"/>
      <c r="L956" s="5"/>
    </row>
    <row r="957" spans="1:12" x14ac:dyDescent="0.25">
      <c r="A957" s="5"/>
      <c r="B957" s="5"/>
      <c r="C957" s="5"/>
      <c r="D957" s="108">
        <v>400</v>
      </c>
      <c r="E957" s="109"/>
      <c r="F957" s="5"/>
      <c r="G957" s="145" t="s">
        <v>294</v>
      </c>
      <c r="H957" s="146"/>
      <c r="I957" s="23">
        <f>I956-D945</f>
        <v>-106.65391304347804</v>
      </c>
      <c r="J957" s="5"/>
      <c r="K957" s="5"/>
      <c r="L957" s="5"/>
    </row>
    <row r="958" spans="1:12" x14ac:dyDescent="0.25">
      <c r="A958" s="5"/>
      <c r="B958" s="5"/>
      <c r="C958" s="5"/>
      <c r="D958" s="106" t="s">
        <v>37</v>
      </c>
      <c r="E958" s="107"/>
      <c r="F958" s="5"/>
      <c r="G958" s="147" t="s">
        <v>295</v>
      </c>
      <c r="H958" s="148"/>
      <c r="I958" s="86">
        <f>I957*F945</f>
        <v>-2188.1678249834249</v>
      </c>
      <c r="J958" s="87">
        <f>I954-I958</f>
        <v>49005.537824983418</v>
      </c>
      <c r="K958" s="5"/>
      <c r="L958" s="5"/>
    </row>
    <row r="959" spans="1:12" x14ac:dyDescent="0.25">
      <c r="A959" s="5"/>
      <c r="B959" s="5"/>
      <c r="C959" s="5"/>
      <c r="D959" s="108"/>
      <c r="E959" s="109"/>
      <c r="F959" s="5" t="s">
        <v>78</v>
      </c>
      <c r="G959" s="5"/>
      <c r="H959" s="5"/>
      <c r="I959" s="5"/>
      <c r="J959" s="88" t="s">
        <v>293</v>
      </c>
      <c r="K959" s="44"/>
      <c r="L959" s="5"/>
    </row>
    <row r="961" spans="1:12" s="49" customFormat="1" x14ac:dyDescent="0.25"/>
    <row r="964" spans="1:12" x14ac:dyDescent="0.25">
      <c r="A964" s="120" t="s">
        <v>24</v>
      </c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</row>
    <row r="965" spans="1:12" x14ac:dyDescent="0.2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</row>
    <row r="966" spans="1:12" x14ac:dyDescent="0.25">
      <c r="A966" s="1" t="s">
        <v>4</v>
      </c>
      <c r="B966" s="2"/>
      <c r="C966" s="90"/>
      <c r="D966" s="2"/>
      <c r="E966" s="2"/>
      <c r="F966" s="2"/>
      <c r="G966" s="3" t="s">
        <v>5</v>
      </c>
      <c r="H966" s="3" t="s">
        <v>6</v>
      </c>
      <c r="I966" s="4" t="s">
        <v>7</v>
      </c>
      <c r="J966" s="5"/>
      <c r="K966" s="5"/>
      <c r="L966" s="5"/>
    </row>
    <row r="967" spans="1:12" x14ac:dyDescent="0.25">
      <c r="A967" s="91" t="s">
        <v>359</v>
      </c>
      <c r="B967" s="92" t="s">
        <v>42</v>
      </c>
      <c r="C967" s="64"/>
      <c r="D967" s="66"/>
      <c r="E967" s="2"/>
      <c r="F967" s="2"/>
      <c r="G967" s="91" t="s">
        <v>299</v>
      </c>
      <c r="H967" s="66"/>
      <c r="I967" s="33"/>
      <c r="J967" s="6"/>
      <c r="K967" s="33"/>
      <c r="L967" s="6"/>
    </row>
    <row r="968" spans="1:12" x14ac:dyDescent="0.25">
      <c r="A968" s="7" t="s">
        <v>2</v>
      </c>
      <c r="B968" s="5"/>
      <c r="C968" s="5"/>
      <c r="D968" s="5"/>
      <c r="E968" s="5"/>
      <c r="F968" s="5"/>
      <c r="G968" s="8" t="s">
        <v>8</v>
      </c>
      <c r="H968" s="93">
        <v>3</v>
      </c>
      <c r="I968" s="5"/>
      <c r="J968" s="5"/>
      <c r="K968" s="5"/>
      <c r="L968" s="5"/>
    </row>
    <row r="969" spans="1:12" x14ac:dyDescent="0.25">
      <c r="A969" s="7" t="s">
        <v>25</v>
      </c>
      <c r="B969" s="5"/>
      <c r="C969" s="7" t="s">
        <v>0</v>
      </c>
      <c r="D969" s="5"/>
      <c r="E969" s="5"/>
      <c r="F969" s="5"/>
      <c r="G969" s="7" t="s">
        <v>25</v>
      </c>
      <c r="H969" s="5"/>
      <c r="I969" s="7" t="s">
        <v>0</v>
      </c>
      <c r="J969" s="5"/>
      <c r="K969" s="5"/>
      <c r="L969" s="5"/>
    </row>
    <row r="970" spans="1:12" x14ac:dyDescent="0.25">
      <c r="A970" s="42" t="s">
        <v>372</v>
      </c>
      <c r="B970" s="6"/>
      <c r="C970" s="31">
        <f>L929</f>
        <v>890948</v>
      </c>
      <c r="D970" s="5"/>
      <c r="E970" s="5"/>
      <c r="F970" s="5"/>
      <c r="G970" s="42">
        <v>45606</v>
      </c>
      <c r="H970" s="6"/>
      <c r="I970" s="9"/>
      <c r="J970" s="5"/>
      <c r="K970" s="5"/>
      <c r="L970" s="5"/>
    </row>
    <row r="971" spans="1:12" ht="16.5" thickBot="1" x14ac:dyDescent="0.3">
      <c r="A971" s="7"/>
      <c r="B971" s="62"/>
      <c r="C971" s="62"/>
      <c r="D971" s="62"/>
      <c r="E971" s="5"/>
      <c r="F971" s="5"/>
      <c r="G971" s="10"/>
      <c r="H971" s="5"/>
      <c r="I971" s="5"/>
      <c r="J971" s="5"/>
      <c r="K971" s="5"/>
      <c r="L971" s="5"/>
    </row>
    <row r="972" spans="1:12" ht="15.75" thickBot="1" x14ac:dyDescent="0.3">
      <c r="A972" s="121" t="s">
        <v>9</v>
      </c>
      <c r="B972" s="122"/>
      <c r="C972" s="123"/>
      <c r="D972" s="5"/>
      <c r="E972" s="5"/>
      <c r="F972" s="5"/>
      <c r="G972" s="121" t="s">
        <v>26</v>
      </c>
      <c r="H972" s="122"/>
      <c r="I972" s="123"/>
      <c r="J972" s="5"/>
      <c r="K972" s="5"/>
      <c r="L972" s="5"/>
    </row>
    <row r="973" spans="1:12" x14ac:dyDescent="0.25">
      <c r="A973" s="30" t="s">
        <v>38</v>
      </c>
      <c r="B973" s="11"/>
      <c r="C973" s="11"/>
      <c r="D973" s="11"/>
      <c r="E973" s="6"/>
      <c r="F973" s="5"/>
      <c r="G973" s="30"/>
      <c r="H973" s="11"/>
      <c r="I973" s="11"/>
      <c r="J973" s="11"/>
      <c r="K973" s="11"/>
      <c r="L973" s="6"/>
    </row>
    <row r="974" spans="1:12" ht="15.75" thickBot="1" x14ac:dyDescent="0.3">
      <c r="A974" s="7"/>
      <c r="B974" s="7"/>
      <c r="C974" s="7"/>
      <c r="D974" s="5"/>
      <c r="E974" s="5"/>
      <c r="F974" s="5"/>
      <c r="G974" s="7" t="str">
        <f>A976</f>
        <v>Cape Town</v>
      </c>
      <c r="H974" s="7"/>
      <c r="I974" s="7"/>
      <c r="J974" s="5"/>
      <c r="K974" s="5"/>
      <c r="L974" s="5"/>
    </row>
    <row r="975" spans="1:12" ht="15.75" thickBot="1" x14ac:dyDescent="0.3">
      <c r="A975" s="121"/>
      <c r="B975" s="122"/>
      <c r="C975" s="124"/>
      <c r="D975" s="12" t="s">
        <v>1</v>
      </c>
      <c r="E975" s="32"/>
      <c r="F975" s="5"/>
      <c r="G975" s="121" t="s">
        <v>27</v>
      </c>
      <c r="H975" s="122"/>
      <c r="I975" s="123"/>
      <c r="J975" s="5"/>
      <c r="K975" s="12" t="s">
        <v>1</v>
      </c>
      <c r="L975" s="32">
        <v>894013</v>
      </c>
    </row>
    <row r="976" spans="1:12" x14ac:dyDescent="0.25">
      <c r="A976" s="30" t="s">
        <v>65</v>
      </c>
      <c r="B976" s="11"/>
      <c r="C976" s="11"/>
      <c r="D976" s="11"/>
      <c r="E976" s="6"/>
      <c r="F976" s="5"/>
      <c r="G976" s="30" t="s">
        <v>364</v>
      </c>
      <c r="H976" s="11"/>
      <c r="I976" s="11"/>
      <c r="J976" s="11"/>
      <c r="K976" s="11"/>
      <c r="L976" s="6"/>
    </row>
    <row r="977" spans="1:12" x14ac:dyDescent="0.25">
      <c r="A977" s="76"/>
      <c r="B977" s="11"/>
      <c r="C977" s="11"/>
      <c r="D977" s="11"/>
      <c r="E977" s="6"/>
      <c r="F977" s="5"/>
      <c r="G977" s="34"/>
      <c r="H977" s="11"/>
      <c r="I977" s="11"/>
      <c r="J977" s="11"/>
      <c r="K977" s="11"/>
      <c r="L977" s="6"/>
    </row>
    <row r="978" spans="1:12" x14ac:dyDescent="0.25">
      <c r="A978" s="13"/>
      <c r="B978" s="11"/>
      <c r="C978" s="11"/>
      <c r="D978" s="11"/>
      <c r="E978" s="6"/>
      <c r="F978" s="5"/>
      <c r="G978" s="13"/>
      <c r="H978" s="11"/>
      <c r="I978" s="11"/>
      <c r="J978" s="11"/>
      <c r="K978" s="11"/>
      <c r="L978" s="6"/>
    </row>
    <row r="979" spans="1:12" x14ac:dyDescent="0.25">
      <c r="A979" s="13"/>
      <c r="B979" s="11"/>
      <c r="C979" s="11"/>
      <c r="D979" s="11"/>
      <c r="E979" s="6"/>
      <c r="F979" s="5"/>
      <c r="G979" s="13"/>
      <c r="H979" s="11"/>
      <c r="I979" s="11"/>
      <c r="J979" s="11"/>
      <c r="K979" s="11"/>
      <c r="L979" s="6"/>
    </row>
    <row r="980" spans="1:12" ht="15.75" thickBot="1" x14ac:dyDescent="0.3">
      <c r="A980" s="13"/>
      <c r="B980" s="11"/>
      <c r="C980" s="11" t="s">
        <v>29</v>
      </c>
      <c r="D980" s="43"/>
      <c r="E980" s="6"/>
      <c r="F980" s="5"/>
      <c r="G980" s="13"/>
      <c r="H980" s="11"/>
      <c r="I980" s="14" t="s">
        <v>28</v>
      </c>
      <c r="J980" s="43"/>
      <c r="K980" s="59"/>
      <c r="L980" s="6"/>
    </row>
    <row r="981" spans="1:12" ht="15.75" thickBot="1" x14ac:dyDescent="0.3">
      <c r="A981" s="15" t="s">
        <v>10</v>
      </c>
      <c r="B981" s="5"/>
      <c r="C981" s="5"/>
      <c r="D981" s="5"/>
      <c r="E981" s="5"/>
      <c r="F981" s="5"/>
      <c r="G981" s="15" t="s">
        <v>14</v>
      </c>
      <c r="H981" s="5"/>
      <c r="I981" s="5"/>
      <c r="J981" s="5"/>
      <c r="K981" s="5"/>
      <c r="L981" s="5"/>
    </row>
    <row r="982" spans="1:12" ht="15.75" thickBot="1" x14ac:dyDescent="0.3">
      <c r="A982" s="121" t="s">
        <v>11</v>
      </c>
      <c r="B982" s="122"/>
      <c r="C982" s="123"/>
      <c r="D982" s="16" t="s">
        <v>12</v>
      </c>
      <c r="E982" s="16" t="s">
        <v>13</v>
      </c>
      <c r="F982" s="5"/>
      <c r="G982" s="121" t="s">
        <v>15</v>
      </c>
      <c r="H982" s="122"/>
      <c r="I982" s="123"/>
      <c r="J982" s="121"/>
      <c r="K982" s="123"/>
      <c r="L982" s="5"/>
    </row>
    <row r="983" spans="1:12" x14ac:dyDescent="0.25">
      <c r="A983" s="45" t="s">
        <v>374</v>
      </c>
      <c r="B983" s="46" t="s">
        <v>66</v>
      </c>
      <c r="C983" s="47"/>
      <c r="D983" s="56">
        <v>385.14</v>
      </c>
      <c r="E983" s="57">
        <v>8018.6</v>
      </c>
      <c r="F983" s="44">
        <f>E983/D983</f>
        <v>20.819961572415227</v>
      </c>
      <c r="G983" s="125" t="s">
        <v>69</v>
      </c>
      <c r="H983" s="126"/>
      <c r="I983" s="127"/>
      <c r="J983" s="128">
        <v>0</v>
      </c>
      <c r="K983" s="129"/>
      <c r="L983" s="5"/>
    </row>
    <row r="984" spans="1:12" x14ac:dyDescent="0.25">
      <c r="A984" s="94" t="s">
        <v>354</v>
      </c>
      <c r="B984" s="46" t="s">
        <v>305</v>
      </c>
      <c r="C984" s="47"/>
      <c r="D984" s="56">
        <v>200</v>
      </c>
      <c r="E984" s="57">
        <v>4088</v>
      </c>
      <c r="F984" s="44">
        <f>E984/D984</f>
        <v>20.440000000000001</v>
      </c>
      <c r="G984" s="110" t="s">
        <v>59</v>
      </c>
      <c r="H984" s="111"/>
      <c r="I984" s="112"/>
      <c r="J984" s="113"/>
      <c r="K984" s="114"/>
      <c r="L984" s="5"/>
    </row>
    <row r="985" spans="1:12" x14ac:dyDescent="0.25">
      <c r="A985" s="94" t="s">
        <v>354</v>
      </c>
      <c r="B985" s="46" t="s">
        <v>66</v>
      </c>
      <c r="C985" s="47"/>
      <c r="D985" s="56">
        <v>641.28</v>
      </c>
      <c r="E985" s="57">
        <v>13351.45</v>
      </c>
      <c r="F985" s="44">
        <f>E985/D985</f>
        <v>20.820000623752495</v>
      </c>
      <c r="G985" s="110" t="s">
        <v>61</v>
      </c>
      <c r="H985" s="111"/>
      <c r="I985" s="112"/>
      <c r="J985" s="113"/>
      <c r="K985" s="114"/>
      <c r="L985" s="5"/>
    </row>
    <row r="986" spans="1:12" x14ac:dyDescent="0.25">
      <c r="A986" s="94">
        <v>45333</v>
      </c>
      <c r="B986" s="46" t="s">
        <v>47</v>
      </c>
      <c r="C986" s="47"/>
      <c r="D986" s="56">
        <v>393.4</v>
      </c>
      <c r="E986" s="57">
        <v>7952.23</v>
      </c>
      <c r="F986" s="44">
        <f>E986/D986</f>
        <v>20.214107778342655</v>
      </c>
      <c r="G986" s="110" t="s">
        <v>51</v>
      </c>
      <c r="H986" s="111"/>
      <c r="I986" s="112"/>
      <c r="J986" s="113"/>
      <c r="K986" s="114"/>
      <c r="L986" s="5"/>
    </row>
    <row r="987" spans="1:12" x14ac:dyDescent="0.25">
      <c r="A987" s="48"/>
      <c r="B987" s="46"/>
      <c r="C987" s="39"/>
      <c r="D987" s="52"/>
      <c r="E987" s="53"/>
      <c r="F987" s="44"/>
      <c r="G987" s="110" t="s">
        <v>58</v>
      </c>
      <c r="H987" s="111"/>
      <c r="I987" s="112"/>
      <c r="J987" s="113"/>
      <c r="K987" s="114"/>
      <c r="L987" s="5"/>
    </row>
    <row r="988" spans="1:12" x14ac:dyDescent="0.25">
      <c r="A988" s="48"/>
      <c r="B988" s="35"/>
      <c r="C988" s="39"/>
      <c r="D988" s="52"/>
      <c r="E988" s="53"/>
      <c r="F988" s="44"/>
      <c r="G988" s="110" t="s">
        <v>51</v>
      </c>
      <c r="H988" s="111"/>
      <c r="I988" s="112"/>
      <c r="J988" s="113"/>
      <c r="K988" s="114"/>
      <c r="L988" s="5"/>
    </row>
    <row r="989" spans="1:12" x14ac:dyDescent="0.25">
      <c r="A989" s="48"/>
      <c r="B989" s="35"/>
      <c r="C989" s="39"/>
      <c r="D989" s="52"/>
      <c r="E989" s="53"/>
      <c r="F989" s="44"/>
      <c r="G989" s="77"/>
      <c r="H989" s="78" t="s">
        <v>69</v>
      </c>
      <c r="I989" s="79"/>
      <c r="J989" s="113"/>
      <c r="K989" s="114"/>
      <c r="L989" s="5"/>
    </row>
    <row r="990" spans="1:12" x14ac:dyDescent="0.25">
      <c r="A990" s="38"/>
      <c r="B990" s="35"/>
      <c r="C990" s="39"/>
      <c r="D990" s="52"/>
      <c r="E990" s="53"/>
      <c r="F990" s="44"/>
      <c r="G990" s="77"/>
      <c r="H990" s="78" t="s">
        <v>72</v>
      </c>
      <c r="I990" s="79"/>
      <c r="J990" s="113"/>
      <c r="K990" s="114"/>
      <c r="L990" s="5"/>
    </row>
    <row r="991" spans="1:12" ht="15.75" thickBot="1" x14ac:dyDescent="0.3">
      <c r="A991" s="5"/>
      <c r="B991" s="5"/>
      <c r="C991" s="7" t="s">
        <v>35</v>
      </c>
      <c r="D991" s="17">
        <f>SUM(D983:D990)</f>
        <v>1619.8200000000002</v>
      </c>
      <c r="E991" s="17">
        <f>SUM(E983:E990)</f>
        <v>33410.28</v>
      </c>
      <c r="F991" s="89">
        <f>AVERAGE(F983:F987)</f>
        <v>20.573517493627595</v>
      </c>
      <c r="G991" s="110" t="s">
        <v>73</v>
      </c>
      <c r="H991" s="111"/>
      <c r="I991" s="112"/>
      <c r="J991" s="113"/>
      <c r="K991" s="114"/>
      <c r="L991" s="7" t="s">
        <v>36</v>
      </c>
    </row>
    <row r="992" spans="1:12" ht="15.75" thickBot="1" x14ac:dyDescent="0.3">
      <c r="A992" s="5"/>
      <c r="B992" s="5"/>
      <c r="C992" s="5"/>
      <c r="D992" s="5"/>
      <c r="E992" s="5"/>
      <c r="F992" s="5"/>
      <c r="G992" s="130"/>
      <c r="H992" s="131"/>
      <c r="I992" s="132"/>
      <c r="J992" s="133"/>
      <c r="K992" s="134"/>
      <c r="L992" s="18">
        <f>J983+J984+J985+J986+J987+J988+J989+J990+J991</f>
        <v>0</v>
      </c>
    </row>
    <row r="993" spans="1:12" ht="15.75" thickBo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75" thickBot="1" x14ac:dyDescent="0.3">
      <c r="A994" s="19"/>
      <c r="B994" s="20"/>
      <c r="C994" s="20"/>
      <c r="D994" s="20"/>
      <c r="E994" s="21" t="s">
        <v>13</v>
      </c>
      <c r="F994" s="5"/>
      <c r="G994" s="19"/>
      <c r="H994" s="20"/>
      <c r="I994" s="20"/>
      <c r="J994" s="20"/>
      <c r="K994" s="21" t="s">
        <v>13</v>
      </c>
      <c r="L994" s="5"/>
    </row>
    <row r="995" spans="1:12" x14ac:dyDescent="0.25">
      <c r="A995" s="22" t="s">
        <v>31</v>
      </c>
      <c r="B995" s="115">
        <v>17931</v>
      </c>
      <c r="C995" s="116"/>
      <c r="D995" s="116"/>
      <c r="E995" s="117"/>
      <c r="F995" s="5"/>
      <c r="G995" s="22" t="s">
        <v>32</v>
      </c>
      <c r="H995" s="115">
        <v>41306</v>
      </c>
      <c r="I995" s="116"/>
      <c r="J995" s="116"/>
      <c r="K995" s="117"/>
      <c r="L995" s="5"/>
    </row>
    <row r="996" spans="1:1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x14ac:dyDescent="0.25">
      <c r="A997" s="7" t="s">
        <v>16</v>
      </c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x14ac:dyDescent="0.25">
      <c r="A998" s="9" t="s">
        <v>17</v>
      </c>
      <c r="B998" s="23">
        <f>L975-C970</f>
        <v>3065</v>
      </c>
      <c r="C998" s="5"/>
      <c r="D998" s="106" t="s">
        <v>18</v>
      </c>
      <c r="E998" s="107"/>
      <c r="F998" s="24" t="s">
        <v>19</v>
      </c>
      <c r="G998" s="9" t="s">
        <v>20</v>
      </c>
      <c r="H998" s="118">
        <f>B995+H995</f>
        <v>59237</v>
      </c>
      <c r="I998" s="119"/>
      <c r="J998" s="60"/>
      <c r="K998" s="5"/>
      <c r="L998" s="5"/>
    </row>
    <row r="999" spans="1:12" x14ac:dyDescent="0.25">
      <c r="A999" s="9" t="s">
        <v>41</v>
      </c>
      <c r="B999" s="40">
        <f>B998/D991</f>
        <v>1.8921855514810286</v>
      </c>
      <c r="C999" s="5"/>
      <c r="D999" s="102">
        <f>E991</f>
        <v>33410.28</v>
      </c>
      <c r="E999" s="103"/>
      <c r="F999" s="25">
        <f>H999/B998</f>
        <v>11.82684502446982</v>
      </c>
      <c r="G999" s="9" t="s">
        <v>21</v>
      </c>
      <c r="H999" s="104">
        <f>L992+D999+D1001+D1003+D1005+A1002</f>
        <v>36249.279999999999</v>
      </c>
      <c r="I999" s="105"/>
      <c r="J999" s="5"/>
      <c r="K999" s="5"/>
      <c r="L999" s="5"/>
    </row>
    <row r="1000" spans="1:12" x14ac:dyDescent="0.25">
      <c r="A1000" s="9" t="s">
        <v>43</v>
      </c>
      <c r="B1000" s="23">
        <f>D991/B998*100</f>
        <v>52.848939641109304</v>
      </c>
      <c r="C1000" s="5"/>
      <c r="D1000" s="106" t="s">
        <v>33</v>
      </c>
      <c r="E1000" s="107"/>
      <c r="F1000" s="5"/>
      <c r="G1000" s="13" t="s">
        <v>22</v>
      </c>
      <c r="H1000" s="6"/>
      <c r="I1000" s="26">
        <f>H998-H999</f>
        <v>22987.72</v>
      </c>
      <c r="J1000" s="5"/>
      <c r="K1000" s="5"/>
      <c r="L1000" s="5"/>
    </row>
    <row r="1001" spans="1:12" x14ac:dyDescent="0.25">
      <c r="A1001" s="106" t="s">
        <v>40</v>
      </c>
      <c r="B1001" s="107"/>
      <c r="C1001" s="5"/>
      <c r="D1001" s="149">
        <v>1000</v>
      </c>
      <c r="E1001" s="150"/>
      <c r="F1001" s="5"/>
      <c r="G1001" s="5"/>
      <c r="H1001" s="5"/>
      <c r="I1001" s="5"/>
      <c r="J1001" s="5"/>
      <c r="K1001" s="5"/>
      <c r="L1001" s="5"/>
    </row>
    <row r="1002" spans="1:12" x14ac:dyDescent="0.25">
      <c r="A1002" s="108">
        <f>B998*0.6</f>
        <v>1839</v>
      </c>
      <c r="B1002" s="109"/>
      <c r="C1002" s="5"/>
      <c r="D1002" s="106" t="s">
        <v>34</v>
      </c>
      <c r="E1002" s="107"/>
      <c r="F1002" s="5"/>
      <c r="G1002" s="145" t="s">
        <v>292</v>
      </c>
      <c r="H1002" s="146"/>
      <c r="I1002" s="23">
        <f>B998/2.3</f>
        <v>1332.608695652174</v>
      </c>
      <c r="J1002" s="60"/>
      <c r="K1002" s="5"/>
      <c r="L1002" s="5"/>
    </row>
    <row r="1003" spans="1:12" x14ac:dyDescent="0.25">
      <c r="A1003" s="5"/>
      <c r="B1003" s="5"/>
      <c r="C1003" s="5"/>
      <c r="D1003" s="108">
        <v>0</v>
      </c>
      <c r="E1003" s="109"/>
      <c r="F1003" s="5"/>
      <c r="G1003" s="145" t="s">
        <v>294</v>
      </c>
      <c r="H1003" s="146"/>
      <c r="I1003" s="23">
        <f>I1002-D991</f>
        <v>-287.21130434782617</v>
      </c>
      <c r="J1003" s="5"/>
      <c r="K1003" s="5"/>
      <c r="L1003" s="5"/>
    </row>
    <row r="1004" spans="1:12" x14ac:dyDescent="0.25">
      <c r="A1004" s="5"/>
      <c r="B1004" s="5"/>
      <c r="C1004" s="5"/>
      <c r="D1004" s="106" t="s">
        <v>37</v>
      </c>
      <c r="E1004" s="107"/>
      <c r="F1004" s="5"/>
      <c r="G1004" s="147" t="s">
        <v>295</v>
      </c>
      <c r="H1004" s="148"/>
      <c r="I1004" s="86">
        <f>I1003*F991</f>
        <v>-5908.9467943676009</v>
      </c>
      <c r="J1004" s="87">
        <f>I1000-I1004</f>
        <v>28896.6667943676</v>
      </c>
      <c r="K1004" s="5"/>
      <c r="L1004" s="5"/>
    </row>
    <row r="1005" spans="1:12" x14ac:dyDescent="0.25">
      <c r="A1005" s="5"/>
      <c r="B1005" s="5"/>
      <c r="C1005" s="5"/>
      <c r="D1005" s="108"/>
      <c r="E1005" s="109"/>
      <c r="F1005" s="5" t="s">
        <v>78</v>
      </c>
      <c r="G1005" s="5"/>
      <c r="H1005" s="5"/>
      <c r="I1005" s="5"/>
      <c r="J1005" s="88" t="s">
        <v>293</v>
      </c>
      <c r="K1005" s="44"/>
      <c r="L1005" s="5"/>
    </row>
    <row r="1007" spans="1:12" s="49" customFormat="1" x14ac:dyDescent="0.25"/>
    <row r="1010" spans="1:12" x14ac:dyDescent="0.25">
      <c r="A1010" s="120" t="s">
        <v>24</v>
      </c>
      <c r="B1010" s="120"/>
      <c r="C1010" s="120"/>
      <c r="D1010" s="120"/>
      <c r="E1010" s="120"/>
      <c r="F1010" s="120"/>
      <c r="G1010" s="120"/>
      <c r="H1010" s="120"/>
      <c r="I1010" s="120"/>
      <c r="J1010" s="120"/>
      <c r="K1010" s="120"/>
      <c r="L1010" s="120"/>
    </row>
    <row r="1011" spans="1:12" x14ac:dyDescent="0.25">
      <c r="A1011" s="120"/>
      <c r="B1011" s="120"/>
      <c r="C1011" s="120"/>
      <c r="D1011" s="120"/>
      <c r="E1011" s="120"/>
      <c r="F1011" s="120"/>
      <c r="G1011" s="120"/>
      <c r="H1011" s="120"/>
      <c r="I1011" s="120"/>
      <c r="J1011" s="120"/>
      <c r="K1011" s="120"/>
      <c r="L1011" s="120"/>
    </row>
    <row r="1012" spans="1:12" x14ac:dyDescent="0.25">
      <c r="A1012" s="1" t="s">
        <v>4</v>
      </c>
      <c r="B1012" s="2"/>
      <c r="C1012" s="90"/>
      <c r="D1012" s="2"/>
      <c r="E1012" s="2"/>
      <c r="F1012" s="2"/>
      <c r="G1012" s="3" t="s">
        <v>5</v>
      </c>
      <c r="H1012" s="3" t="s">
        <v>6</v>
      </c>
      <c r="I1012" s="4" t="s">
        <v>7</v>
      </c>
      <c r="J1012" s="5"/>
      <c r="K1012" s="5"/>
      <c r="L1012" s="5"/>
    </row>
    <row r="1013" spans="1:12" x14ac:dyDescent="0.25">
      <c r="A1013" s="91" t="s">
        <v>359</v>
      </c>
      <c r="B1013" s="92" t="s">
        <v>42</v>
      </c>
      <c r="C1013" s="64"/>
      <c r="D1013" s="66"/>
      <c r="E1013" s="2"/>
      <c r="F1013" s="2"/>
      <c r="G1013" s="91" t="s">
        <v>299</v>
      </c>
      <c r="H1013" s="66"/>
      <c r="I1013" s="33"/>
      <c r="J1013" s="6"/>
      <c r="K1013" s="33"/>
      <c r="L1013" s="6"/>
    </row>
    <row r="1014" spans="1:12" x14ac:dyDescent="0.25">
      <c r="A1014" s="7" t="s">
        <v>2</v>
      </c>
      <c r="B1014" s="5"/>
      <c r="C1014" s="5"/>
      <c r="D1014" s="5"/>
      <c r="E1014" s="5"/>
      <c r="F1014" s="5"/>
      <c r="G1014" s="8" t="s">
        <v>8</v>
      </c>
      <c r="H1014" s="93">
        <v>3</v>
      </c>
      <c r="I1014" s="5"/>
      <c r="J1014" s="5"/>
      <c r="K1014" s="5"/>
      <c r="L1014" s="5"/>
    </row>
    <row r="1015" spans="1:12" x14ac:dyDescent="0.25">
      <c r="A1015" s="7" t="s">
        <v>25</v>
      </c>
      <c r="B1015" s="5"/>
      <c r="C1015" s="7" t="s">
        <v>0</v>
      </c>
      <c r="D1015" s="5"/>
      <c r="E1015" s="5"/>
      <c r="F1015" s="5"/>
      <c r="G1015" s="7" t="s">
        <v>25</v>
      </c>
      <c r="H1015" s="5"/>
      <c r="I1015" s="7" t="s">
        <v>0</v>
      </c>
      <c r="J1015" s="5"/>
      <c r="K1015" s="5"/>
      <c r="L1015" s="5"/>
    </row>
    <row r="1016" spans="1:12" x14ac:dyDescent="0.25">
      <c r="A1016" s="42">
        <v>45302</v>
      </c>
      <c r="B1016" s="6"/>
      <c r="C1016" s="31">
        <f>L975</f>
        <v>894013</v>
      </c>
      <c r="D1016" s="5"/>
      <c r="E1016" s="5"/>
      <c r="F1016" s="5"/>
      <c r="G1016" s="42">
        <v>45393</v>
      </c>
      <c r="H1016" s="6"/>
      <c r="I1016" s="9"/>
      <c r="J1016" s="5"/>
      <c r="K1016" s="5"/>
      <c r="L1016" s="5"/>
    </row>
    <row r="1017" spans="1:12" ht="16.5" thickBot="1" x14ac:dyDescent="0.3">
      <c r="A1017" s="7"/>
      <c r="B1017" s="62"/>
      <c r="C1017" s="62"/>
      <c r="D1017" s="62"/>
      <c r="E1017" s="5"/>
      <c r="F1017" s="5"/>
      <c r="G1017" s="10"/>
      <c r="H1017" s="5"/>
      <c r="I1017" s="5"/>
      <c r="J1017" s="5"/>
      <c r="K1017" s="5"/>
      <c r="L1017" s="5"/>
    </row>
    <row r="1018" spans="1:12" ht="15.75" thickBot="1" x14ac:dyDescent="0.3">
      <c r="A1018" s="121" t="s">
        <v>9</v>
      </c>
      <c r="B1018" s="122"/>
      <c r="C1018" s="123"/>
      <c r="D1018" s="5"/>
      <c r="E1018" s="5"/>
      <c r="F1018" s="5"/>
      <c r="G1018" s="121" t="s">
        <v>26</v>
      </c>
      <c r="H1018" s="122"/>
      <c r="I1018" s="123"/>
      <c r="J1018" s="5"/>
      <c r="K1018" s="5"/>
      <c r="L1018" s="5"/>
    </row>
    <row r="1019" spans="1:12" x14ac:dyDescent="0.25">
      <c r="A1019" s="30" t="s">
        <v>38</v>
      </c>
      <c r="B1019" s="11"/>
      <c r="C1019" s="11"/>
      <c r="D1019" s="11"/>
      <c r="E1019" s="6"/>
      <c r="F1019" s="5"/>
      <c r="G1019" s="30"/>
      <c r="H1019" s="11"/>
      <c r="I1019" s="11"/>
      <c r="J1019" s="11"/>
      <c r="K1019" s="11"/>
      <c r="L1019" s="6"/>
    </row>
    <row r="1020" spans="1:12" ht="15.75" thickBot="1" x14ac:dyDescent="0.3">
      <c r="A1020" s="7"/>
      <c r="B1020" s="7"/>
      <c r="C1020" s="7"/>
      <c r="D1020" s="5"/>
      <c r="E1020" s="5"/>
      <c r="F1020" s="5"/>
      <c r="G1020" s="7" t="str">
        <f>A1022</f>
        <v>Cape Town</v>
      </c>
      <c r="H1020" s="7"/>
      <c r="I1020" s="7"/>
      <c r="J1020" s="5"/>
      <c r="K1020" s="5"/>
      <c r="L1020" s="5"/>
    </row>
    <row r="1021" spans="1:12" ht="15.75" thickBot="1" x14ac:dyDescent="0.3">
      <c r="A1021" s="121"/>
      <c r="B1021" s="122"/>
      <c r="C1021" s="124"/>
      <c r="D1021" s="12" t="s">
        <v>1</v>
      </c>
      <c r="E1021" s="32"/>
      <c r="F1021" s="5"/>
      <c r="G1021" s="121" t="s">
        <v>27</v>
      </c>
      <c r="H1021" s="122"/>
      <c r="I1021" s="123"/>
      <c r="J1021" s="5"/>
      <c r="K1021" s="12" t="s">
        <v>1</v>
      </c>
      <c r="L1021" s="32">
        <v>897070</v>
      </c>
    </row>
    <row r="1022" spans="1:12" x14ac:dyDescent="0.25">
      <c r="A1022" s="30" t="s">
        <v>65</v>
      </c>
      <c r="B1022" s="11"/>
      <c r="C1022" s="11"/>
      <c r="D1022" s="11"/>
      <c r="E1022" s="6"/>
      <c r="F1022" s="5"/>
      <c r="G1022" s="30" t="s">
        <v>364</v>
      </c>
      <c r="H1022" s="11"/>
      <c r="I1022" s="11"/>
      <c r="J1022" s="11"/>
      <c r="K1022" s="11"/>
      <c r="L1022" s="6"/>
    </row>
    <row r="1023" spans="1:12" x14ac:dyDescent="0.25">
      <c r="A1023" s="76"/>
      <c r="B1023" s="11"/>
      <c r="C1023" s="11"/>
      <c r="D1023" s="11"/>
      <c r="E1023" s="6"/>
      <c r="F1023" s="5"/>
      <c r="G1023" s="34"/>
      <c r="H1023" s="11"/>
      <c r="I1023" s="11"/>
      <c r="J1023" s="11"/>
      <c r="K1023" s="11"/>
      <c r="L1023" s="6"/>
    </row>
    <row r="1024" spans="1:12" x14ac:dyDescent="0.25">
      <c r="A1024" s="13"/>
      <c r="B1024" s="11"/>
      <c r="C1024" s="11"/>
      <c r="D1024" s="11"/>
      <c r="E1024" s="6"/>
      <c r="F1024" s="5"/>
      <c r="G1024" s="13"/>
      <c r="H1024" s="11"/>
      <c r="I1024" s="11"/>
      <c r="J1024" s="11"/>
      <c r="K1024" s="11"/>
      <c r="L1024" s="6"/>
    </row>
    <row r="1025" spans="1:12" x14ac:dyDescent="0.25">
      <c r="A1025" s="13"/>
      <c r="B1025" s="11"/>
      <c r="C1025" s="11"/>
      <c r="D1025" s="11"/>
      <c r="E1025" s="6"/>
      <c r="F1025" s="5"/>
      <c r="G1025" s="13"/>
      <c r="H1025" s="11"/>
      <c r="I1025" s="11"/>
      <c r="J1025" s="11"/>
      <c r="K1025" s="11"/>
      <c r="L1025" s="6"/>
    </row>
    <row r="1026" spans="1:12" ht="15.75" thickBot="1" x14ac:dyDescent="0.3">
      <c r="A1026" s="13"/>
      <c r="B1026" s="11"/>
      <c r="C1026" s="11" t="s">
        <v>29</v>
      </c>
      <c r="D1026" s="43"/>
      <c r="E1026" s="6"/>
      <c r="F1026" s="5"/>
      <c r="G1026" s="13"/>
      <c r="H1026" s="11"/>
      <c r="I1026" s="14" t="s">
        <v>28</v>
      </c>
      <c r="J1026" s="43"/>
      <c r="K1026" s="59"/>
      <c r="L1026" s="6"/>
    </row>
    <row r="1027" spans="1:12" ht="15.75" thickBot="1" x14ac:dyDescent="0.3">
      <c r="A1027" s="15" t="s">
        <v>10</v>
      </c>
      <c r="B1027" s="5"/>
      <c r="C1027" s="5"/>
      <c r="D1027" s="5"/>
      <c r="E1027" s="5"/>
      <c r="F1027" s="5"/>
      <c r="G1027" s="15" t="s">
        <v>14</v>
      </c>
      <c r="H1027" s="5"/>
      <c r="I1027" s="5"/>
      <c r="J1027" s="5"/>
      <c r="K1027" s="5"/>
      <c r="L1027" s="5"/>
    </row>
    <row r="1028" spans="1:12" ht="15.75" thickBot="1" x14ac:dyDescent="0.3">
      <c r="A1028" s="121" t="s">
        <v>11</v>
      </c>
      <c r="B1028" s="122"/>
      <c r="C1028" s="123"/>
      <c r="D1028" s="16" t="s">
        <v>12</v>
      </c>
      <c r="E1028" s="16" t="s">
        <v>13</v>
      </c>
      <c r="F1028" s="5"/>
      <c r="G1028" s="121" t="s">
        <v>15</v>
      </c>
      <c r="H1028" s="122"/>
      <c r="I1028" s="123"/>
      <c r="J1028" s="121"/>
      <c r="K1028" s="123"/>
      <c r="L1028" s="5"/>
    </row>
    <row r="1029" spans="1:12" x14ac:dyDescent="0.25">
      <c r="A1029" s="45">
        <v>45362</v>
      </c>
      <c r="B1029" s="46" t="s">
        <v>66</v>
      </c>
      <c r="C1029" s="47"/>
      <c r="D1029" s="56">
        <v>254.44</v>
      </c>
      <c r="E1029" s="57">
        <v>5297.45</v>
      </c>
      <c r="F1029" s="44">
        <f>E1029/D1029</f>
        <v>20.820036157836817</v>
      </c>
      <c r="G1029" s="125" t="s">
        <v>69</v>
      </c>
      <c r="H1029" s="126"/>
      <c r="I1029" s="127"/>
      <c r="J1029" s="128">
        <v>0</v>
      </c>
      <c r="K1029" s="129"/>
      <c r="L1029" s="5"/>
    </row>
    <row r="1030" spans="1:12" x14ac:dyDescent="0.25">
      <c r="A1030" s="94">
        <v>45423</v>
      </c>
      <c r="B1030" s="46" t="s">
        <v>66</v>
      </c>
      <c r="C1030" s="47"/>
      <c r="D1030" s="56">
        <f>432.31+280</f>
        <v>712.31</v>
      </c>
      <c r="E1030" s="57">
        <f>9000.7+5829.6</f>
        <v>14830.300000000001</v>
      </c>
      <c r="F1030" s="44">
        <f>E1030/D1030</f>
        <v>20.820008142522219</v>
      </c>
      <c r="G1030" s="110" t="s">
        <v>59</v>
      </c>
      <c r="H1030" s="111"/>
      <c r="I1030" s="112"/>
      <c r="J1030" s="113"/>
      <c r="K1030" s="114"/>
      <c r="L1030" s="5"/>
    </row>
    <row r="1031" spans="1:12" x14ac:dyDescent="0.25">
      <c r="A1031" s="94">
        <v>45484</v>
      </c>
      <c r="B1031" s="46" t="s">
        <v>47</v>
      </c>
      <c r="C1031" s="47"/>
      <c r="D1031" s="56">
        <v>451.34500000000003</v>
      </c>
      <c r="E1031" s="57">
        <v>9121.58</v>
      </c>
      <c r="F1031" s="44">
        <f>E1031/D1031</f>
        <v>20.209773011775912</v>
      </c>
      <c r="G1031" s="110" t="s">
        <v>61</v>
      </c>
      <c r="H1031" s="111"/>
      <c r="I1031" s="112"/>
      <c r="J1031" s="113"/>
      <c r="K1031" s="114"/>
      <c r="L1031" s="5"/>
    </row>
    <row r="1032" spans="1:12" x14ac:dyDescent="0.25">
      <c r="A1032" s="94"/>
      <c r="B1032" s="46"/>
      <c r="C1032" s="47"/>
      <c r="D1032" s="56"/>
      <c r="E1032" s="57"/>
      <c r="F1032" s="44"/>
      <c r="G1032" s="110" t="s">
        <v>51</v>
      </c>
      <c r="H1032" s="111"/>
      <c r="I1032" s="112"/>
      <c r="J1032" s="113"/>
      <c r="K1032" s="114"/>
      <c r="L1032" s="5"/>
    </row>
    <row r="1033" spans="1:12" x14ac:dyDescent="0.25">
      <c r="A1033" s="48"/>
      <c r="B1033" s="46"/>
      <c r="C1033" s="39"/>
      <c r="D1033" s="52"/>
      <c r="E1033" s="53"/>
      <c r="F1033" s="44"/>
      <c r="G1033" s="110" t="s">
        <v>58</v>
      </c>
      <c r="H1033" s="111"/>
      <c r="I1033" s="112"/>
      <c r="J1033" s="113"/>
      <c r="K1033" s="114"/>
      <c r="L1033" s="5"/>
    </row>
    <row r="1034" spans="1:12" x14ac:dyDescent="0.25">
      <c r="A1034" s="48"/>
      <c r="B1034" s="35"/>
      <c r="C1034" s="39"/>
      <c r="D1034" s="52"/>
      <c r="E1034" s="53"/>
      <c r="F1034" s="44"/>
      <c r="G1034" s="110" t="s">
        <v>51</v>
      </c>
      <c r="H1034" s="111"/>
      <c r="I1034" s="112"/>
      <c r="J1034" s="113"/>
      <c r="K1034" s="114"/>
      <c r="L1034" s="5"/>
    </row>
    <row r="1035" spans="1:12" x14ac:dyDescent="0.25">
      <c r="A1035" s="48"/>
      <c r="B1035" s="35"/>
      <c r="C1035" s="39"/>
      <c r="D1035" s="52"/>
      <c r="E1035" s="53"/>
      <c r="F1035" s="44"/>
      <c r="G1035" s="77"/>
      <c r="H1035" s="78" t="s">
        <v>69</v>
      </c>
      <c r="I1035" s="79"/>
      <c r="J1035" s="113"/>
      <c r="K1035" s="114"/>
      <c r="L1035" s="5"/>
    </row>
    <row r="1036" spans="1:12" x14ac:dyDescent="0.25">
      <c r="A1036" s="38"/>
      <c r="B1036" s="35"/>
      <c r="C1036" s="39"/>
      <c r="D1036" s="52"/>
      <c r="E1036" s="53"/>
      <c r="F1036" s="44"/>
      <c r="G1036" s="77"/>
      <c r="H1036" s="78" t="s">
        <v>72</v>
      </c>
      <c r="I1036" s="79"/>
      <c r="J1036" s="113"/>
      <c r="K1036" s="114"/>
      <c r="L1036" s="5"/>
    </row>
    <row r="1037" spans="1:12" ht="15.75" thickBot="1" x14ac:dyDescent="0.3">
      <c r="A1037" s="5"/>
      <c r="B1037" s="5"/>
      <c r="C1037" s="7" t="s">
        <v>35</v>
      </c>
      <c r="D1037" s="17">
        <f>SUM(D1029:D1036)</f>
        <v>1418.095</v>
      </c>
      <c r="E1037" s="17">
        <f>SUM(E1029:E1036)</f>
        <v>29249.33</v>
      </c>
      <c r="F1037" s="89">
        <f>AVERAGE(F1029:F1033)</f>
        <v>20.616605770711647</v>
      </c>
      <c r="G1037" s="110" t="s">
        <v>73</v>
      </c>
      <c r="H1037" s="111"/>
      <c r="I1037" s="112"/>
      <c r="J1037" s="113"/>
      <c r="K1037" s="114"/>
      <c r="L1037" s="7" t="s">
        <v>36</v>
      </c>
    </row>
    <row r="1038" spans="1:12" ht="15.75" thickBot="1" x14ac:dyDescent="0.3">
      <c r="A1038" s="5"/>
      <c r="B1038" s="5"/>
      <c r="C1038" s="5"/>
      <c r="D1038" s="5"/>
      <c r="E1038" s="5"/>
      <c r="F1038" s="5"/>
      <c r="G1038" s="130"/>
      <c r="H1038" s="131"/>
      <c r="I1038" s="132"/>
      <c r="J1038" s="133"/>
      <c r="K1038" s="134"/>
      <c r="L1038" s="18">
        <f>J1029+J1030+J1031+J1032+J1033+J1034+J1035+J1036+J1037</f>
        <v>0</v>
      </c>
    </row>
    <row r="1039" spans="1:12" ht="15.75" thickBot="1" x14ac:dyDescent="0.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</row>
    <row r="1040" spans="1:12" ht="15.75" thickBot="1" x14ac:dyDescent="0.3">
      <c r="A1040" s="19"/>
      <c r="B1040" s="20"/>
      <c r="C1040" s="20"/>
      <c r="D1040" s="20"/>
      <c r="E1040" s="21" t="s">
        <v>13</v>
      </c>
      <c r="F1040" s="5"/>
      <c r="G1040" s="19"/>
      <c r="H1040" s="20"/>
      <c r="I1040" s="20"/>
      <c r="J1040" s="20"/>
      <c r="K1040" s="21" t="s">
        <v>13</v>
      </c>
      <c r="L1040" s="5"/>
    </row>
    <row r="1041" spans="1:12" x14ac:dyDescent="0.25">
      <c r="A1041" s="22" t="s">
        <v>31</v>
      </c>
      <c r="B1041" s="115">
        <v>17931</v>
      </c>
      <c r="C1041" s="116"/>
      <c r="D1041" s="116"/>
      <c r="E1041" s="117"/>
      <c r="F1041" s="5"/>
      <c r="G1041" s="22" t="s">
        <v>32</v>
      </c>
      <c r="H1041" s="115">
        <v>41306</v>
      </c>
      <c r="I1041" s="116"/>
      <c r="J1041" s="116"/>
      <c r="K1041" s="117"/>
      <c r="L1041" s="5"/>
    </row>
    <row r="1042" spans="1:12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</row>
    <row r="1043" spans="1:12" x14ac:dyDescent="0.25">
      <c r="A1043" s="7" t="s">
        <v>16</v>
      </c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</row>
    <row r="1044" spans="1:12" x14ac:dyDescent="0.25">
      <c r="A1044" s="9" t="s">
        <v>17</v>
      </c>
      <c r="B1044" s="23">
        <f>L1021-C1016</f>
        <v>3057</v>
      </c>
      <c r="C1044" s="5"/>
      <c r="D1044" s="106" t="s">
        <v>18</v>
      </c>
      <c r="E1044" s="107"/>
      <c r="F1044" s="24" t="s">
        <v>19</v>
      </c>
      <c r="G1044" s="9" t="s">
        <v>20</v>
      </c>
      <c r="H1044" s="118">
        <f>B1041+H1041</f>
        <v>59237</v>
      </c>
      <c r="I1044" s="119"/>
      <c r="J1044" s="60"/>
      <c r="K1044" s="5"/>
      <c r="L1044" s="5"/>
    </row>
    <row r="1045" spans="1:12" x14ac:dyDescent="0.25">
      <c r="A1045" s="9" t="s">
        <v>41</v>
      </c>
      <c r="B1045" s="40">
        <f>B1044/D1037</f>
        <v>2.1557088911532727</v>
      </c>
      <c r="C1045" s="5"/>
      <c r="D1045" s="102">
        <f>E1037</f>
        <v>29249.33</v>
      </c>
      <c r="E1045" s="103"/>
      <c r="F1045" s="25">
        <f>H1045/B1044</f>
        <v>10.495103042198235</v>
      </c>
      <c r="G1045" s="9" t="s">
        <v>21</v>
      </c>
      <c r="H1045" s="104">
        <f>L1038+D1045+D1047+D1049+D1051+A1048</f>
        <v>32083.530000000002</v>
      </c>
      <c r="I1045" s="105"/>
      <c r="J1045" s="5"/>
      <c r="K1045" s="5"/>
      <c r="L1045" s="5"/>
    </row>
    <row r="1046" spans="1:12" x14ac:dyDescent="0.25">
      <c r="A1046" s="9" t="s">
        <v>43</v>
      </c>
      <c r="B1046" s="23">
        <f>D1037/B1044*100</f>
        <v>46.388452731436047</v>
      </c>
      <c r="C1046" s="5"/>
      <c r="D1046" s="106" t="s">
        <v>33</v>
      </c>
      <c r="E1046" s="107"/>
      <c r="F1046" s="5"/>
      <c r="G1046" s="13" t="s">
        <v>22</v>
      </c>
      <c r="H1046" s="6"/>
      <c r="I1046" s="26">
        <f>H1044-H1045</f>
        <v>27153.469999999998</v>
      </c>
      <c r="J1046" s="5"/>
      <c r="K1046" s="5"/>
      <c r="L1046" s="5"/>
    </row>
    <row r="1047" spans="1:12" x14ac:dyDescent="0.25">
      <c r="A1047" s="106" t="s">
        <v>40</v>
      </c>
      <c r="B1047" s="107"/>
      <c r="C1047" s="5"/>
      <c r="D1047" s="149">
        <v>1000</v>
      </c>
      <c r="E1047" s="150"/>
      <c r="F1047" s="5"/>
      <c r="G1047" s="5"/>
      <c r="H1047" s="5"/>
      <c r="I1047" s="5"/>
      <c r="J1047" s="5"/>
      <c r="K1047" s="5"/>
      <c r="L1047" s="5"/>
    </row>
    <row r="1048" spans="1:12" x14ac:dyDescent="0.25">
      <c r="A1048" s="108">
        <f>B1044*0.6</f>
        <v>1834.2</v>
      </c>
      <c r="B1048" s="109"/>
      <c r="C1048" s="5"/>
      <c r="D1048" s="106" t="s">
        <v>34</v>
      </c>
      <c r="E1048" s="107"/>
      <c r="F1048" s="5"/>
      <c r="G1048" s="145" t="s">
        <v>292</v>
      </c>
      <c r="H1048" s="146"/>
      <c r="I1048" s="23">
        <f>B1044/2.3</f>
        <v>1329.1304347826087</v>
      </c>
      <c r="J1048" s="60"/>
      <c r="K1048" s="5"/>
      <c r="L1048" s="5"/>
    </row>
    <row r="1049" spans="1:12" x14ac:dyDescent="0.25">
      <c r="A1049" s="5"/>
      <c r="B1049" s="5"/>
      <c r="C1049" s="5"/>
      <c r="D1049" s="108">
        <v>0</v>
      </c>
      <c r="E1049" s="109"/>
      <c r="F1049" s="5"/>
      <c r="G1049" s="145" t="s">
        <v>294</v>
      </c>
      <c r="H1049" s="146"/>
      <c r="I1049" s="23">
        <f>I1048-D1037</f>
        <v>-88.964565217391282</v>
      </c>
      <c r="J1049" s="5"/>
      <c r="K1049" s="5"/>
      <c r="L1049" s="5"/>
    </row>
    <row r="1050" spans="1:12" x14ac:dyDescent="0.25">
      <c r="A1050" s="5"/>
      <c r="B1050" s="5"/>
      <c r="C1050" s="5"/>
      <c r="D1050" s="106" t="s">
        <v>37</v>
      </c>
      <c r="E1050" s="107"/>
      <c r="F1050" s="5"/>
      <c r="G1050" s="147" t="s">
        <v>295</v>
      </c>
      <c r="H1050" s="148"/>
      <c r="I1050" s="86">
        <f>I1049*F1037</f>
        <v>-1834.1473686497218</v>
      </c>
      <c r="J1050" s="87">
        <f>I1046-I1050</f>
        <v>28987.61736864972</v>
      </c>
      <c r="K1050" s="5"/>
      <c r="L1050" s="5"/>
    </row>
    <row r="1051" spans="1:12" x14ac:dyDescent="0.25">
      <c r="A1051" s="5"/>
      <c r="B1051" s="5"/>
      <c r="C1051" s="5"/>
      <c r="D1051" s="108"/>
      <c r="E1051" s="109"/>
      <c r="F1051" s="5" t="s">
        <v>78</v>
      </c>
      <c r="G1051" s="5"/>
      <c r="H1051" s="5"/>
      <c r="I1051" s="5"/>
      <c r="J1051" s="88" t="s">
        <v>293</v>
      </c>
      <c r="K1051" s="44"/>
      <c r="L1051" s="5"/>
    </row>
    <row r="1053" spans="1:12" s="49" customFormat="1" x14ac:dyDescent="0.25"/>
    <row r="1056" spans="1:12" x14ac:dyDescent="0.25">
      <c r="A1056" s="120" t="s">
        <v>24</v>
      </c>
      <c r="B1056" s="120"/>
      <c r="C1056" s="120"/>
      <c r="D1056" s="120"/>
      <c r="E1056" s="120"/>
      <c r="F1056" s="120"/>
      <c r="G1056" s="120"/>
      <c r="H1056" s="120"/>
      <c r="I1056" s="120"/>
      <c r="J1056" s="120"/>
      <c r="K1056" s="120"/>
      <c r="L1056" s="120"/>
    </row>
    <row r="1057" spans="1:12" x14ac:dyDescent="0.25">
      <c r="A1057" s="120"/>
      <c r="B1057" s="120"/>
      <c r="C1057" s="120"/>
      <c r="D1057" s="120"/>
      <c r="E1057" s="120"/>
      <c r="F1057" s="120"/>
      <c r="G1057" s="120"/>
      <c r="H1057" s="120"/>
      <c r="I1057" s="120"/>
      <c r="J1057" s="120"/>
      <c r="K1057" s="120"/>
      <c r="L1057" s="120"/>
    </row>
    <row r="1058" spans="1:12" x14ac:dyDescent="0.25">
      <c r="A1058" s="1" t="s">
        <v>4</v>
      </c>
      <c r="B1058" s="2"/>
      <c r="C1058" s="90"/>
      <c r="D1058" s="2"/>
      <c r="E1058" s="2"/>
      <c r="F1058" s="2"/>
      <c r="G1058" s="3" t="s">
        <v>5</v>
      </c>
      <c r="H1058" s="3" t="s">
        <v>6</v>
      </c>
      <c r="I1058" s="4" t="s">
        <v>7</v>
      </c>
      <c r="J1058" s="5"/>
      <c r="K1058" s="5"/>
      <c r="L1058" s="5"/>
    </row>
    <row r="1059" spans="1:12" x14ac:dyDescent="0.25">
      <c r="A1059" s="91" t="s">
        <v>359</v>
      </c>
      <c r="B1059" s="92" t="s">
        <v>42</v>
      </c>
      <c r="C1059" s="64"/>
      <c r="D1059" s="66"/>
      <c r="E1059" s="2"/>
      <c r="F1059" s="2"/>
      <c r="G1059" s="91" t="s">
        <v>299</v>
      </c>
      <c r="H1059" s="66"/>
      <c r="I1059" s="33"/>
      <c r="J1059" s="6"/>
      <c r="K1059" s="33"/>
      <c r="L1059" s="6"/>
    </row>
    <row r="1060" spans="1:12" x14ac:dyDescent="0.25">
      <c r="A1060" s="7" t="s">
        <v>2</v>
      </c>
      <c r="B1060" s="5"/>
      <c r="C1060" s="5"/>
      <c r="D1060" s="5"/>
      <c r="E1060" s="5"/>
      <c r="F1060" s="5"/>
      <c r="G1060" s="8" t="s">
        <v>8</v>
      </c>
      <c r="H1060" s="93">
        <v>3</v>
      </c>
      <c r="I1060" s="5"/>
      <c r="J1060" s="5"/>
      <c r="K1060" s="5"/>
      <c r="L1060" s="5"/>
    </row>
    <row r="1061" spans="1:12" x14ac:dyDescent="0.25">
      <c r="A1061" s="7" t="s">
        <v>25</v>
      </c>
      <c r="B1061" s="5"/>
      <c r="C1061" s="7" t="s">
        <v>0</v>
      </c>
      <c r="D1061" s="5"/>
      <c r="E1061" s="5"/>
      <c r="F1061" s="5"/>
      <c r="G1061" s="7" t="s">
        <v>25</v>
      </c>
      <c r="H1061" s="5"/>
      <c r="I1061" s="7" t="s">
        <v>0</v>
      </c>
      <c r="J1061" s="5"/>
      <c r="K1061" s="5"/>
      <c r="L1061" s="5"/>
    </row>
    <row r="1062" spans="1:12" x14ac:dyDescent="0.25">
      <c r="A1062" s="42">
        <v>45454</v>
      </c>
      <c r="B1062" s="6"/>
      <c r="C1062" s="31">
        <f>L1021</f>
        <v>897070</v>
      </c>
      <c r="D1062" s="5"/>
      <c r="E1062" s="5"/>
      <c r="F1062" s="5"/>
      <c r="G1062" s="42">
        <v>45393</v>
      </c>
      <c r="H1062" s="6"/>
      <c r="I1062" s="9"/>
      <c r="J1062" s="5"/>
      <c r="K1062" s="5"/>
      <c r="L1062" s="5"/>
    </row>
    <row r="1063" spans="1:12" ht="16.5" thickBot="1" x14ac:dyDescent="0.3">
      <c r="A1063" s="7"/>
      <c r="B1063" s="62"/>
      <c r="C1063" s="62"/>
      <c r="D1063" s="62"/>
      <c r="E1063" s="5"/>
      <c r="F1063" s="5"/>
      <c r="G1063" s="10"/>
      <c r="H1063" s="5"/>
      <c r="I1063" s="5"/>
      <c r="J1063" s="5"/>
      <c r="K1063" s="5"/>
      <c r="L1063" s="5"/>
    </row>
    <row r="1064" spans="1:12" ht="15.75" thickBot="1" x14ac:dyDescent="0.3">
      <c r="A1064" s="121" t="s">
        <v>9</v>
      </c>
      <c r="B1064" s="122"/>
      <c r="C1064" s="123"/>
      <c r="D1064" s="5"/>
      <c r="E1064" s="5"/>
      <c r="F1064" s="5"/>
      <c r="G1064" s="121" t="s">
        <v>26</v>
      </c>
      <c r="H1064" s="122"/>
      <c r="I1064" s="123"/>
      <c r="J1064" s="5"/>
      <c r="K1064" s="5"/>
      <c r="L1064" s="5"/>
    </row>
    <row r="1065" spans="1:12" x14ac:dyDescent="0.25">
      <c r="A1065" s="30" t="s">
        <v>38</v>
      </c>
      <c r="B1065" s="11"/>
      <c r="C1065" s="11"/>
      <c r="D1065" s="11"/>
      <c r="E1065" s="6"/>
      <c r="F1065" s="5"/>
      <c r="G1065" s="30"/>
      <c r="H1065" s="11"/>
      <c r="I1065" s="11"/>
      <c r="J1065" s="11"/>
      <c r="K1065" s="11"/>
      <c r="L1065" s="6"/>
    </row>
    <row r="1066" spans="1:12" ht="15.75" thickBot="1" x14ac:dyDescent="0.3">
      <c r="A1066" s="7"/>
      <c r="B1066" s="7"/>
      <c r="C1066" s="7"/>
      <c r="D1066" s="5"/>
      <c r="E1066" s="5"/>
      <c r="F1066" s="5"/>
      <c r="G1066" s="7" t="str">
        <f>A1068</f>
        <v>Outapi</v>
      </c>
      <c r="H1066" s="7"/>
      <c r="I1066" s="7"/>
      <c r="J1066" s="5"/>
      <c r="K1066" s="5"/>
      <c r="L1066" s="5"/>
    </row>
    <row r="1067" spans="1:12" ht="15.75" thickBot="1" x14ac:dyDescent="0.3">
      <c r="A1067" s="121"/>
      <c r="B1067" s="122"/>
      <c r="C1067" s="124"/>
      <c r="D1067" s="12" t="s">
        <v>1</v>
      </c>
      <c r="E1067" s="32"/>
      <c r="F1067" s="5"/>
      <c r="G1067" s="121" t="s">
        <v>27</v>
      </c>
      <c r="H1067" s="122"/>
      <c r="I1067" s="123"/>
      <c r="J1067" s="5"/>
      <c r="K1067" s="12" t="s">
        <v>1</v>
      </c>
      <c r="L1067" s="32">
        <v>898712</v>
      </c>
    </row>
    <row r="1068" spans="1:12" x14ac:dyDescent="0.25">
      <c r="A1068" s="30" t="s">
        <v>70</v>
      </c>
      <c r="B1068" s="11"/>
      <c r="C1068" s="11"/>
      <c r="D1068" s="11"/>
      <c r="E1068" s="6"/>
      <c r="F1068" s="5"/>
      <c r="G1068" s="30" t="s">
        <v>364</v>
      </c>
      <c r="H1068" s="11"/>
      <c r="I1068" s="11"/>
      <c r="J1068" s="11"/>
      <c r="K1068" s="11"/>
      <c r="L1068" s="6"/>
    </row>
    <row r="1069" spans="1:12" x14ac:dyDescent="0.25">
      <c r="A1069" s="76"/>
      <c r="B1069" s="11"/>
      <c r="C1069" s="11"/>
      <c r="D1069" s="11"/>
      <c r="E1069" s="6"/>
      <c r="F1069" s="5"/>
      <c r="G1069" s="34"/>
      <c r="H1069" s="11"/>
      <c r="I1069" s="11"/>
      <c r="J1069" s="11"/>
      <c r="K1069" s="11"/>
      <c r="L1069" s="6"/>
    </row>
    <row r="1070" spans="1:12" x14ac:dyDescent="0.25">
      <c r="A1070" s="13"/>
      <c r="B1070" s="11"/>
      <c r="C1070" s="11"/>
      <c r="D1070" s="11"/>
      <c r="E1070" s="6"/>
      <c r="F1070" s="5"/>
      <c r="G1070" s="13"/>
      <c r="H1070" s="11"/>
      <c r="I1070" s="11"/>
      <c r="J1070" s="11"/>
      <c r="K1070" s="11"/>
      <c r="L1070" s="6"/>
    </row>
    <row r="1071" spans="1:12" x14ac:dyDescent="0.25">
      <c r="A1071" s="13"/>
      <c r="B1071" s="11"/>
      <c r="C1071" s="11"/>
      <c r="D1071" s="11"/>
      <c r="E1071" s="6"/>
      <c r="F1071" s="5"/>
      <c r="G1071" s="13"/>
      <c r="H1071" s="11"/>
      <c r="I1071" s="11"/>
      <c r="J1071" s="11"/>
      <c r="K1071" s="11"/>
      <c r="L1071" s="6"/>
    </row>
    <row r="1072" spans="1:12" ht="15.75" thickBot="1" x14ac:dyDescent="0.3">
      <c r="A1072" s="13"/>
      <c r="B1072" s="11"/>
      <c r="C1072" s="11" t="s">
        <v>29</v>
      </c>
      <c r="D1072" s="43"/>
      <c r="E1072" s="6"/>
      <c r="F1072" s="5"/>
      <c r="G1072" s="13"/>
      <c r="H1072" s="11"/>
      <c r="I1072" s="14" t="s">
        <v>28</v>
      </c>
      <c r="J1072" s="43"/>
      <c r="K1072" s="59"/>
      <c r="L1072" s="6"/>
    </row>
    <row r="1073" spans="1:12" ht="15.75" thickBot="1" x14ac:dyDescent="0.3">
      <c r="A1073" s="15" t="s">
        <v>10</v>
      </c>
      <c r="B1073" s="5"/>
      <c r="C1073" s="5"/>
      <c r="D1073" s="5"/>
      <c r="E1073" s="5"/>
      <c r="F1073" s="5"/>
      <c r="G1073" s="15" t="s">
        <v>14</v>
      </c>
      <c r="H1073" s="5"/>
      <c r="I1073" s="5"/>
      <c r="J1073" s="5"/>
      <c r="K1073" s="5"/>
      <c r="L1073" s="5"/>
    </row>
    <row r="1074" spans="1:12" ht="15.75" thickBot="1" x14ac:dyDescent="0.3">
      <c r="A1074" s="121" t="s">
        <v>11</v>
      </c>
      <c r="B1074" s="122"/>
      <c r="C1074" s="123"/>
      <c r="D1074" s="16" t="s">
        <v>12</v>
      </c>
      <c r="E1074" s="16" t="s">
        <v>13</v>
      </c>
      <c r="F1074" s="5"/>
      <c r="G1074" s="121" t="s">
        <v>15</v>
      </c>
      <c r="H1074" s="122"/>
      <c r="I1074" s="123"/>
      <c r="J1074" s="121"/>
      <c r="K1074" s="123"/>
      <c r="L1074" s="5"/>
    </row>
    <row r="1075" spans="1:12" x14ac:dyDescent="0.25">
      <c r="A1075" s="45">
        <v>45546</v>
      </c>
      <c r="B1075" s="46" t="s">
        <v>47</v>
      </c>
      <c r="C1075" s="47"/>
      <c r="D1075" s="56">
        <f>494.7+168.9</f>
        <v>663.6</v>
      </c>
      <c r="E1075" s="57">
        <v>13414.09</v>
      </c>
      <c r="F1075" s="44">
        <f>E1075/D1075</f>
        <v>20.21411995177818</v>
      </c>
      <c r="G1075" s="125" t="s">
        <v>69</v>
      </c>
      <c r="H1075" s="126"/>
      <c r="I1075" s="127"/>
      <c r="J1075" s="128">
        <v>0</v>
      </c>
      <c r="K1075" s="129"/>
      <c r="L1075" s="5"/>
    </row>
    <row r="1076" spans="1:12" x14ac:dyDescent="0.25">
      <c r="A1076" s="94"/>
      <c r="B1076" s="46"/>
      <c r="C1076" s="47"/>
      <c r="D1076" s="56"/>
      <c r="E1076" s="57"/>
      <c r="F1076" s="44"/>
      <c r="G1076" s="110" t="s">
        <v>59</v>
      </c>
      <c r="H1076" s="111"/>
      <c r="I1076" s="112"/>
      <c r="J1076" s="113"/>
      <c r="K1076" s="114"/>
      <c r="L1076" s="5"/>
    </row>
    <row r="1077" spans="1:12" x14ac:dyDescent="0.25">
      <c r="A1077" s="94"/>
      <c r="B1077" s="46"/>
      <c r="C1077" s="47"/>
      <c r="D1077" s="56"/>
      <c r="E1077" s="57"/>
      <c r="F1077" s="44"/>
      <c r="G1077" s="110" t="s">
        <v>61</v>
      </c>
      <c r="H1077" s="111"/>
      <c r="I1077" s="112"/>
      <c r="J1077" s="113"/>
      <c r="K1077" s="114"/>
      <c r="L1077" s="5"/>
    </row>
    <row r="1078" spans="1:12" x14ac:dyDescent="0.25">
      <c r="A1078" s="94"/>
      <c r="B1078" s="46"/>
      <c r="C1078" s="47"/>
      <c r="D1078" s="56"/>
      <c r="E1078" s="57"/>
      <c r="F1078" s="44"/>
      <c r="G1078" s="110" t="s">
        <v>51</v>
      </c>
      <c r="H1078" s="111"/>
      <c r="I1078" s="112"/>
      <c r="J1078" s="113"/>
      <c r="K1078" s="114"/>
      <c r="L1078" s="5"/>
    </row>
    <row r="1079" spans="1:12" x14ac:dyDescent="0.25">
      <c r="A1079" s="48"/>
      <c r="B1079" s="46"/>
      <c r="C1079" s="39"/>
      <c r="D1079" s="52"/>
      <c r="E1079" s="53"/>
      <c r="F1079" s="44"/>
      <c r="G1079" s="110" t="s">
        <v>58</v>
      </c>
      <c r="H1079" s="111"/>
      <c r="I1079" s="112"/>
      <c r="J1079" s="113"/>
      <c r="K1079" s="114"/>
      <c r="L1079" s="5"/>
    </row>
    <row r="1080" spans="1:12" x14ac:dyDescent="0.25">
      <c r="A1080" s="48"/>
      <c r="B1080" s="35"/>
      <c r="C1080" s="39"/>
      <c r="D1080" s="52"/>
      <c r="E1080" s="53"/>
      <c r="F1080" s="44"/>
      <c r="G1080" s="110" t="s">
        <v>51</v>
      </c>
      <c r="H1080" s="111"/>
      <c r="I1080" s="112"/>
      <c r="J1080" s="113"/>
      <c r="K1080" s="114"/>
      <c r="L1080" s="5"/>
    </row>
    <row r="1081" spans="1:12" x14ac:dyDescent="0.25">
      <c r="A1081" s="48"/>
      <c r="B1081" s="35"/>
      <c r="C1081" s="39"/>
      <c r="D1081" s="52"/>
      <c r="E1081" s="53"/>
      <c r="F1081" s="44"/>
      <c r="G1081" s="77"/>
      <c r="H1081" s="78" t="s">
        <v>69</v>
      </c>
      <c r="I1081" s="79"/>
      <c r="J1081" s="113"/>
      <c r="K1081" s="114"/>
      <c r="L1081" s="5"/>
    </row>
    <row r="1082" spans="1:12" x14ac:dyDescent="0.25">
      <c r="A1082" s="38"/>
      <c r="B1082" s="35"/>
      <c r="C1082" s="39"/>
      <c r="D1082" s="52"/>
      <c r="E1082" s="53"/>
      <c r="F1082" s="44"/>
      <c r="G1082" s="77"/>
      <c r="H1082" s="78" t="s">
        <v>72</v>
      </c>
      <c r="I1082" s="79"/>
      <c r="J1082" s="113"/>
      <c r="K1082" s="114"/>
      <c r="L1082" s="5"/>
    </row>
    <row r="1083" spans="1:12" ht="15.75" thickBot="1" x14ac:dyDescent="0.3">
      <c r="A1083" s="5"/>
      <c r="B1083" s="5"/>
      <c r="C1083" s="7" t="s">
        <v>35</v>
      </c>
      <c r="D1083" s="17">
        <f>SUM(D1075:D1082)</f>
        <v>663.6</v>
      </c>
      <c r="E1083" s="17">
        <f>SUM(E1075:E1082)</f>
        <v>13414.09</v>
      </c>
      <c r="F1083" s="89">
        <f>AVERAGE(F1075:F1079)</f>
        <v>20.21411995177818</v>
      </c>
      <c r="G1083" s="110" t="s">
        <v>73</v>
      </c>
      <c r="H1083" s="111"/>
      <c r="I1083" s="112"/>
      <c r="J1083" s="113"/>
      <c r="K1083" s="114"/>
      <c r="L1083" s="7" t="s">
        <v>36</v>
      </c>
    </row>
    <row r="1084" spans="1:12" ht="15.75" thickBot="1" x14ac:dyDescent="0.3">
      <c r="A1084" s="5"/>
      <c r="B1084" s="5"/>
      <c r="C1084" s="5"/>
      <c r="D1084" s="5"/>
      <c r="E1084" s="5"/>
      <c r="F1084" s="5"/>
      <c r="G1084" s="130"/>
      <c r="H1084" s="131"/>
      <c r="I1084" s="132"/>
      <c r="J1084" s="133"/>
      <c r="K1084" s="134"/>
      <c r="L1084" s="18">
        <f>J1075+J1076+J1077+J1078+J1079+J1080+J1081+J1082+J1083</f>
        <v>0</v>
      </c>
    </row>
    <row r="1085" spans="1:12" ht="15.75" thickBot="1" x14ac:dyDescent="0.3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</row>
    <row r="1086" spans="1:12" ht="15.75" thickBot="1" x14ac:dyDescent="0.3">
      <c r="A1086" s="19"/>
      <c r="B1086" s="20"/>
      <c r="C1086" s="20"/>
      <c r="D1086" s="20"/>
      <c r="E1086" s="21" t="s">
        <v>13</v>
      </c>
      <c r="F1086" s="5"/>
      <c r="G1086" s="19"/>
      <c r="H1086" s="20"/>
      <c r="I1086" s="20"/>
      <c r="J1086" s="20"/>
      <c r="K1086" s="21" t="s">
        <v>13</v>
      </c>
      <c r="L1086" s="5"/>
    </row>
    <row r="1087" spans="1:12" x14ac:dyDescent="0.25">
      <c r="A1087" s="22" t="s">
        <v>31</v>
      </c>
      <c r="B1087" s="115">
        <v>29905</v>
      </c>
      <c r="C1087" s="116"/>
      <c r="D1087" s="116"/>
      <c r="E1087" s="117"/>
      <c r="F1087" s="5"/>
      <c r="G1087" s="22" t="s">
        <v>32</v>
      </c>
      <c r="H1087" s="115">
        <v>0</v>
      </c>
      <c r="I1087" s="116"/>
      <c r="J1087" s="116"/>
      <c r="K1087" s="117"/>
      <c r="L1087" s="5"/>
    </row>
    <row r="1088" spans="1:12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</row>
    <row r="1089" spans="1:12" x14ac:dyDescent="0.25">
      <c r="A1089" s="7" t="s">
        <v>16</v>
      </c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</row>
    <row r="1090" spans="1:12" x14ac:dyDescent="0.25">
      <c r="A1090" s="9" t="s">
        <v>17</v>
      </c>
      <c r="B1090" s="23">
        <f>L1067-C1062</f>
        <v>1642</v>
      </c>
      <c r="C1090" s="5"/>
      <c r="D1090" s="106" t="s">
        <v>18</v>
      </c>
      <c r="E1090" s="107"/>
      <c r="F1090" s="24" t="s">
        <v>19</v>
      </c>
      <c r="G1090" s="9" t="s">
        <v>20</v>
      </c>
      <c r="H1090" s="118">
        <f>B1087+H1087</f>
        <v>29905</v>
      </c>
      <c r="I1090" s="119"/>
      <c r="J1090" s="60"/>
      <c r="K1090" s="5"/>
      <c r="L1090" s="5"/>
    </row>
    <row r="1091" spans="1:12" x14ac:dyDescent="0.25">
      <c r="A1091" s="9" t="s">
        <v>41</v>
      </c>
      <c r="B1091" s="40">
        <f>B1090/D1083</f>
        <v>2.4743821579264615</v>
      </c>
      <c r="C1091" s="5"/>
      <c r="D1091" s="102">
        <f>E1083</f>
        <v>13414.09</v>
      </c>
      <c r="E1091" s="103"/>
      <c r="F1091" s="25">
        <f>H1091/B1090</f>
        <v>9.012965895249696</v>
      </c>
      <c r="G1091" s="9" t="s">
        <v>21</v>
      </c>
      <c r="H1091" s="104">
        <f>L1084+D1091+D1093+D1095+D1097+A1094</f>
        <v>14799.29</v>
      </c>
      <c r="I1091" s="105"/>
      <c r="J1091" s="5"/>
      <c r="K1091" s="5"/>
      <c r="L1091" s="5"/>
    </row>
    <row r="1092" spans="1:12" x14ac:dyDescent="0.25">
      <c r="A1092" s="9" t="s">
        <v>43</v>
      </c>
      <c r="B1092" s="23">
        <f>D1083/B1090*100</f>
        <v>40.414129110840442</v>
      </c>
      <c r="C1092" s="5"/>
      <c r="D1092" s="106" t="s">
        <v>33</v>
      </c>
      <c r="E1092" s="107"/>
      <c r="F1092" s="5"/>
      <c r="G1092" s="13" t="s">
        <v>22</v>
      </c>
      <c r="H1092" s="6"/>
      <c r="I1092" s="26">
        <f>H1090-H1091</f>
        <v>15105.71</v>
      </c>
      <c r="J1092" s="5"/>
      <c r="K1092" s="5"/>
      <c r="L1092" s="5"/>
    </row>
    <row r="1093" spans="1:12" x14ac:dyDescent="0.25">
      <c r="A1093" s="106" t="s">
        <v>40</v>
      </c>
      <c r="B1093" s="107"/>
      <c r="C1093" s="5"/>
      <c r="D1093" s="149">
        <v>400</v>
      </c>
      <c r="E1093" s="150"/>
      <c r="F1093" s="5"/>
      <c r="G1093" s="5"/>
      <c r="H1093" s="5"/>
      <c r="I1093" s="5"/>
      <c r="J1093" s="5"/>
      <c r="K1093" s="5"/>
      <c r="L1093" s="5"/>
    </row>
    <row r="1094" spans="1:12" x14ac:dyDescent="0.25">
      <c r="A1094" s="108">
        <f>B1090*0.6</f>
        <v>985.19999999999993</v>
      </c>
      <c r="B1094" s="109"/>
      <c r="C1094" s="5"/>
      <c r="D1094" s="106" t="s">
        <v>34</v>
      </c>
      <c r="E1094" s="107"/>
      <c r="F1094" s="5"/>
      <c r="G1094" s="145" t="s">
        <v>292</v>
      </c>
      <c r="H1094" s="146"/>
      <c r="I1094" s="23">
        <f>B1090/2.3</f>
        <v>713.91304347826087</v>
      </c>
      <c r="J1094" s="60"/>
      <c r="K1094" s="5"/>
      <c r="L1094" s="5"/>
    </row>
    <row r="1095" spans="1:12" x14ac:dyDescent="0.25">
      <c r="A1095" s="5"/>
      <c r="B1095" s="5"/>
      <c r="C1095" s="5"/>
      <c r="D1095" s="108">
        <v>0</v>
      </c>
      <c r="E1095" s="109"/>
      <c r="F1095" s="5"/>
      <c r="G1095" s="145" t="s">
        <v>294</v>
      </c>
      <c r="H1095" s="146"/>
      <c r="I1095" s="23">
        <f>I1094-D1083</f>
        <v>50.313043478260852</v>
      </c>
      <c r="J1095" s="5"/>
      <c r="K1095" s="5"/>
      <c r="L1095" s="5"/>
    </row>
    <row r="1096" spans="1:12" x14ac:dyDescent="0.25">
      <c r="A1096" s="5"/>
      <c r="B1096" s="5"/>
      <c r="C1096" s="5"/>
      <c r="D1096" s="106" t="s">
        <v>37</v>
      </c>
      <c r="E1096" s="107"/>
      <c r="F1096" s="5"/>
      <c r="G1096" s="147" t="s">
        <v>295</v>
      </c>
      <c r="H1096" s="148"/>
      <c r="I1096" s="86">
        <f>I1095*F1083</f>
        <v>1017.0338960085958</v>
      </c>
      <c r="J1096" s="87">
        <f>I1092-I1096</f>
        <v>14088.676103991404</v>
      </c>
      <c r="K1096" s="5"/>
      <c r="L1096" s="5"/>
    </row>
    <row r="1097" spans="1:12" x14ac:dyDescent="0.25">
      <c r="A1097" s="5"/>
      <c r="B1097" s="5"/>
      <c r="C1097" s="5"/>
      <c r="D1097" s="108"/>
      <c r="E1097" s="109"/>
      <c r="F1097" s="5" t="s">
        <v>78</v>
      </c>
      <c r="G1097" s="5"/>
      <c r="H1097" s="5"/>
      <c r="I1097" s="5"/>
      <c r="J1097" s="88" t="s">
        <v>293</v>
      </c>
      <c r="K1097" s="44"/>
      <c r="L1097" s="5"/>
    </row>
    <row r="1100" spans="1:12" s="49" customFormat="1" x14ac:dyDescent="0.25"/>
    <row r="1103" spans="1:12" x14ac:dyDescent="0.25">
      <c r="A1103" s="120" t="s">
        <v>24</v>
      </c>
      <c r="B1103" s="120"/>
      <c r="C1103" s="120"/>
      <c r="D1103" s="120"/>
      <c r="E1103" s="120"/>
      <c r="F1103" s="120"/>
      <c r="G1103" s="120"/>
      <c r="H1103" s="120"/>
      <c r="I1103" s="120"/>
      <c r="J1103" s="120"/>
      <c r="K1103" s="120"/>
      <c r="L1103" s="120"/>
    </row>
    <row r="1104" spans="1:12" x14ac:dyDescent="0.25">
      <c r="A1104" s="120"/>
      <c r="B1104" s="120"/>
      <c r="C1104" s="120"/>
      <c r="D1104" s="120"/>
      <c r="E1104" s="120"/>
      <c r="F1104" s="120"/>
      <c r="G1104" s="120"/>
      <c r="H1104" s="120"/>
      <c r="I1104" s="120"/>
      <c r="J1104" s="120"/>
      <c r="K1104" s="120"/>
      <c r="L1104" s="120"/>
    </row>
    <row r="1105" spans="1:12" x14ac:dyDescent="0.25">
      <c r="A1105" s="1" t="s">
        <v>4</v>
      </c>
      <c r="B1105" s="2"/>
      <c r="C1105" s="90"/>
      <c r="D1105" s="2"/>
      <c r="E1105" s="2"/>
      <c r="F1105" s="2"/>
      <c r="G1105" s="3" t="s">
        <v>5</v>
      </c>
      <c r="H1105" s="3" t="s">
        <v>6</v>
      </c>
      <c r="I1105" s="4" t="s">
        <v>7</v>
      </c>
      <c r="J1105" s="5"/>
      <c r="K1105" s="5"/>
      <c r="L1105" s="5"/>
    </row>
    <row r="1106" spans="1:12" x14ac:dyDescent="0.25">
      <c r="A1106" s="91" t="s">
        <v>359</v>
      </c>
      <c r="B1106" s="92" t="s">
        <v>42</v>
      </c>
      <c r="C1106" s="64"/>
      <c r="D1106" s="66"/>
      <c r="E1106" s="2"/>
      <c r="F1106" s="2"/>
      <c r="G1106" s="91" t="s">
        <v>299</v>
      </c>
      <c r="H1106" s="66"/>
      <c r="I1106" s="33"/>
      <c r="J1106" s="6"/>
      <c r="K1106" s="33"/>
      <c r="L1106" s="6"/>
    </row>
    <row r="1107" spans="1:12" x14ac:dyDescent="0.25">
      <c r="A1107" s="7" t="s">
        <v>2</v>
      </c>
      <c r="B1107" s="5"/>
      <c r="C1107" s="5"/>
      <c r="D1107" s="5"/>
      <c r="E1107" s="5"/>
      <c r="F1107" s="5"/>
      <c r="G1107" s="8" t="s">
        <v>8</v>
      </c>
      <c r="H1107" s="93">
        <v>3</v>
      </c>
      <c r="I1107" s="5"/>
      <c r="J1107" s="5"/>
      <c r="K1107" s="5"/>
      <c r="L1107" s="5"/>
    </row>
    <row r="1108" spans="1:12" x14ac:dyDescent="0.25">
      <c r="A1108" s="7" t="s">
        <v>25</v>
      </c>
      <c r="B1108" s="5"/>
      <c r="C1108" s="7" t="s">
        <v>0</v>
      </c>
      <c r="D1108" s="5"/>
      <c r="E1108" s="5"/>
      <c r="F1108" s="5"/>
      <c r="G1108" s="7" t="s">
        <v>25</v>
      </c>
      <c r="H1108" s="5"/>
      <c r="I1108" s="7" t="s">
        <v>0</v>
      </c>
      <c r="J1108" s="5"/>
      <c r="K1108" s="5"/>
      <c r="L1108" s="5"/>
    </row>
    <row r="1109" spans="1:12" x14ac:dyDescent="0.25">
      <c r="A1109" s="42">
        <v>45546</v>
      </c>
      <c r="B1109" s="6"/>
      <c r="C1109" s="31">
        <f>L1067</f>
        <v>898712</v>
      </c>
      <c r="D1109" s="5"/>
      <c r="E1109" s="5"/>
      <c r="F1109" s="5"/>
      <c r="G1109" s="42">
        <v>45637</v>
      </c>
      <c r="H1109" s="6"/>
      <c r="I1109" s="9"/>
      <c r="J1109" s="5"/>
      <c r="K1109" s="5"/>
      <c r="L1109" s="5"/>
    </row>
    <row r="1110" spans="1:12" ht="16.5" thickBot="1" x14ac:dyDescent="0.3">
      <c r="A1110" s="7"/>
      <c r="B1110" s="62"/>
      <c r="C1110" s="62"/>
      <c r="D1110" s="62"/>
      <c r="E1110" s="5"/>
      <c r="F1110" s="5"/>
      <c r="G1110" s="10"/>
      <c r="H1110" s="5"/>
      <c r="I1110" s="5"/>
      <c r="J1110" s="5"/>
      <c r="K1110" s="5"/>
      <c r="L1110" s="5"/>
    </row>
    <row r="1111" spans="1:12" ht="15.75" thickBot="1" x14ac:dyDescent="0.3">
      <c r="A1111" s="121" t="s">
        <v>9</v>
      </c>
      <c r="B1111" s="122"/>
      <c r="C1111" s="123"/>
      <c r="D1111" s="5"/>
      <c r="E1111" s="5"/>
      <c r="F1111" s="5"/>
      <c r="G1111" s="121" t="s">
        <v>26</v>
      </c>
      <c r="H1111" s="122"/>
      <c r="I1111" s="123"/>
      <c r="J1111" s="5"/>
      <c r="K1111" s="5"/>
      <c r="L1111" s="5"/>
    </row>
    <row r="1112" spans="1:12" x14ac:dyDescent="0.25">
      <c r="A1112" s="30" t="s">
        <v>38</v>
      </c>
      <c r="B1112" s="11"/>
      <c r="C1112" s="11"/>
      <c r="D1112" s="11"/>
      <c r="E1112" s="6"/>
      <c r="F1112" s="5"/>
      <c r="G1112" s="30"/>
      <c r="H1112" s="11"/>
      <c r="I1112" s="11"/>
      <c r="J1112" s="11"/>
      <c r="K1112" s="11"/>
      <c r="L1112" s="6"/>
    </row>
    <row r="1113" spans="1:12" ht="15.75" thickBot="1" x14ac:dyDescent="0.3">
      <c r="A1113" s="7"/>
      <c r="B1113" s="7"/>
      <c r="C1113" s="7"/>
      <c r="D1113" s="5"/>
      <c r="E1113" s="5"/>
      <c r="F1113" s="5"/>
      <c r="G1113" s="7" t="str">
        <f>A1115</f>
        <v>Cape Town</v>
      </c>
      <c r="H1113" s="7"/>
      <c r="I1113" s="7"/>
      <c r="J1113" s="5"/>
      <c r="K1113" s="5"/>
      <c r="L1113" s="5"/>
    </row>
    <row r="1114" spans="1:12" ht="15.75" thickBot="1" x14ac:dyDescent="0.3">
      <c r="A1114" s="121"/>
      <c r="B1114" s="122"/>
      <c r="C1114" s="124"/>
      <c r="D1114" s="12" t="s">
        <v>1</v>
      </c>
      <c r="E1114" s="32"/>
      <c r="F1114" s="5"/>
      <c r="G1114" s="121" t="s">
        <v>27</v>
      </c>
      <c r="H1114" s="122"/>
      <c r="I1114" s="123"/>
      <c r="J1114" s="5"/>
      <c r="K1114" s="12" t="s">
        <v>1</v>
      </c>
      <c r="L1114" s="32">
        <v>901787</v>
      </c>
    </row>
    <row r="1115" spans="1:12" x14ac:dyDescent="0.25">
      <c r="A1115" s="30" t="s">
        <v>65</v>
      </c>
      <c r="B1115" s="11"/>
      <c r="C1115" s="11"/>
      <c r="D1115" s="11"/>
      <c r="E1115" s="6"/>
      <c r="F1115" s="5"/>
      <c r="G1115" s="30" t="s">
        <v>364</v>
      </c>
      <c r="H1115" s="11"/>
      <c r="I1115" s="11"/>
      <c r="J1115" s="11"/>
      <c r="K1115" s="11"/>
      <c r="L1115" s="6"/>
    </row>
    <row r="1116" spans="1:12" x14ac:dyDescent="0.25">
      <c r="A1116" s="76"/>
      <c r="B1116" s="11"/>
      <c r="C1116" s="11"/>
      <c r="D1116" s="11"/>
      <c r="E1116" s="6"/>
      <c r="F1116" s="5"/>
      <c r="G1116" s="34"/>
      <c r="H1116" s="11"/>
      <c r="I1116" s="11"/>
      <c r="J1116" s="11"/>
      <c r="K1116" s="11"/>
      <c r="L1116" s="6"/>
    </row>
    <row r="1117" spans="1:12" x14ac:dyDescent="0.25">
      <c r="A1117" s="13"/>
      <c r="B1117" s="11"/>
      <c r="C1117" s="11"/>
      <c r="D1117" s="11"/>
      <c r="E1117" s="6"/>
      <c r="F1117" s="5"/>
      <c r="G1117" s="13"/>
      <c r="H1117" s="11"/>
      <c r="I1117" s="11"/>
      <c r="J1117" s="11"/>
      <c r="K1117" s="11"/>
      <c r="L1117" s="6"/>
    </row>
    <row r="1118" spans="1:12" x14ac:dyDescent="0.25">
      <c r="A1118" s="13"/>
      <c r="B1118" s="11"/>
      <c r="C1118" s="11"/>
      <c r="D1118" s="11"/>
      <c r="E1118" s="6"/>
      <c r="F1118" s="5"/>
      <c r="G1118" s="13"/>
      <c r="H1118" s="11"/>
      <c r="I1118" s="11"/>
      <c r="J1118" s="11"/>
      <c r="K1118" s="11"/>
      <c r="L1118" s="6"/>
    </row>
    <row r="1119" spans="1:12" ht="15.75" thickBot="1" x14ac:dyDescent="0.3">
      <c r="A1119" s="13"/>
      <c r="B1119" s="11"/>
      <c r="C1119" s="11" t="s">
        <v>29</v>
      </c>
      <c r="D1119" s="43"/>
      <c r="E1119" s="6"/>
      <c r="F1119" s="5"/>
      <c r="G1119" s="13"/>
      <c r="H1119" s="11"/>
      <c r="I1119" s="14" t="s">
        <v>28</v>
      </c>
      <c r="J1119" s="43"/>
      <c r="K1119" s="59"/>
      <c r="L1119" s="6"/>
    </row>
    <row r="1120" spans="1:12" ht="15.75" thickBot="1" x14ac:dyDescent="0.3">
      <c r="A1120" s="15" t="s">
        <v>10</v>
      </c>
      <c r="B1120" s="5"/>
      <c r="C1120" s="5"/>
      <c r="D1120" s="5"/>
      <c r="E1120" s="5"/>
      <c r="F1120" s="5"/>
      <c r="G1120" s="15" t="s">
        <v>14</v>
      </c>
      <c r="H1120" s="5"/>
      <c r="I1120" s="5"/>
      <c r="J1120" s="5"/>
      <c r="K1120" s="5"/>
      <c r="L1120" s="5"/>
    </row>
    <row r="1121" spans="1:12" ht="15.75" thickBot="1" x14ac:dyDescent="0.3">
      <c r="A1121" s="121" t="s">
        <v>11</v>
      </c>
      <c r="B1121" s="122"/>
      <c r="C1121" s="123"/>
      <c r="D1121" s="16" t="s">
        <v>12</v>
      </c>
      <c r="E1121" s="16" t="s">
        <v>13</v>
      </c>
      <c r="F1121" s="5"/>
      <c r="G1121" s="121" t="s">
        <v>15</v>
      </c>
      <c r="H1121" s="122"/>
      <c r="I1121" s="123"/>
      <c r="J1121" s="121"/>
      <c r="K1121" s="123"/>
      <c r="L1121" s="5"/>
    </row>
    <row r="1122" spans="1:12" x14ac:dyDescent="0.25">
      <c r="A1122" s="45">
        <v>45576</v>
      </c>
      <c r="B1122" s="46" t="s">
        <v>66</v>
      </c>
      <c r="C1122" s="47"/>
      <c r="D1122" s="56">
        <v>334</v>
      </c>
      <c r="E1122" s="57">
        <v>6953.9</v>
      </c>
      <c r="F1122" s="44">
        <f>E1122/D1122</f>
        <v>20.820059880239519</v>
      </c>
      <c r="G1122" s="125" t="s">
        <v>69</v>
      </c>
      <c r="H1122" s="126"/>
      <c r="I1122" s="127"/>
      <c r="J1122" s="128">
        <v>0</v>
      </c>
      <c r="K1122" s="129"/>
      <c r="L1122" s="5"/>
    </row>
    <row r="1123" spans="1:12" x14ac:dyDescent="0.25">
      <c r="A1123" s="94" t="s">
        <v>378</v>
      </c>
      <c r="B1123" s="46" t="s">
        <v>305</v>
      </c>
      <c r="C1123" s="47"/>
      <c r="D1123" s="56">
        <v>200</v>
      </c>
      <c r="E1123" s="57">
        <v>4128.2</v>
      </c>
      <c r="F1123" s="44">
        <f>E1123/D1123</f>
        <v>20.640999999999998</v>
      </c>
      <c r="G1123" s="110" t="s">
        <v>59</v>
      </c>
      <c r="H1123" s="111"/>
      <c r="I1123" s="112"/>
      <c r="J1123" s="113"/>
      <c r="K1123" s="114"/>
      <c r="L1123" s="5"/>
    </row>
    <row r="1124" spans="1:12" x14ac:dyDescent="0.25">
      <c r="A1124" s="94" t="s">
        <v>378</v>
      </c>
      <c r="B1124" s="46" t="s">
        <v>66</v>
      </c>
      <c r="C1124" s="47"/>
      <c r="D1124" s="56">
        <v>592.28</v>
      </c>
      <c r="E1124" s="57">
        <v>12331.25</v>
      </c>
      <c r="F1124" s="44">
        <f>E1124/D1124</f>
        <v>20.81996690754373</v>
      </c>
      <c r="G1124" s="110" t="s">
        <v>61</v>
      </c>
      <c r="H1124" s="111"/>
      <c r="I1124" s="112"/>
      <c r="J1124" s="113"/>
      <c r="K1124" s="114"/>
      <c r="L1124" s="5"/>
    </row>
    <row r="1125" spans="1:12" x14ac:dyDescent="0.25">
      <c r="A1125" s="94" t="s">
        <v>379</v>
      </c>
      <c r="B1125" s="46" t="s">
        <v>47</v>
      </c>
      <c r="C1125" s="47"/>
      <c r="D1125" s="56">
        <v>430</v>
      </c>
      <c r="E1125" s="57">
        <v>8690.2999999999993</v>
      </c>
      <c r="F1125" s="44">
        <f>E1125/D1125</f>
        <v>20.209999999999997</v>
      </c>
      <c r="G1125" s="110" t="s">
        <v>51</v>
      </c>
      <c r="H1125" s="111"/>
      <c r="I1125" s="112"/>
      <c r="J1125" s="113"/>
      <c r="K1125" s="114"/>
      <c r="L1125" s="5"/>
    </row>
    <row r="1126" spans="1:12" x14ac:dyDescent="0.25">
      <c r="A1126" s="48"/>
      <c r="B1126" s="46"/>
      <c r="C1126" s="39"/>
      <c r="D1126" s="52"/>
      <c r="E1126" s="53"/>
      <c r="F1126" s="44"/>
      <c r="G1126" s="110" t="s">
        <v>58</v>
      </c>
      <c r="H1126" s="111"/>
      <c r="I1126" s="112"/>
      <c r="J1126" s="113"/>
      <c r="K1126" s="114"/>
      <c r="L1126" s="5"/>
    </row>
    <row r="1127" spans="1:12" x14ac:dyDescent="0.25">
      <c r="A1127" s="48"/>
      <c r="B1127" s="35"/>
      <c r="C1127" s="39"/>
      <c r="D1127" s="52"/>
      <c r="E1127" s="53"/>
      <c r="F1127" s="44"/>
      <c r="G1127" s="110" t="s">
        <v>51</v>
      </c>
      <c r="H1127" s="111"/>
      <c r="I1127" s="112"/>
      <c r="J1127" s="113"/>
      <c r="K1127" s="114"/>
      <c r="L1127" s="5"/>
    </row>
    <row r="1128" spans="1:12" x14ac:dyDescent="0.25">
      <c r="A1128" s="48"/>
      <c r="B1128" s="35"/>
      <c r="C1128" s="39"/>
      <c r="D1128" s="52"/>
      <c r="E1128" s="53"/>
      <c r="F1128" s="44"/>
      <c r="G1128" s="77"/>
      <c r="H1128" s="78" t="s">
        <v>69</v>
      </c>
      <c r="I1128" s="79"/>
      <c r="J1128" s="113"/>
      <c r="K1128" s="114"/>
      <c r="L1128" s="5"/>
    </row>
    <row r="1129" spans="1:12" x14ac:dyDescent="0.25">
      <c r="A1129" s="38"/>
      <c r="B1129" s="35"/>
      <c r="C1129" s="39"/>
      <c r="D1129" s="52"/>
      <c r="E1129" s="53"/>
      <c r="F1129" s="44"/>
      <c r="G1129" s="77"/>
      <c r="H1129" s="78" t="s">
        <v>72</v>
      </c>
      <c r="I1129" s="79"/>
      <c r="J1129" s="113"/>
      <c r="K1129" s="114"/>
      <c r="L1129" s="5"/>
    </row>
    <row r="1130" spans="1:12" ht="15.75" thickBot="1" x14ac:dyDescent="0.3">
      <c r="A1130" s="5"/>
      <c r="B1130" s="5"/>
      <c r="C1130" s="7" t="s">
        <v>35</v>
      </c>
      <c r="D1130" s="17">
        <f>SUM(D1122:D1129)</f>
        <v>1556.28</v>
      </c>
      <c r="E1130" s="17">
        <f>SUM(E1122:E1129)</f>
        <v>32103.649999999998</v>
      </c>
      <c r="F1130" s="89">
        <f>AVERAGE(F1122:F1126)</f>
        <v>20.62275669694581</v>
      </c>
      <c r="G1130" s="110" t="s">
        <v>73</v>
      </c>
      <c r="H1130" s="111"/>
      <c r="I1130" s="112"/>
      <c r="J1130" s="113"/>
      <c r="K1130" s="114"/>
      <c r="L1130" s="7" t="s">
        <v>36</v>
      </c>
    </row>
    <row r="1131" spans="1:12" ht="15.75" thickBot="1" x14ac:dyDescent="0.3">
      <c r="A1131" s="5"/>
      <c r="B1131" s="5"/>
      <c r="C1131" s="5"/>
      <c r="D1131" s="5"/>
      <c r="E1131" s="5"/>
      <c r="F1131" s="5"/>
      <c r="G1131" s="130"/>
      <c r="H1131" s="131"/>
      <c r="I1131" s="132"/>
      <c r="J1131" s="133"/>
      <c r="K1131" s="134"/>
      <c r="L1131" s="18">
        <f>J1122+J1123+J1124+J1125+J1126+J1127+J1128+J1129+J1130</f>
        <v>0</v>
      </c>
    </row>
    <row r="1132" spans="1:12" ht="15.75" thickBot="1" x14ac:dyDescent="0.3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</row>
    <row r="1133" spans="1:12" ht="15.75" thickBot="1" x14ac:dyDescent="0.3">
      <c r="A1133" s="19"/>
      <c r="B1133" s="20"/>
      <c r="C1133" s="20"/>
      <c r="D1133" s="20"/>
      <c r="E1133" s="21" t="s">
        <v>13</v>
      </c>
      <c r="F1133" s="5"/>
      <c r="G1133" s="19"/>
      <c r="H1133" s="20"/>
      <c r="I1133" s="20"/>
      <c r="J1133" s="20"/>
      <c r="K1133" s="21" t="s">
        <v>13</v>
      </c>
      <c r="L1133" s="5"/>
    </row>
    <row r="1134" spans="1:12" x14ac:dyDescent="0.25">
      <c r="A1134" s="22" t="s">
        <v>31</v>
      </c>
      <c r="B1134" s="115">
        <v>17931</v>
      </c>
      <c r="C1134" s="116"/>
      <c r="D1134" s="116"/>
      <c r="E1134" s="117"/>
      <c r="F1134" s="5"/>
      <c r="G1134" s="22" t="s">
        <v>32</v>
      </c>
      <c r="H1134" s="115">
        <v>41306</v>
      </c>
      <c r="I1134" s="116"/>
      <c r="J1134" s="116"/>
      <c r="K1134" s="117"/>
      <c r="L1134" s="5"/>
    </row>
    <row r="1135" spans="1:12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</row>
    <row r="1136" spans="1:12" x14ac:dyDescent="0.25">
      <c r="A1136" s="7" t="s">
        <v>16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</row>
    <row r="1137" spans="1:12" x14ac:dyDescent="0.25">
      <c r="A1137" s="9" t="s">
        <v>17</v>
      </c>
      <c r="B1137" s="23">
        <f>L1114-C1109</f>
        <v>3075</v>
      </c>
      <c r="C1137" s="5"/>
      <c r="D1137" s="106" t="s">
        <v>18</v>
      </c>
      <c r="E1137" s="107"/>
      <c r="F1137" s="24" t="s">
        <v>19</v>
      </c>
      <c r="G1137" s="9" t="s">
        <v>20</v>
      </c>
      <c r="H1137" s="118">
        <f>B1134+H1134</f>
        <v>59237</v>
      </c>
      <c r="I1137" s="119"/>
      <c r="J1137" s="60"/>
      <c r="K1137" s="5"/>
      <c r="L1137" s="5"/>
    </row>
    <row r="1138" spans="1:12" x14ac:dyDescent="0.25">
      <c r="A1138" s="9" t="s">
        <v>41</v>
      </c>
      <c r="B1138" s="40">
        <f>B1137/D1130</f>
        <v>1.9758655254838462</v>
      </c>
      <c r="C1138" s="5"/>
      <c r="D1138" s="102">
        <f>E1130</f>
        <v>32103.649999999998</v>
      </c>
      <c r="E1138" s="103"/>
      <c r="F1138" s="25">
        <f>H1138/B1137</f>
        <v>11.36541463414634</v>
      </c>
      <c r="G1138" s="9" t="s">
        <v>21</v>
      </c>
      <c r="H1138" s="104">
        <f>L1131+D1138+D1140+D1142+D1144+A1141</f>
        <v>34948.649999999994</v>
      </c>
      <c r="I1138" s="105"/>
      <c r="J1138" s="5"/>
      <c r="K1138" s="5"/>
      <c r="L1138" s="5"/>
    </row>
    <row r="1139" spans="1:12" x14ac:dyDescent="0.25">
      <c r="A1139" s="9" t="s">
        <v>43</v>
      </c>
      <c r="B1139" s="23">
        <f>D1130/B1137*100</f>
        <v>50.610731707317072</v>
      </c>
      <c r="C1139" s="5"/>
      <c r="D1139" s="106" t="s">
        <v>33</v>
      </c>
      <c r="E1139" s="107"/>
      <c r="F1139" s="5"/>
      <c r="G1139" s="13" t="s">
        <v>22</v>
      </c>
      <c r="H1139" s="6"/>
      <c r="I1139" s="26">
        <f>H1137-H1138</f>
        <v>24288.350000000006</v>
      </c>
      <c r="J1139" s="5"/>
      <c r="K1139" s="5"/>
      <c r="L1139" s="5"/>
    </row>
    <row r="1140" spans="1:12" x14ac:dyDescent="0.25">
      <c r="A1140" s="106" t="s">
        <v>40</v>
      </c>
      <c r="B1140" s="107"/>
      <c r="C1140" s="5"/>
      <c r="D1140" s="149">
        <v>1000</v>
      </c>
      <c r="E1140" s="150"/>
      <c r="F1140" s="5"/>
      <c r="G1140" s="5"/>
      <c r="H1140" s="5"/>
      <c r="I1140" s="5"/>
      <c r="J1140" s="5"/>
      <c r="K1140" s="5"/>
      <c r="L1140" s="5"/>
    </row>
    <row r="1141" spans="1:12" x14ac:dyDescent="0.25">
      <c r="A1141" s="108">
        <f>B1137*0.6</f>
        <v>1845</v>
      </c>
      <c r="B1141" s="109"/>
      <c r="C1141" s="5"/>
      <c r="D1141" s="106" t="s">
        <v>34</v>
      </c>
      <c r="E1141" s="107"/>
      <c r="F1141" s="5"/>
      <c r="G1141" s="145" t="s">
        <v>292</v>
      </c>
      <c r="H1141" s="146"/>
      <c r="I1141" s="23">
        <f>B1137/2.3</f>
        <v>1336.9565217391305</v>
      </c>
      <c r="J1141" s="60"/>
      <c r="K1141" s="5"/>
      <c r="L1141" s="5"/>
    </row>
    <row r="1142" spans="1:12" x14ac:dyDescent="0.25">
      <c r="A1142" s="5"/>
      <c r="B1142" s="5"/>
      <c r="C1142" s="5"/>
      <c r="D1142" s="108">
        <v>0</v>
      </c>
      <c r="E1142" s="109"/>
      <c r="F1142" s="5"/>
      <c r="G1142" s="145" t="s">
        <v>294</v>
      </c>
      <c r="H1142" s="146"/>
      <c r="I1142" s="23">
        <f>I1141-D1130</f>
        <v>-219.32347826086948</v>
      </c>
      <c r="J1142" s="5"/>
      <c r="K1142" s="5"/>
      <c r="L1142" s="5"/>
    </row>
    <row r="1143" spans="1:12" x14ac:dyDescent="0.25">
      <c r="A1143" s="5"/>
      <c r="B1143" s="5"/>
      <c r="C1143" s="5"/>
      <c r="D1143" s="106" t="s">
        <v>37</v>
      </c>
      <c r="E1143" s="107"/>
      <c r="F1143" s="5"/>
      <c r="G1143" s="147" t="s">
        <v>295</v>
      </c>
      <c r="H1143" s="148"/>
      <c r="I1143" s="86">
        <f>I1142*F1130</f>
        <v>-4523.054730101795</v>
      </c>
      <c r="J1143" s="87">
        <f>I1139-I1143</f>
        <v>28811.4047301018</v>
      </c>
      <c r="K1143" s="5"/>
      <c r="L1143" s="5"/>
    </row>
    <row r="1144" spans="1:12" x14ac:dyDescent="0.25">
      <c r="A1144" s="5"/>
      <c r="B1144" s="5"/>
      <c r="C1144" s="5"/>
      <c r="D1144" s="108"/>
      <c r="E1144" s="109"/>
      <c r="F1144" s="5" t="s">
        <v>78</v>
      </c>
      <c r="G1144" s="5"/>
      <c r="H1144" s="5"/>
      <c r="I1144" s="5"/>
      <c r="J1144" s="88" t="s">
        <v>293</v>
      </c>
      <c r="K1144" s="44"/>
      <c r="L1144" s="5"/>
    </row>
    <row r="1146" spans="1:12" s="49" customFormat="1" x14ac:dyDescent="0.25"/>
    <row r="1149" spans="1:12" x14ac:dyDescent="0.25">
      <c r="A1149" s="120" t="s">
        <v>24</v>
      </c>
      <c r="B1149" s="120"/>
      <c r="C1149" s="120"/>
      <c r="D1149" s="120"/>
      <c r="E1149" s="120"/>
      <c r="F1149" s="120"/>
      <c r="G1149" s="120"/>
      <c r="H1149" s="120"/>
      <c r="I1149" s="120"/>
      <c r="J1149" s="120"/>
      <c r="K1149" s="120"/>
      <c r="L1149" s="120"/>
    </row>
    <row r="1150" spans="1:12" x14ac:dyDescent="0.25">
      <c r="A1150" s="120"/>
      <c r="B1150" s="120"/>
      <c r="C1150" s="120"/>
      <c r="D1150" s="120"/>
      <c r="E1150" s="120"/>
      <c r="F1150" s="120"/>
      <c r="G1150" s="120"/>
      <c r="H1150" s="120"/>
      <c r="I1150" s="120"/>
      <c r="J1150" s="120"/>
      <c r="K1150" s="120"/>
      <c r="L1150" s="120"/>
    </row>
    <row r="1151" spans="1:12" x14ac:dyDescent="0.25">
      <c r="A1151" s="1" t="s">
        <v>4</v>
      </c>
      <c r="B1151" s="2"/>
      <c r="C1151" s="90"/>
      <c r="D1151" s="2"/>
      <c r="E1151" s="2"/>
      <c r="F1151" s="2"/>
      <c r="G1151" s="3" t="s">
        <v>5</v>
      </c>
      <c r="H1151" s="3" t="s">
        <v>6</v>
      </c>
      <c r="I1151" s="4" t="s">
        <v>7</v>
      </c>
      <c r="J1151" s="5"/>
      <c r="K1151" s="5"/>
      <c r="L1151" s="5"/>
    </row>
    <row r="1152" spans="1:12" x14ac:dyDescent="0.25">
      <c r="A1152" s="91" t="s">
        <v>359</v>
      </c>
      <c r="B1152" s="92" t="s">
        <v>42</v>
      </c>
      <c r="C1152" s="64"/>
      <c r="D1152" s="66"/>
      <c r="E1152" s="2"/>
      <c r="F1152" s="2"/>
      <c r="G1152" s="91" t="s">
        <v>299</v>
      </c>
      <c r="H1152" s="66"/>
      <c r="I1152" s="33"/>
      <c r="J1152" s="6"/>
      <c r="K1152" s="33"/>
      <c r="L1152" s="6"/>
    </row>
    <row r="1153" spans="1:12" x14ac:dyDescent="0.25">
      <c r="A1153" s="7" t="s">
        <v>2</v>
      </c>
      <c r="B1153" s="5"/>
      <c r="C1153" s="5"/>
      <c r="D1153" s="5"/>
      <c r="E1153" s="5"/>
      <c r="F1153" s="5"/>
      <c r="G1153" s="8" t="s">
        <v>8</v>
      </c>
      <c r="H1153" s="93">
        <v>3</v>
      </c>
      <c r="I1153" s="5"/>
      <c r="J1153" s="5"/>
      <c r="K1153" s="5"/>
      <c r="L1153" s="5"/>
    </row>
    <row r="1154" spans="1:12" x14ac:dyDescent="0.25">
      <c r="A1154" s="7" t="s">
        <v>25</v>
      </c>
      <c r="B1154" s="5"/>
      <c r="C1154" s="7" t="s">
        <v>0</v>
      </c>
      <c r="D1154" s="5"/>
      <c r="E1154" s="5"/>
      <c r="F1154" s="5"/>
      <c r="G1154" s="7" t="s">
        <v>25</v>
      </c>
      <c r="H1154" s="5"/>
      <c r="I1154" s="7" t="s">
        <v>0</v>
      </c>
      <c r="J1154" s="5"/>
      <c r="K1154" s="5"/>
      <c r="L1154" s="5"/>
    </row>
    <row r="1155" spans="1:12" x14ac:dyDescent="0.25">
      <c r="A1155" s="42" t="s">
        <v>379</v>
      </c>
      <c r="B1155" s="6"/>
      <c r="C1155" s="31">
        <f>L1114</f>
        <v>901787</v>
      </c>
      <c r="D1155" s="5"/>
      <c r="E1155" s="5"/>
      <c r="F1155" s="5"/>
      <c r="G1155" s="42">
        <v>45637</v>
      </c>
      <c r="H1155" s="6"/>
      <c r="I1155" s="9"/>
      <c r="J1155" s="5"/>
      <c r="K1155" s="5"/>
      <c r="L1155" s="5"/>
    </row>
    <row r="1156" spans="1:12" ht="16.5" thickBot="1" x14ac:dyDescent="0.3">
      <c r="A1156" s="7"/>
      <c r="B1156" s="62"/>
      <c r="C1156" s="62"/>
      <c r="D1156" s="62"/>
      <c r="E1156" s="5"/>
      <c r="F1156" s="5"/>
      <c r="G1156" s="10"/>
      <c r="H1156" s="5"/>
      <c r="I1156" s="5"/>
      <c r="J1156" s="5"/>
      <c r="K1156" s="5"/>
      <c r="L1156" s="5"/>
    </row>
    <row r="1157" spans="1:12" ht="15.75" thickBot="1" x14ac:dyDescent="0.3">
      <c r="A1157" s="121" t="s">
        <v>9</v>
      </c>
      <c r="B1157" s="122"/>
      <c r="C1157" s="123"/>
      <c r="D1157" s="5"/>
      <c r="E1157" s="5"/>
      <c r="F1157" s="5"/>
      <c r="G1157" s="121" t="s">
        <v>26</v>
      </c>
      <c r="H1157" s="122"/>
      <c r="I1157" s="123"/>
      <c r="J1157" s="5"/>
      <c r="K1157" s="5"/>
      <c r="L1157" s="5"/>
    </row>
    <row r="1158" spans="1:12" x14ac:dyDescent="0.25">
      <c r="A1158" s="30" t="s">
        <v>38</v>
      </c>
      <c r="B1158" s="11"/>
      <c r="C1158" s="11"/>
      <c r="D1158" s="11"/>
      <c r="E1158" s="6"/>
      <c r="F1158" s="5"/>
      <c r="G1158" s="30"/>
      <c r="H1158" s="11"/>
      <c r="I1158" s="11"/>
      <c r="J1158" s="11"/>
      <c r="K1158" s="11"/>
      <c r="L1158" s="6"/>
    </row>
    <row r="1159" spans="1:12" ht="15.75" thickBot="1" x14ac:dyDescent="0.3">
      <c r="A1159" s="7"/>
      <c r="B1159" s="7"/>
      <c r="C1159" s="7"/>
      <c r="D1159" s="5"/>
      <c r="E1159" s="5"/>
      <c r="F1159" s="5"/>
      <c r="G1159" s="7" t="str">
        <f>A1161</f>
        <v>Cape Town</v>
      </c>
      <c r="H1159" s="7"/>
      <c r="I1159" s="7"/>
      <c r="J1159" s="5"/>
      <c r="K1159" s="5"/>
      <c r="L1159" s="5"/>
    </row>
    <row r="1160" spans="1:12" ht="15.75" thickBot="1" x14ac:dyDescent="0.3">
      <c r="A1160" s="121"/>
      <c r="B1160" s="122"/>
      <c r="C1160" s="124"/>
      <c r="D1160" s="12" t="s">
        <v>1</v>
      </c>
      <c r="E1160" s="32"/>
      <c r="F1160" s="5"/>
      <c r="G1160" s="121" t="s">
        <v>27</v>
      </c>
      <c r="H1160" s="122"/>
      <c r="I1160" s="123"/>
      <c r="J1160" s="5"/>
      <c r="K1160" s="12" t="s">
        <v>1</v>
      </c>
      <c r="L1160" s="32">
        <v>904002</v>
      </c>
    </row>
    <row r="1161" spans="1:12" x14ac:dyDescent="0.25">
      <c r="A1161" s="30" t="s">
        <v>65</v>
      </c>
      <c r="B1161" s="11"/>
      <c r="C1161" s="11"/>
      <c r="D1161" s="11"/>
      <c r="E1161" s="6"/>
      <c r="F1161" s="5"/>
      <c r="G1161" s="30" t="s">
        <v>364</v>
      </c>
      <c r="H1161" s="11"/>
      <c r="I1161" s="11"/>
      <c r="J1161" s="11"/>
      <c r="K1161" s="11"/>
      <c r="L1161" s="6"/>
    </row>
    <row r="1162" spans="1:12" x14ac:dyDescent="0.25">
      <c r="A1162" s="76"/>
      <c r="B1162" s="11"/>
      <c r="C1162" s="11"/>
      <c r="D1162" s="11"/>
      <c r="E1162" s="6"/>
      <c r="F1162" s="5"/>
      <c r="G1162" s="34"/>
      <c r="H1162" s="11"/>
      <c r="I1162" s="11"/>
      <c r="J1162" s="11"/>
      <c r="K1162" s="11"/>
      <c r="L1162" s="6"/>
    </row>
    <row r="1163" spans="1:12" x14ac:dyDescent="0.25">
      <c r="A1163" s="13"/>
      <c r="B1163" s="11"/>
      <c r="C1163" s="11"/>
      <c r="D1163" s="11"/>
      <c r="E1163" s="6"/>
      <c r="F1163" s="5"/>
      <c r="G1163" s="13"/>
      <c r="H1163" s="11"/>
      <c r="I1163" s="11"/>
      <c r="J1163" s="11"/>
      <c r="K1163" s="11"/>
      <c r="L1163" s="6"/>
    </row>
    <row r="1164" spans="1:12" x14ac:dyDescent="0.25">
      <c r="A1164" s="13"/>
      <c r="B1164" s="11"/>
      <c r="C1164" s="11"/>
      <c r="D1164" s="11"/>
      <c r="E1164" s="6"/>
      <c r="F1164" s="5"/>
      <c r="G1164" s="13"/>
      <c r="H1164" s="11"/>
      <c r="I1164" s="11"/>
      <c r="J1164" s="11"/>
      <c r="K1164" s="11"/>
      <c r="L1164" s="6"/>
    </row>
    <row r="1165" spans="1:12" ht="15.75" thickBot="1" x14ac:dyDescent="0.3">
      <c r="A1165" s="13"/>
      <c r="B1165" s="11"/>
      <c r="C1165" s="11" t="s">
        <v>29</v>
      </c>
      <c r="D1165" s="43"/>
      <c r="E1165" s="6"/>
      <c r="F1165" s="5"/>
      <c r="G1165" s="13"/>
      <c r="H1165" s="11"/>
      <c r="I1165" s="14" t="s">
        <v>28</v>
      </c>
      <c r="J1165" s="43"/>
      <c r="K1165" s="59"/>
      <c r="L1165" s="6"/>
    </row>
    <row r="1166" spans="1:12" ht="15.75" thickBot="1" x14ac:dyDescent="0.3">
      <c r="A1166" s="15" t="s">
        <v>10</v>
      </c>
      <c r="B1166" s="5"/>
      <c r="C1166" s="5"/>
      <c r="D1166" s="5"/>
      <c r="E1166" s="5"/>
      <c r="F1166" s="5"/>
      <c r="G1166" s="15" t="s">
        <v>14</v>
      </c>
      <c r="H1166" s="5"/>
      <c r="I1166" s="5"/>
      <c r="J1166" s="5"/>
      <c r="K1166" s="5"/>
      <c r="L1166" s="5"/>
    </row>
    <row r="1167" spans="1:12" ht="15.75" thickBot="1" x14ac:dyDescent="0.3">
      <c r="A1167" s="121" t="s">
        <v>11</v>
      </c>
      <c r="B1167" s="122"/>
      <c r="C1167" s="123"/>
      <c r="D1167" s="16" t="s">
        <v>12</v>
      </c>
      <c r="E1167" s="16" t="s">
        <v>13</v>
      </c>
      <c r="F1167" s="5"/>
      <c r="G1167" s="121" t="s">
        <v>15</v>
      </c>
      <c r="H1167" s="122"/>
      <c r="I1167" s="123"/>
      <c r="J1167" s="121"/>
      <c r="K1167" s="123"/>
      <c r="L1167" s="5"/>
    </row>
    <row r="1168" spans="1:12" x14ac:dyDescent="0.25">
      <c r="A1168" s="45" t="s">
        <v>380</v>
      </c>
      <c r="B1168" s="46" t="s">
        <v>66</v>
      </c>
      <c r="C1168" s="47"/>
      <c r="D1168" s="56">
        <v>272.83999999999997</v>
      </c>
      <c r="E1168" s="57">
        <v>5680.55</v>
      </c>
      <c r="F1168" s="44">
        <f>E1168/D1168</f>
        <v>20.820077701216832</v>
      </c>
      <c r="G1168" s="125" t="s">
        <v>69</v>
      </c>
      <c r="H1168" s="126"/>
      <c r="I1168" s="127"/>
      <c r="J1168" s="128">
        <v>0</v>
      </c>
      <c r="K1168" s="129"/>
      <c r="L1168" s="5"/>
    </row>
    <row r="1169" spans="1:12" x14ac:dyDescent="0.25">
      <c r="A1169" s="94" t="s">
        <v>381</v>
      </c>
      <c r="B1169" s="46" t="s">
        <v>66</v>
      </c>
      <c r="C1169" s="47"/>
      <c r="D1169" s="56">
        <v>692.28</v>
      </c>
      <c r="E1169" s="57">
        <v>14413.25</v>
      </c>
      <c r="F1169" s="44">
        <f>E1169/D1169</f>
        <v>20.8199716877564</v>
      </c>
      <c r="G1169" s="110" t="s">
        <v>59</v>
      </c>
      <c r="H1169" s="111"/>
      <c r="I1169" s="112"/>
      <c r="J1169" s="113"/>
      <c r="K1169" s="114"/>
      <c r="L1169" s="5"/>
    </row>
    <row r="1170" spans="1:12" x14ac:dyDescent="0.25">
      <c r="A1170" s="94"/>
      <c r="B1170" s="98"/>
      <c r="C1170" s="47"/>
      <c r="D1170" s="56"/>
      <c r="E1170" s="57"/>
      <c r="F1170" s="44" t="e">
        <f>E1170/D1170</f>
        <v>#DIV/0!</v>
      </c>
      <c r="G1170" s="110" t="s">
        <v>61</v>
      </c>
      <c r="H1170" s="111"/>
      <c r="I1170" s="112"/>
      <c r="J1170" s="113"/>
      <c r="K1170" s="114"/>
      <c r="L1170" s="5"/>
    </row>
    <row r="1171" spans="1:12" x14ac:dyDescent="0.25">
      <c r="A1171" s="94"/>
      <c r="B1171" s="46"/>
      <c r="C1171" s="47"/>
      <c r="D1171" s="56"/>
      <c r="E1171" s="57"/>
      <c r="F1171" s="44"/>
      <c r="G1171" s="110" t="s">
        <v>51</v>
      </c>
      <c r="H1171" s="111"/>
      <c r="I1171" s="112"/>
      <c r="J1171" s="113"/>
      <c r="K1171" s="114"/>
      <c r="L1171" s="5"/>
    </row>
    <row r="1172" spans="1:12" x14ac:dyDescent="0.25">
      <c r="A1172" s="48"/>
      <c r="B1172" s="46"/>
      <c r="C1172" s="39"/>
      <c r="D1172" s="52"/>
      <c r="E1172" s="53"/>
      <c r="F1172" s="44"/>
      <c r="G1172" s="110" t="s">
        <v>58</v>
      </c>
      <c r="H1172" s="111"/>
      <c r="I1172" s="112"/>
      <c r="J1172" s="113"/>
      <c r="K1172" s="114"/>
      <c r="L1172" s="5"/>
    </row>
    <row r="1173" spans="1:12" x14ac:dyDescent="0.25">
      <c r="A1173" s="48"/>
      <c r="B1173" s="35"/>
      <c r="C1173" s="39"/>
      <c r="D1173" s="52"/>
      <c r="E1173" s="53"/>
      <c r="F1173" s="44"/>
      <c r="G1173" s="110" t="s">
        <v>51</v>
      </c>
      <c r="H1173" s="111"/>
      <c r="I1173" s="112"/>
      <c r="J1173" s="113"/>
      <c r="K1173" s="114"/>
      <c r="L1173" s="5"/>
    </row>
    <row r="1174" spans="1:12" x14ac:dyDescent="0.25">
      <c r="A1174" s="48"/>
      <c r="B1174" s="35"/>
      <c r="C1174" s="39"/>
      <c r="D1174" s="52"/>
      <c r="E1174" s="53"/>
      <c r="F1174" s="44"/>
      <c r="G1174" s="77"/>
      <c r="H1174" s="78" t="s">
        <v>69</v>
      </c>
      <c r="I1174" s="79"/>
      <c r="J1174" s="113"/>
      <c r="K1174" s="114"/>
      <c r="L1174" s="5"/>
    </row>
    <row r="1175" spans="1:12" x14ac:dyDescent="0.25">
      <c r="A1175" s="38"/>
      <c r="B1175" s="35"/>
      <c r="C1175" s="39"/>
      <c r="D1175" s="52"/>
      <c r="E1175" s="53"/>
      <c r="F1175" s="44"/>
      <c r="G1175" s="77"/>
      <c r="H1175" s="78" t="s">
        <v>72</v>
      </c>
      <c r="I1175" s="79"/>
      <c r="J1175" s="113"/>
      <c r="K1175" s="114"/>
      <c r="L1175" s="5"/>
    </row>
    <row r="1176" spans="1:12" ht="15.75" thickBot="1" x14ac:dyDescent="0.3">
      <c r="A1176" s="5"/>
      <c r="B1176" s="5"/>
      <c r="C1176" s="7" t="s">
        <v>35</v>
      </c>
      <c r="D1176" s="17">
        <f>SUM(D1168:D1175)</f>
        <v>965.11999999999989</v>
      </c>
      <c r="E1176" s="17">
        <f>SUM(E1168:E1175)</f>
        <v>20093.8</v>
      </c>
      <c r="F1176" s="89" t="e">
        <f>AVERAGE(F1168:F1172)</f>
        <v>#DIV/0!</v>
      </c>
      <c r="G1176" s="110" t="s">
        <v>73</v>
      </c>
      <c r="H1176" s="111"/>
      <c r="I1176" s="112"/>
      <c r="J1176" s="113"/>
      <c r="K1176" s="114"/>
      <c r="L1176" s="7" t="s">
        <v>36</v>
      </c>
    </row>
    <row r="1177" spans="1:12" ht="15.75" thickBot="1" x14ac:dyDescent="0.3">
      <c r="A1177" s="5"/>
      <c r="B1177" s="5"/>
      <c r="C1177" s="5"/>
      <c r="D1177" s="5"/>
      <c r="E1177" s="5"/>
      <c r="F1177" s="5"/>
      <c r="G1177" s="130"/>
      <c r="H1177" s="131"/>
      <c r="I1177" s="132"/>
      <c r="J1177" s="133"/>
      <c r="K1177" s="134"/>
      <c r="L1177" s="18">
        <f>J1168+J1169+J1170+J1171+J1172+J1173+J1174+J1175+J1176</f>
        <v>0</v>
      </c>
    </row>
    <row r="1178" spans="1:12" ht="15.75" thickBot="1" x14ac:dyDescent="0.3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</row>
    <row r="1179" spans="1:12" ht="15.75" thickBot="1" x14ac:dyDescent="0.3">
      <c r="A1179" s="19"/>
      <c r="B1179" s="20"/>
      <c r="C1179" s="20"/>
      <c r="D1179" s="20"/>
      <c r="E1179" s="21" t="s">
        <v>13</v>
      </c>
      <c r="F1179" s="5"/>
      <c r="G1179" s="19"/>
      <c r="H1179" s="20"/>
      <c r="I1179" s="20"/>
      <c r="J1179" s="20"/>
      <c r="K1179" s="21" t="s">
        <v>13</v>
      </c>
      <c r="L1179" s="5"/>
    </row>
    <row r="1180" spans="1:12" x14ac:dyDescent="0.25">
      <c r="A1180" s="22" t="s">
        <v>31</v>
      </c>
      <c r="B1180" s="115">
        <v>18143</v>
      </c>
      <c r="C1180" s="116"/>
      <c r="D1180" s="116"/>
      <c r="E1180" s="117"/>
      <c r="F1180" s="5"/>
      <c r="G1180" s="22" t="s">
        <v>32</v>
      </c>
      <c r="H1180" s="115">
        <v>41306</v>
      </c>
      <c r="I1180" s="116"/>
      <c r="J1180" s="116"/>
      <c r="K1180" s="117"/>
      <c r="L1180" s="5"/>
    </row>
    <row r="1181" spans="1:12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</row>
    <row r="1182" spans="1:12" x14ac:dyDescent="0.25">
      <c r="A1182" s="7" t="s">
        <v>16</v>
      </c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</row>
    <row r="1183" spans="1:12" x14ac:dyDescent="0.25">
      <c r="A1183" s="9" t="s">
        <v>17</v>
      </c>
      <c r="B1183" s="23">
        <f>L1160-C1155</f>
        <v>2215</v>
      </c>
      <c r="C1183" s="5"/>
      <c r="D1183" s="106" t="s">
        <v>18</v>
      </c>
      <c r="E1183" s="107"/>
      <c r="F1183" s="24" t="s">
        <v>19</v>
      </c>
      <c r="G1183" s="9" t="s">
        <v>20</v>
      </c>
      <c r="H1183" s="118">
        <f>B1180+H1180</f>
        <v>59449</v>
      </c>
      <c r="I1183" s="119"/>
      <c r="J1183" s="60"/>
      <c r="K1183" s="5"/>
      <c r="L1183" s="5"/>
    </row>
    <row r="1184" spans="1:12" x14ac:dyDescent="0.25">
      <c r="A1184" s="9" t="s">
        <v>41</v>
      </c>
      <c r="B1184" s="40">
        <f>B1183/D1176</f>
        <v>2.2950513925729448</v>
      </c>
      <c r="C1184" s="5"/>
      <c r="D1184" s="102">
        <f>E1176</f>
        <v>20093.8</v>
      </c>
      <c r="E1184" s="103"/>
      <c r="F1184" s="25">
        <f>H1184/B1183</f>
        <v>10.12316027088036</v>
      </c>
      <c r="G1184" s="9" t="s">
        <v>21</v>
      </c>
      <c r="H1184" s="104">
        <f>L1177+D1184+D1186+D1188+D1190+A1187</f>
        <v>22422.799999999999</v>
      </c>
      <c r="I1184" s="105"/>
      <c r="J1184" s="5"/>
      <c r="K1184" s="5"/>
      <c r="L1184" s="5"/>
    </row>
    <row r="1185" spans="1:12" x14ac:dyDescent="0.25">
      <c r="A1185" s="9" t="s">
        <v>43</v>
      </c>
      <c r="B1185" s="23">
        <f>D1176/B1183*100</f>
        <v>43.572009029345367</v>
      </c>
      <c r="C1185" s="5"/>
      <c r="D1185" s="106" t="s">
        <v>33</v>
      </c>
      <c r="E1185" s="107"/>
      <c r="F1185" s="5"/>
      <c r="G1185" s="13" t="s">
        <v>22</v>
      </c>
      <c r="H1185" s="6"/>
      <c r="I1185" s="26">
        <f>H1183-H1184</f>
        <v>37026.199999999997</v>
      </c>
      <c r="J1185" s="5"/>
      <c r="K1185" s="5"/>
      <c r="L1185" s="5"/>
    </row>
    <row r="1186" spans="1:12" x14ac:dyDescent="0.25">
      <c r="A1186" s="106" t="s">
        <v>40</v>
      </c>
      <c r="B1186" s="107"/>
      <c r="C1186" s="5"/>
      <c r="D1186" s="149">
        <v>1000</v>
      </c>
      <c r="E1186" s="150"/>
      <c r="F1186" s="5"/>
      <c r="G1186" s="5"/>
      <c r="H1186" s="5"/>
      <c r="I1186" s="5"/>
      <c r="J1186" s="5"/>
      <c r="K1186" s="5"/>
      <c r="L1186" s="5"/>
    </row>
    <row r="1187" spans="1:12" x14ac:dyDescent="0.25">
      <c r="A1187" s="108">
        <f>B1183*0.6</f>
        <v>1329</v>
      </c>
      <c r="B1187" s="109"/>
      <c r="C1187" s="5"/>
      <c r="D1187" s="106" t="s">
        <v>34</v>
      </c>
      <c r="E1187" s="107"/>
      <c r="F1187" s="5"/>
      <c r="G1187" s="145" t="s">
        <v>292</v>
      </c>
      <c r="H1187" s="146"/>
      <c r="I1187" s="23">
        <f>B1183/2.3</f>
        <v>963.04347826086962</v>
      </c>
      <c r="J1187" s="60"/>
      <c r="K1187" s="5"/>
      <c r="L1187" s="5"/>
    </row>
    <row r="1188" spans="1:12" x14ac:dyDescent="0.25">
      <c r="A1188" s="5"/>
      <c r="B1188" s="5"/>
      <c r="C1188" s="5"/>
      <c r="D1188" s="108">
        <v>0</v>
      </c>
      <c r="E1188" s="109"/>
      <c r="F1188" s="5"/>
      <c r="G1188" s="145" t="s">
        <v>294</v>
      </c>
      <c r="H1188" s="146"/>
      <c r="I1188" s="23">
        <f>I1187-D1176</f>
        <v>-2.0765217391302713</v>
      </c>
      <c r="J1188" s="5"/>
      <c r="K1188" s="5"/>
      <c r="L1188" s="5"/>
    </row>
    <row r="1189" spans="1:12" x14ac:dyDescent="0.25">
      <c r="A1189" s="5"/>
      <c r="B1189" s="5"/>
      <c r="C1189" s="5"/>
      <c r="D1189" s="106" t="s">
        <v>37</v>
      </c>
      <c r="E1189" s="107"/>
      <c r="F1189" s="5"/>
      <c r="G1189" s="147" t="s">
        <v>295</v>
      </c>
      <c r="H1189" s="148"/>
      <c r="I1189" s="86" t="e">
        <f>I1188*F1176</f>
        <v>#DIV/0!</v>
      </c>
      <c r="J1189" s="87" t="e">
        <f>I1185-I1189</f>
        <v>#DIV/0!</v>
      </c>
      <c r="K1189" s="5"/>
      <c r="L1189" s="5"/>
    </row>
    <row r="1190" spans="1:12" x14ac:dyDescent="0.25">
      <c r="A1190" s="5"/>
      <c r="B1190" s="5"/>
      <c r="C1190" s="5"/>
      <c r="D1190" s="108"/>
      <c r="E1190" s="109"/>
      <c r="F1190" s="5" t="s">
        <v>78</v>
      </c>
      <c r="G1190" s="5"/>
      <c r="H1190" s="5"/>
      <c r="I1190" s="5"/>
      <c r="J1190" s="88" t="s">
        <v>293</v>
      </c>
      <c r="K1190" s="44"/>
      <c r="L1190" s="5"/>
    </row>
    <row r="1193" spans="1:12" s="49" customFormat="1" x14ac:dyDescent="0.25"/>
    <row r="1196" spans="1:12" x14ac:dyDescent="0.25">
      <c r="A1196" s="120" t="s">
        <v>24</v>
      </c>
      <c r="B1196" s="120"/>
      <c r="C1196" s="120"/>
      <c r="D1196" s="120"/>
      <c r="E1196" s="120"/>
      <c r="F1196" s="120"/>
      <c r="G1196" s="120"/>
      <c r="H1196" s="120"/>
      <c r="I1196" s="120"/>
      <c r="J1196" s="120"/>
      <c r="K1196" s="120"/>
      <c r="L1196" s="120"/>
    </row>
    <row r="1197" spans="1:12" x14ac:dyDescent="0.25">
      <c r="A1197" s="120"/>
      <c r="B1197" s="120"/>
      <c r="C1197" s="120"/>
      <c r="D1197" s="120"/>
      <c r="E1197" s="120"/>
      <c r="F1197" s="120"/>
      <c r="G1197" s="120"/>
      <c r="H1197" s="120"/>
      <c r="I1197" s="120"/>
      <c r="J1197" s="120"/>
      <c r="K1197" s="120"/>
      <c r="L1197" s="120"/>
    </row>
    <row r="1198" spans="1:12" x14ac:dyDescent="0.25">
      <c r="A1198" s="1" t="s">
        <v>4</v>
      </c>
      <c r="B1198" s="2"/>
      <c r="C1198" s="90"/>
      <c r="D1198" s="2"/>
      <c r="E1198" s="2"/>
      <c r="F1198" s="2"/>
      <c r="G1198" s="3" t="s">
        <v>5</v>
      </c>
      <c r="H1198" s="3" t="s">
        <v>6</v>
      </c>
      <c r="I1198" s="4" t="s">
        <v>7</v>
      </c>
      <c r="J1198" s="5"/>
      <c r="K1198" s="5"/>
      <c r="L1198" s="5"/>
    </row>
    <row r="1199" spans="1:12" x14ac:dyDescent="0.25">
      <c r="A1199" s="91" t="s">
        <v>359</v>
      </c>
      <c r="B1199" s="92" t="s">
        <v>42</v>
      </c>
      <c r="C1199" s="64"/>
      <c r="D1199" s="66"/>
      <c r="E1199" s="2"/>
      <c r="F1199" s="2"/>
      <c r="G1199" s="91" t="s">
        <v>299</v>
      </c>
      <c r="H1199" s="66"/>
      <c r="I1199" s="33"/>
      <c r="J1199" s="6"/>
      <c r="K1199" s="33"/>
      <c r="L1199" s="6"/>
    </row>
    <row r="1200" spans="1:12" x14ac:dyDescent="0.25">
      <c r="A1200" s="7" t="s">
        <v>2</v>
      </c>
      <c r="B1200" s="5"/>
      <c r="C1200" s="5"/>
      <c r="D1200" s="5"/>
      <c r="E1200" s="5"/>
      <c r="F1200" s="5"/>
      <c r="G1200" s="8" t="s">
        <v>8</v>
      </c>
      <c r="H1200" s="93">
        <v>3</v>
      </c>
      <c r="I1200" s="5"/>
      <c r="J1200" s="5"/>
      <c r="K1200" s="5"/>
      <c r="L1200" s="5"/>
    </row>
    <row r="1201" spans="1:12" x14ac:dyDescent="0.25">
      <c r="A1201" s="7" t="s">
        <v>25</v>
      </c>
      <c r="B1201" s="5"/>
      <c r="C1201" s="7" t="s">
        <v>0</v>
      </c>
      <c r="D1201" s="5"/>
      <c r="E1201" s="5"/>
      <c r="F1201" s="5"/>
      <c r="G1201" s="7" t="s">
        <v>25</v>
      </c>
      <c r="H1201" s="5"/>
      <c r="I1201" s="7" t="s">
        <v>0</v>
      </c>
      <c r="J1201" s="5"/>
      <c r="K1201" s="5"/>
      <c r="L1201" s="5"/>
    </row>
    <row r="1202" spans="1:12" x14ac:dyDescent="0.25">
      <c r="A1202" s="42" t="s">
        <v>382</v>
      </c>
      <c r="B1202" s="6"/>
      <c r="C1202" s="31">
        <f>L1160</f>
        <v>904002</v>
      </c>
      <c r="D1202" s="5"/>
      <c r="E1202" s="5"/>
      <c r="F1202" s="5"/>
      <c r="G1202" s="42">
        <v>45637</v>
      </c>
      <c r="H1202" s="6"/>
      <c r="I1202" s="9"/>
      <c r="J1202" s="5"/>
      <c r="K1202" s="5"/>
      <c r="L1202" s="5"/>
    </row>
    <row r="1203" spans="1:12" ht="16.5" thickBot="1" x14ac:dyDescent="0.3">
      <c r="A1203" s="7"/>
      <c r="B1203" s="62"/>
      <c r="C1203" s="62"/>
      <c r="D1203" s="62"/>
      <c r="E1203" s="5"/>
      <c r="F1203" s="5"/>
      <c r="G1203" s="10"/>
      <c r="H1203" s="5"/>
      <c r="I1203" s="5"/>
      <c r="J1203" s="5"/>
      <c r="K1203" s="5"/>
      <c r="L1203" s="5"/>
    </row>
    <row r="1204" spans="1:12" ht="15.75" thickBot="1" x14ac:dyDescent="0.3">
      <c r="A1204" s="121" t="s">
        <v>9</v>
      </c>
      <c r="B1204" s="122"/>
      <c r="C1204" s="123"/>
      <c r="D1204" s="5"/>
      <c r="E1204" s="5"/>
      <c r="F1204" s="5"/>
      <c r="G1204" s="121" t="s">
        <v>26</v>
      </c>
      <c r="H1204" s="122"/>
      <c r="I1204" s="123"/>
      <c r="J1204" s="5"/>
      <c r="K1204" s="5"/>
      <c r="L1204" s="5"/>
    </row>
    <row r="1205" spans="1:12" x14ac:dyDescent="0.25">
      <c r="A1205" s="30" t="s">
        <v>38</v>
      </c>
      <c r="B1205" s="11"/>
      <c r="C1205" s="11"/>
      <c r="D1205" s="11"/>
      <c r="E1205" s="6"/>
      <c r="F1205" s="5"/>
      <c r="G1205" s="30"/>
      <c r="H1205" s="11"/>
      <c r="I1205" s="11"/>
      <c r="J1205" s="11"/>
      <c r="K1205" s="11"/>
      <c r="L1205" s="6"/>
    </row>
    <row r="1206" spans="1:12" ht="15.75" thickBot="1" x14ac:dyDescent="0.3">
      <c r="A1206" s="7"/>
      <c r="B1206" s="7"/>
      <c r="C1206" s="7"/>
      <c r="D1206" s="5"/>
      <c r="E1206" s="5"/>
      <c r="F1206" s="5"/>
      <c r="G1206" s="7" t="str">
        <f>A1208</f>
        <v>Cape Town</v>
      </c>
      <c r="H1206" s="7"/>
      <c r="I1206" s="7"/>
      <c r="J1206" s="5"/>
      <c r="K1206" s="5"/>
      <c r="L1206" s="5"/>
    </row>
    <row r="1207" spans="1:12" ht="15.75" thickBot="1" x14ac:dyDescent="0.3">
      <c r="A1207" s="121"/>
      <c r="B1207" s="122"/>
      <c r="C1207" s="124"/>
      <c r="D1207" s="12" t="s">
        <v>1</v>
      </c>
      <c r="E1207" s="32"/>
      <c r="F1207" s="5"/>
      <c r="G1207" s="121" t="s">
        <v>27</v>
      </c>
      <c r="H1207" s="122"/>
      <c r="I1207" s="123"/>
      <c r="J1207" s="5"/>
      <c r="K1207" s="12" t="s">
        <v>1</v>
      </c>
      <c r="L1207" s="32">
        <v>907853</v>
      </c>
    </row>
    <row r="1208" spans="1:12" x14ac:dyDescent="0.25">
      <c r="A1208" s="30" t="s">
        <v>65</v>
      </c>
      <c r="B1208" s="11"/>
      <c r="C1208" s="11"/>
      <c r="D1208" s="11"/>
      <c r="E1208" s="6"/>
      <c r="F1208" s="5"/>
      <c r="G1208" s="30" t="s">
        <v>364</v>
      </c>
      <c r="H1208" s="11"/>
      <c r="I1208" s="11"/>
      <c r="J1208" s="11"/>
      <c r="K1208" s="11"/>
      <c r="L1208" s="6"/>
    </row>
    <row r="1209" spans="1:12" x14ac:dyDescent="0.25">
      <c r="A1209" s="76"/>
      <c r="B1209" s="11"/>
      <c r="C1209" s="11"/>
      <c r="D1209" s="11"/>
      <c r="E1209" s="6"/>
      <c r="F1209" s="5"/>
      <c r="G1209" s="34"/>
      <c r="H1209" s="11"/>
      <c r="I1209" s="11"/>
      <c r="J1209" s="11"/>
      <c r="K1209" s="11"/>
      <c r="L1209" s="6"/>
    </row>
    <row r="1210" spans="1:12" x14ac:dyDescent="0.25">
      <c r="A1210" s="13"/>
      <c r="B1210" s="11"/>
      <c r="C1210" s="11"/>
      <c r="D1210" s="11"/>
      <c r="E1210" s="6"/>
      <c r="F1210" s="5"/>
      <c r="G1210" s="13"/>
      <c r="H1210" s="11"/>
      <c r="I1210" s="11"/>
      <c r="J1210" s="11"/>
      <c r="K1210" s="11"/>
      <c r="L1210" s="6"/>
    </row>
    <row r="1211" spans="1:12" x14ac:dyDescent="0.25">
      <c r="A1211" s="13"/>
      <c r="B1211" s="11"/>
      <c r="C1211" s="11"/>
      <c r="D1211" s="11"/>
      <c r="E1211" s="6"/>
      <c r="F1211" s="5"/>
      <c r="G1211" s="13"/>
      <c r="H1211" s="11"/>
      <c r="I1211" s="11"/>
      <c r="J1211" s="11"/>
      <c r="K1211" s="11"/>
      <c r="L1211" s="6"/>
    </row>
    <row r="1212" spans="1:12" ht="15.75" thickBot="1" x14ac:dyDescent="0.3">
      <c r="A1212" s="13"/>
      <c r="B1212" s="11"/>
      <c r="C1212" s="11" t="s">
        <v>29</v>
      </c>
      <c r="D1212" s="43"/>
      <c r="E1212" s="6"/>
      <c r="F1212" s="5"/>
      <c r="G1212" s="13"/>
      <c r="H1212" s="11"/>
      <c r="I1212" s="14" t="s">
        <v>28</v>
      </c>
      <c r="J1212" s="43"/>
      <c r="K1212" s="59"/>
      <c r="L1212" s="6"/>
    </row>
    <row r="1213" spans="1:12" ht="15.75" thickBot="1" x14ac:dyDescent="0.3">
      <c r="A1213" s="15" t="s">
        <v>10</v>
      </c>
      <c r="B1213" s="5"/>
      <c r="C1213" s="5"/>
      <c r="D1213" s="5"/>
      <c r="E1213" s="5"/>
      <c r="F1213" s="5"/>
      <c r="G1213" s="15" t="s">
        <v>14</v>
      </c>
      <c r="H1213" s="5"/>
      <c r="I1213" s="5"/>
      <c r="J1213" s="5"/>
      <c r="K1213" s="5"/>
      <c r="L1213" s="5"/>
    </row>
    <row r="1214" spans="1:12" ht="15.75" thickBot="1" x14ac:dyDescent="0.3">
      <c r="A1214" s="121" t="s">
        <v>11</v>
      </c>
      <c r="B1214" s="122"/>
      <c r="C1214" s="123"/>
      <c r="D1214" s="16" t="s">
        <v>12</v>
      </c>
      <c r="E1214" s="16" t="s">
        <v>13</v>
      </c>
      <c r="F1214" s="5"/>
      <c r="G1214" s="121" t="s">
        <v>15</v>
      </c>
      <c r="H1214" s="122"/>
      <c r="I1214" s="123"/>
      <c r="J1214" s="121"/>
      <c r="K1214" s="123"/>
      <c r="L1214" s="5"/>
    </row>
    <row r="1215" spans="1:12" x14ac:dyDescent="0.25">
      <c r="A1215" s="45" t="s">
        <v>383</v>
      </c>
      <c r="B1215" s="46" t="s">
        <v>66</v>
      </c>
      <c r="C1215" s="47"/>
      <c r="D1215" s="56">
        <v>782.93899999999996</v>
      </c>
      <c r="E1215" s="57">
        <v>16300.8</v>
      </c>
      <c r="F1215" s="44">
        <f>E1215/D1215</f>
        <v>20.820012797931895</v>
      </c>
      <c r="G1215" s="125" t="s">
        <v>69</v>
      </c>
      <c r="H1215" s="126"/>
      <c r="I1215" s="127"/>
      <c r="J1215" s="128">
        <v>0</v>
      </c>
      <c r="K1215" s="129"/>
      <c r="L1215" s="5"/>
    </row>
    <row r="1216" spans="1:12" x14ac:dyDescent="0.25">
      <c r="A1216" s="94" t="s">
        <v>384</v>
      </c>
      <c r="B1216" s="46" t="s">
        <v>305</v>
      </c>
      <c r="C1216" s="47"/>
      <c r="D1216" s="56">
        <v>200</v>
      </c>
      <c r="E1216" s="57">
        <v>4128</v>
      </c>
      <c r="F1216" s="44">
        <f>E1216/D1216</f>
        <v>20.64</v>
      </c>
      <c r="G1216" s="110" t="s">
        <v>59</v>
      </c>
      <c r="H1216" s="111"/>
      <c r="I1216" s="112"/>
      <c r="J1216" s="113"/>
      <c r="K1216" s="114"/>
      <c r="L1216" s="5"/>
    </row>
    <row r="1217" spans="1:12" x14ac:dyDescent="0.25">
      <c r="A1217" s="94" t="s">
        <v>384</v>
      </c>
      <c r="B1217" s="46" t="s">
        <v>66</v>
      </c>
      <c r="C1217" s="47"/>
      <c r="D1217" s="56">
        <v>593.70000000000005</v>
      </c>
      <c r="E1217" s="57">
        <v>12360.8</v>
      </c>
      <c r="F1217" s="44">
        <f>E1217/D1217</f>
        <v>20.819942732019534</v>
      </c>
      <c r="G1217" s="110" t="s">
        <v>61</v>
      </c>
      <c r="H1217" s="111"/>
      <c r="I1217" s="112"/>
      <c r="J1217" s="113"/>
      <c r="K1217" s="114"/>
      <c r="L1217" s="5"/>
    </row>
    <row r="1218" spans="1:12" x14ac:dyDescent="0.25">
      <c r="A1218" s="94" t="s">
        <v>385</v>
      </c>
      <c r="B1218" s="46" t="s">
        <v>47</v>
      </c>
      <c r="C1218" s="47"/>
      <c r="D1218" s="56">
        <v>391.3</v>
      </c>
      <c r="E1218" s="57">
        <v>7908.17</v>
      </c>
      <c r="F1218" s="44">
        <f>E1218/D1218</f>
        <v>20.209992333248145</v>
      </c>
      <c r="G1218" s="110" t="s">
        <v>51</v>
      </c>
      <c r="H1218" s="111"/>
      <c r="I1218" s="112"/>
      <c r="J1218" s="113"/>
      <c r="K1218" s="114"/>
      <c r="L1218" s="5"/>
    </row>
    <row r="1219" spans="1:12" x14ac:dyDescent="0.25">
      <c r="A1219" s="48"/>
      <c r="B1219" s="46"/>
      <c r="C1219" s="39"/>
      <c r="D1219" s="52"/>
      <c r="E1219" s="53"/>
      <c r="F1219" s="44"/>
      <c r="G1219" s="110" t="s">
        <v>58</v>
      </c>
      <c r="H1219" s="111"/>
      <c r="I1219" s="112"/>
      <c r="J1219" s="113"/>
      <c r="K1219" s="114"/>
      <c r="L1219" s="5"/>
    </row>
    <row r="1220" spans="1:12" x14ac:dyDescent="0.25">
      <c r="A1220" s="48"/>
      <c r="B1220" s="35"/>
      <c r="C1220" s="39"/>
      <c r="D1220" s="52"/>
      <c r="E1220" s="53"/>
      <c r="F1220" s="44"/>
      <c r="G1220" s="110" t="s">
        <v>51</v>
      </c>
      <c r="H1220" s="111"/>
      <c r="I1220" s="112"/>
      <c r="J1220" s="113"/>
      <c r="K1220" s="114"/>
      <c r="L1220" s="5"/>
    </row>
    <row r="1221" spans="1:12" x14ac:dyDescent="0.25">
      <c r="A1221" s="48"/>
      <c r="B1221" s="35"/>
      <c r="C1221" s="39"/>
      <c r="D1221" s="52"/>
      <c r="E1221" s="53"/>
      <c r="F1221" s="44"/>
      <c r="G1221" s="77"/>
      <c r="H1221" s="78" t="s">
        <v>69</v>
      </c>
      <c r="I1221" s="79"/>
      <c r="J1221" s="113"/>
      <c r="K1221" s="114"/>
      <c r="L1221" s="5"/>
    </row>
    <row r="1222" spans="1:12" x14ac:dyDescent="0.25">
      <c r="A1222" s="38"/>
      <c r="B1222" s="35"/>
      <c r="C1222" s="39"/>
      <c r="D1222" s="52"/>
      <c r="E1222" s="53"/>
      <c r="F1222" s="44"/>
      <c r="G1222" s="77"/>
      <c r="H1222" s="78" t="s">
        <v>72</v>
      </c>
      <c r="I1222" s="79"/>
      <c r="J1222" s="113"/>
      <c r="K1222" s="114"/>
      <c r="L1222" s="5"/>
    </row>
    <row r="1223" spans="1:12" ht="15.75" thickBot="1" x14ac:dyDescent="0.3">
      <c r="A1223" s="5"/>
      <c r="B1223" s="5"/>
      <c r="C1223" s="7" t="s">
        <v>35</v>
      </c>
      <c r="D1223" s="17">
        <f>SUM(D1215:D1222)</f>
        <v>1967.9390000000001</v>
      </c>
      <c r="E1223" s="17">
        <f>SUM(E1215:E1222)</f>
        <v>40697.769999999997</v>
      </c>
      <c r="F1223" s="89">
        <f>AVERAGE(F1215:F1219)</f>
        <v>20.622486965799894</v>
      </c>
      <c r="G1223" s="110" t="s">
        <v>73</v>
      </c>
      <c r="H1223" s="111"/>
      <c r="I1223" s="112"/>
      <c r="J1223" s="113"/>
      <c r="K1223" s="114"/>
      <c r="L1223" s="7" t="s">
        <v>36</v>
      </c>
    </row>
    <row r="1224" spans="1:12" ht="15.75" thickBot="1" x14ac:dyDescent="0.3">
      <c r="A1224" s="5"/>
      <c r="B1224" s="5"/>
      <c r="C1224" s="5"/>
      <c r="D1224" s="5"/>
      <c r="E1224" s="5"/>
      <c r="F1224" s="5"/>
      <c r="G1224" s="130"/>
      <c r="H1224" s="131"/>
      <c r="I1224" s="132"/>
      <c r="J1224" s="133"/>
      <c r="K1224" s="134"/>
      <c r="L1224" s="18">
        <f>J1215+J1216+J1217+J1218+J1219+J1220+J1221+J1222+J1223</f>
        <v>0</v>
      </c>
    </row>
    <row r="1225" spans="1:12" ht="15.75" thickBot="1" x14ac:dyDescent="0.3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</row>
    <row r="1226" spans="1:12" ht="15.75" thickBot="1" x14ac:dyDescent="0.3">
      <c r="A1226" s="19"/>
      <c r="B1226" s="20"/>
      <c r="C1226" s="20"/>
      <c r="D1226" s="20"/>
      <c r="E1226" s="21" t="s">
        <v>13</v>
      </c>
      <c r="F1226" s="5"/>
      <c r="G1226" s="19"/>
      <c r="H1226" s="20"/>
      <c r="I1226" s="20"/>
      <c r="J1226" s="20"/>
      <c r="K1226" s="21" t="s">
        <v>13</v>
      </c>
      <c r="L1226" s="5"/>
    </row>
    <row r="1227" spans="1:12" x14ac:dyDescent="0.25">
      <c r="A1227" s="22" t="s">
        <v>31</v>
      </c>
      <c r="B1227" s="115">
        <v>18143</v>
      </c>
      <c r="C1227" s="116"/>
      <c r="D1227" s="116"/>
      <c r="E1227" s="117"/>
      <c r="F1227" s="5"/>
      <c r="G1227" s="22" t="s">
        <v>32</v>
      </c>
      <c r="H1227" s="115">
        <v>41306</v>
      </c>
      <c r="I1227" s="116"/>
      <c r="J1227" s="116"/>
      <c r="K1227" s="117"/>
      <c r="L1227" s="5"/>
    </row>
    <row r="1228" spans="1:12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</row>
    <row r="1229" spans="1:12" x14ac:dyDescent="0.25">
      <c r="A1229" s="7" t="s">
        <v>16</v>
      </c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</row>
    <row r="1230" spans="1:12" x14ac:dyDescent="0.25">
      <c r="A1230" s="9" t="s">
        <v>17</v>
      </c>
      <c r="B1230" s="23">
        <f>L1207-C1202</f>
        <v>3851</v>
      </c>
      <c r="C1230" s="5"/>
      <c r="D1230" s="106" t="s">
        <v>18</v>
      </c>
      <c r="E1230" s="107"/>
      <c r="F1230" s="24" t="s">
        <v>19</v>
      </c>
      <c r="G1230" s="9" t="s">
        <v>20</v>
      </c>
      <c r="H1230" s="118">
        <f>B1227+H1227</f>
        <v>59449</v>
      </c>
      <c r="I1230" s="119"/>
      <c r="J1230" s="60"/>
      <c r="K1230" s="5"/>
      <c r="L1230" s="5"/>
    </row>
    <row r="1231" spans="1:12" x14ac:dyDescent="0.25">
      <c r="A1231" s="9" t="s">
        <v>41</v>
      </c>
      <c r="B1231" s="40">
        <f>B1230/D1223</f>
        <v>1.9568695980922173</v>
      </c>
      <c r="C1231" s="5"/>
      <c r="D1231" s="102">
        <f>E1223</f>
        <v>40697.769999999997</v>
      </c>
      <c r="E1231" s="103"/>
      <c r="F1231" s="25">
        <f>H1231/B1230</f>
        <v>11.427777200727082</v>
      </c>
      <c r="G1231" s="9" t="s">
        <v>21</v>
      </c>
      <c r="H1231" s="104">
        <f>L1224+D1231+D1233+D1235+D1237+A1234</f>
        <v>44008.369999999995</v>
      </c>
      <c r="I1231" s="105"/>
      <c r="J1231" s="5"/>
      <c r="K1231" s="5"/>
      <c r="L1231" s="5"/>
    </row>
    <row r="1232" spans="1:12" x14ac:dyDescent="0.25">
      <c r="A1232" s="9" t="s">
        <v>43</v>
      </c>
      <c r="B1232" s="23">
        <f>D1223/B1230*100</f>
        <v>51.102025447935603</v>
      </c>
      <c r="C1232" s="5"/>
      <c r="D1232" s="106" t="s">
        <v>33</v>
      </c>
      <c r="E1232" s="107"/>
      <c r="F1232" s="5"/>
      <c r="G1232" s="13" t="s">
        <v>22</v>
      </c>
      <c r="H1232" s="6"/>
      <c r="I1232" s="26">
        <f>H1230-H1231</f>
        <v>15440.630000000005</v>
      </c>
      <c r="J1232" s="5"/>
      <c r="K1232" s="5"/>
      <c r="L1232" s="5"/>
    </row>
    <row r="1233" spans="1:12" x14ac:dyDescent="0.25">
      <c r="A1233" s="106" t="s">
        <v>40</v>
      </c>
      <c r="B1233" s="107"/>
      <c r="C1233" s="5"/>
      <c r="D1233" s="149">
        <v>1000</v>
      </c>
      <c r="E1233" s="150"/>
      <c r="F1233" s="5"/>
      <c r="G1233" s="5"/>
      <c r="H1233" s="5"/>
      <c r="I1233" s="5"/>
      <c r="J1233" s="5"/>
      <c r="K1233" s="5"/>
      <c r="L1233" s="5"/>
    </row>
    <row r="1234" spans="1:12" x14ac:dyDescent="0.25">
      <c r="A1234" s="108">
        <f>B1230*0.6</f>
        <v>2310.6</v>
      </c>
      <c r="B1234" s="109"/>
      <c r="C1234" s="5"/>
      <c r="D1234" s="106" t="s">
        <v>34</v>
      </c>
      <c r="E1234" s="107"/>
      <c r="F1234" s="5"/>
      <c r="G1234" s="145" t="s">
        <v>292</v>
      </c>
      <c r="H1234" s="146"/>
      <c r="I1234" s="23">
        <f>B1230/2.3</f>
        <v>1674.3478260869567</v>
      </c>
      <c r="J1234" s="60"/>
      <c r="K1234" s="5"/>
      <c r="L1234" s="5"/>
    </row>
    <row r="1235" spans="1:12" x14ac:dyDescent="0.25">
      <c r="A1235" s="5"/>
      <c r="B1235" s="5"/>
      <c r="C1235" s="5"/>
      <c r="D1235" s="108">
        <v>0</v>
      </c>
      <c r="E1235" s="109"/>
      <c r="F1235" s="5"/>
      <c r="G1235" s="145" t="s">
        <v>294</v>
      </c>
      <c r="H1235" s="146"/>
      <c r="I1235" s="23">
        <f>I1234-D1223</f>
        <v>-293.59117391304335</v>
      </c>
      <c r="J1235" s="5"/>
      <c r="K1235" s="5"/>
      <c r="L1235" s="5"/>
    </row>
    <row r="1236" spans="1:12" x14ac:dyDescent="0.25">
      <c r="A1236" s="5"/>
      <c r="B1236" s="5"/>
      <c r="C1236" s="5"/>
      <c r="D1236" s="106" t="s">
        <v>37</v>
      </c>
      <c r="E1236" s="107"/>
      <c r="F1236" s="5"/>
      <c r="G1236" s="147" t="s">
        <v>295</v>
      </c>
      <c r="H1236" s="148"/>
      <c r="I1236" s="86">
        <f>I1235*F1223</f>
        <v>-6054.5801572956261</v>
      </c>
      <c r="J1236" s="87">
        <f>I1232-I1236</f>
        <v>21495.210157295631</v>
      </c>
      <c r="K1236" s="5"/>
      <c r="L1236" s="5"/>
    </row>
    <row r="1237" spans="1:12" x14ac:dyDescent="0.25">
      <c r="A1237" s="5"/>
      <c r="B1237" s="5"/>
      <c r="C1237" s="5"/>
      <c r="D1237" s="108"/>
      <c r="E1237" s="109"/>
      <c r="F1237" s="5" t="s">
        <v>78</v>
      </c>
      <c r="G1237" s="5"/>
      <c r="H1237" s="5"/>
      <c r="I1237" s="5"/>
      <c r="J1237" s="88" t="s">
        <v>293</v>
      </c>
      <c r="K1237" s="44"/>
      <c r="L1237" s="5"/>
    </row>
    <row r="1239" spans="1:12" s="49" customFormat="1" x14ac:dyDescent="0.25"/>
    <row r="1242" spans="1:12" x14ac:dyDescent="0.25">
      <c r="A1242" s="120" t="s">
        <v>24</v>
      </c>
      <c r="B1242" s="120"/>
      <c r="C1242" s="120"/>
      <c r="D1242" s="120"/>
      <c r="E1242" s="120"/>
      <c r="F1242" s="120"/>
      <c r="G1242" s="120"/>
      <c r="H1242" s="120"/>
      <c r="I1242" s="120"/>
      <c r="J1242" s="120"/>
      <c r="K1242" s="120"/>
      <c r="L1242" s="120"/>
    </row>
    <row r="1243" spans="1:12" x14ac:dyDescent="0.25">
      <c r="A1243" s="120"/>
      <c r="B1243" s="120"/>
      <c r="C1243" s="120"/>
      <c r="D1243" s="120"/>
      <c r="E1243" s="120"/>
      <c r="F1243" s="120"/>
      <c r="G1243" s="120"/>
      <c r="H1243" s="120"/>
      <c r="I1243" s="120"/>
      <c r="J1243" s="120"/>
      <c r="K1243" s="120"/>
      <c r="L1243" s="120"/>
    </row>
    <row r="1244" spans="1:12" x14ac:dyDescent="0.25">
      <c r="A1244" s="1" t="s">
        <v>4</v>
      </c>
      <c r="B1244" s="2"/>
      <c r="C1244" s="90"/>
      <c r="D1244" s="2"/>
      <c r="E1244" s="2"/>
      <c r="F1244" s="2"/>
      <c r="G1244" s="3" t="s">
        <v>5</v>
      </c>
      <c r="H1244" s="3" t="s">
        <v>6</v>
      </c>
      <c r="I1244" s="4" t="s">
        <v>7</v>
      </c>
      <c r="J1244" s="5"/>
      <c r="K1244" s="5"/>
      <c r="L1244" s="5"/>
    </row>
    <row r="1245" spans="1:12" x14ac:dyDescent="0.25">
      <c r="A1245" s="91" t="s">
        <v>359</v>
      </c>
      <c r="B1245" s="92" t="s">
        <v>42</v>
      </c>
      <c r="C1245" s="64"/>
      <c r="D1245" s="66"/>
      <c r="E1245" s="2"/>
      <c r="F1245" s="2"/>
      <c r="G1245" s="91" t="s">
        <v>299</v>
      </c>
      <c r="H1245" s="66"/>
      <c r="I1245" s="33"/>
      <c r="J1245" s="6"/>
      <c r="K1245" s="33"/>
      <c r="L1245" s="6"/>
    </row>
    <row r="1246" spans="1:12" x14ac:dyDescent="0.25">
      <c r="A1246" s="7" t="s">
        <v>2</v>
      </c>
      <c r="B1246" s="5"/>
      <c r="C1246" s="5"/>
      <c r="D1246" s="5"/>
      <c r="E1246" s="5"/>
      <c r="F1246" s="5"/>
      <c r="G1246" s="8" t="s">
        <v>8</v>
      </c>
      <c r="H1246" s="93">
        <v>3</v>
      </c>
      <c r="I1246" s="5"/>
      <c r="J1246" s="5"/>
      <c r="K1246" s="5"/>
      <c r="L1246" s="5"/>
    </row>
    <row r="1247" spans="1:12" x14ac:dyDescent="0.25">
      <c r="A1247" s="7" t="s">
        <v>25</v>
      </c>
      <c r="B1247" s="5"/>
      <c r="C1247" s="7" t="s">
        <v>0</v>
      </c>
      <c r="D1247" s="5"/>
      <c r="E1247" s="5"/>
      <c r="F1247" s="5"/>
      <c r="G1247" s="7" t="s">
        <v>25</v>
      </c>
      <c r="H1247" s="5"/>
      <c r="I1247" s="7" t="s">
        <v>0</v>
      </c>
      <c r="J1247" s="5"/>
      <c r="K1247" s="5"/>
      <c r="L1247" s="5"/>
    </row>
    <row r="1248" spans="1:12" x14ac:dyDescent="0.25">
      <c r="A1248" s="42" t="s">
        <v>385</v>
      </c>
      <c r="B1248" s="6"/>
      <c r="C1248" s="31">
        <f>L1207</f>
        <v>907853</v>
      </c>
      <c r="D1248" s="5"/>
      <c r="E1248" s="5"/>
      <c r="F1248" s="5"/>
      <c r="G1248" s="42" t="s">
        <v>386</v>
      </c>
      <c r="H1248" s="6"/>
      <c r="I1248" s="9"/>
      <c r="J1248" s="5"/>
      <c r="K1248" s="5"/>
      <c r="L1248" s="5"/>
    </row>
    <row r="1249" spans="1:12" ht="16.5" thickBot="1" x14ac:dyDescent="0.3">
      <c r="A1249" s="7"/>
      <c r="B1249" s="62"/>
      <c r="C1249" s="62"/>
      <c r="D1249" s="62"/>
      <c r="E1249" s="5"/>
      <c r="F1249" s="5"/>
      <c r="G1249" s="10"/>
      <c r="H1249" s="5"/>
      <c r="I1249" s="5"/>
      <c r="J1249" s="5"/>
      <c r="K1249" s="5"/>
      <c r="L1249" s="5"/>
    </row>
    <row r="1250" spans="1:12" ht="15.75" thickBot="1" x14ac:dyDescent="0.3">
      <c r="A1250" s="121" t="s">
        <v>9</v>
      </c>
      <c r="B1250" s="122"/>
      <c r="C1250" s="123"/>
      <c r="D1250" s="5"/>
      <c r="E1250" s="5"/>
      <c r="F1250" s="5"/>
      <c r="G1250" s="121" t="s">
        <v>26</v>
      </c>
      <c r="H1250" s="122"/>
      <c r="I1250" s="123"/>
      <c r="J1250" s="5"/>
      <c r="K1250" s="5"/>
      <c r="L1250" s="5"/>
    </row>
    <row r="1251" spans="1:12" x14ac:dyDescent="0.25">
      <c r="A1251" s="30" t="s">
        <v>38</v>
      </c>
      <c r="B1251" s="11"/>
      <c r="C1251" s="11"/>
      <c r="D1251" s="11"/>
      <c r="E1251" s="6"/>
      <c r="F1251" s="5"/>
      <c r="G1251" s="30"/>
      <c r="H1251" s="11"/>
      <c r="I1251" s="11"/>
      <c r="J1251" s="11"/>
      <c r="K1251" s="11"/>
      <c r="L1251" s="6"/>
    </row>
    <row r="1252" spans="1:12" ht="15.75" thickBot="1" x14ac:dyDescent="0.3">
      <c r="A1252" s="7"/>
      <c r="B1252" s="7"/>
      <c r="C1252" s="7"/>
      <c r="D1252" s="5"/>
      <c r="E1252" s="5"/>
      <c r="F1252" s="5"/>
      <c r="G1252" s="7" t="str">
        <f>A1254</f>
        <v>Cape Town</v>
      </c>
      <c r="H1252" s="7"/>
      <c r="I1252" s="7"/>
      <c r="J1252" s="5"/>
      <c r="K1252" s="5"/>
      <c r="L1252" s="5"/>
    </row>
    <row r="1253" spans="1:12" ht="15.75" thickBot="1" x14ac:dyDescent="0.3">
      <c r="A1253" s="121"/>
      <c r="B1253" s="122"/>
      <c r="C1253" s="124"/>
      <c r="D1253" s="12" t="s">
        <v>1</v>
      </c>
      <c r="E1253" s="32"/>
      <c r="F1253" s="5"/>
      <c r="G1253" s="121" t="s">
        <v>27</v>
      </c>
      <c r="H1253" s="122"/>
      <c r="I1253" s="123"/>
      <c r="J1253" s="5"/>
      <c r="K1253" s="12" t="s">
        <v>1</v>
      </c>
      <c r="L1253" s="32">
        <v>910879</v>
      </c>
    </row>
    <row r="1254" spans="1:12" x14ac:dyDescent="0.25">
      <c r="A1254" s="30" t="s">
        <v>65</v>
      </c>
      <c r="B1254" s="11"/>
      <c r="C1254" s="11"/>
      <c r="D1254" s="11"/>
      <c r="E1254" s="6"/>
      <c r="F1254" s="5"/>
      <c r="G1254" s="30" t="s">
        <v>364</v>
      </c>
      <c r="H1254" s="11"/>
      <c r="I1254" s="11"/>
      <c r="J1254" s="11"/>
      <c r="K1254" s="11"/>
      <c r="L1254" s="6"/>
    </row>
    <row r="1255" spans="1:12" x14ac:dyDescent="0.25">
      <c r="A1255" s="76"/>
      <c r="B1255" s="11"/>
      <c r="C1255" s="11"/>
      <c r="D1255" s="11"/>
      <c r="E1255" s="6"/>
      <c r="F1255" s="5"/>
      <c r="G1255" s="34"/>
      <c r="H1255" s="11"/>
      <c r="I1255" s="11"/>
      <c r="J1255" s="11"/>
      <c r="K1255" s="11"/>
      <c r="L1255" s="6"/>
    </row>
    <row r="1256" spans="1:12" x14ac:dyDescent="0.25">
      <c r="A1256" s="13"/>
      <c r="B1256" s="11"/>
      <c r="C1256" s="11"/>
      <c r="D1256" s="11"/>
      <c r="E1256" s="6"/>
      <c r="F1256" s="5"/>
      <c r="G1256" s="13"/>
      <c r="H1256" s="11"/>
      <c r="I1256" s="11"/>
      <c r="J1256" s="11"/>
      <c r="K1256" s="11"/>
      <c r="L1256" s="6"/>
    </row>
    <row r="1257" spans="1:12" x14ac:dyDescent="0.25">
      <c r="A1257" s="13"/>
      <c r="B1257" s="11"/>
      <c r="C1257" s="11"/>
      <c r="D1257" s="11"/>
      <c r="E1257" s="6"/>
      <c r="F1257" s="5"/>
      <c r="G1257" s="13"/>
      <c r="H1257" s="11"/>
      <c r="I1257" s="11"/>
      <c r="J1257" s="11"/>
      <c r="K1257" s="11"/>
      <c r="L1257" s="6"/>
    </row>
    <row r="1258" spans="1:12" ht="15.75" thickBot="1" x14ac:dyDescent="0.3">
      <c r="A1258" s="13"/>
      <c r="B1258" s="11"/>
      <c r="C1258" s="11" t="s">
        <v>29</v>
      </c>
      <c r="D1258" s="43"/>
      <c r="E1258" s="6"/>
      <c r="F1258" s="5"/>
      <c r="G1258" s="13"/>
      <c r="H1258" s="11"/>
      <c r="I1258" s="14" t="s">
        <v>28</v>
      </c>
      <c r="J1258" s="43"/>
      <c r="K1258" s="59"/>
      <c r="L1258" s="6"/>
    </row>
    <row r="1259" spans="1:12" ht="15.75" thickBot="1" x14ac:dyDescent="0.3">
      <c r="A1259" s="15" t="s">
        <v>10</v>
      </c>
      <c r="B1259" s="5"/>
      <c r="C1259" s="5"/>
      <c r="D1259" s="5"/>
      <c r="E1259" s="5"/>
      <c r="F1259" s="5"/>
      <c r="G1259" s="15" t="s">
        <v>14</v>
      </c>
      <c r="H1259" s="5"/>
      <c r="I1259" s="5"/>
      <c r="J1259" s="5"/>
      <c r="K1259" s="5"/>
      <c r="L1259" s="5"/>
    </row>
    <row r="1260" spans="1:12" ht="15.75" thickBot="1" x14ac:dyDescent="0.3">
      <c r="A1260" s="121" t="s">
        <v>11</v>
      </c>
      <c r="B1260" s="122"/>
      <c r="C1260" s="123"/>
      <c r="D1260" s="16" t="s">
        <v>12</v>
      </c>
      <c r="E1260" s="16" t="s">
        <v>13</v>
      </c>
      <c r="F1260" s="5"/>
      <c r="G1260" s="121" t="s">
        <v>15</v>
      </c>
      <c r="H1260" s="122"/>
      <c r="I1260" s="123"/>
      <c r="J1260" s="121"/>
      <c r="K1260" s="123"/>
      <c r="L1260" s="5"/>
    </row>
    <row r="1261" spans="1:12" x14ac:dyDescent="0.25">
      <c r="A1261" s="45" t="s">
        <v>387</v>
      </c>
      <c r="B1261" s="46" t="s">
        <v>66</v>
      </c>
      <c r="C1261" s="47"/>
      <c r="D1261" s="56">
        <v>315.60000000000002</v>
      </c>
      <c r="E1261" s="57">
        <v>6570.8</v>
      </c>
      <c r="F1261" s="44">
        <f>E1261/D1261</f>
        <v>20.820025348542458</v>
      </c>
      <c r="G1261" s="125" t="s">
        <v>69</v>
      </c>
      <c r="H1261" s="126"/>
      <c r="I1261" s="127"/>
      <c r="J1261" s="128">
        <v>0</v>
      </c>
      <c r="K1261" s="129"/>
      <c r="L1261" s="5"/>
    </row>
    <row r="1262" spans="1:12" x14ac:dyDescent="0.25">
      <c r="A1262" s="94" t="s">
        <v>389</v>
      </c>
      <c r="B1262" s="46" t="s">
        <v>305</v>
      </c>
      <c r="C1262" s="47"/>
      <c r="D1262" s="56">
        <v>200</v>
      </c>
      <c r="E1262" s="57">
        <v>4128</v>
      </c>
      <c r="F1262" s="44">
        <f>E1262/D1262</f>
        <v>20.64</v>
      </c>
      <c r="G1262" s="110" t="s">
        <v>59</v>
      </c>
      <c r="H1262" s="111"/>
      <c r="I1262" s="112"/>
      <c r="J1262" s="113"/>
      <c r="K1262" s="114"/>
      <c r="L1262" s="5"/>
    </row>
    <row r="1263" spans="1:12" x14ac:dyDescent="0.25">
      <c r="A1263" s="94" t="s">
        <v>389</v>
      </c>
      <c r="B1263" s="46" t="s">
        <v>66</v>
      </c>
      <c r="C1263" s="47"/>
      <c r="D1263" s="56">
        <v>538.54</v>
      </c>
      <c r="E1263" s="57">
        <v>11212.4</v>
      </c>
      <c r="F1263" s="44">
        <f>E1263/D1263</f>
        <v>20.819994800757605</v>
      </c>
      <c r="G1263" s="110" t="s">
        <v>61</v>
      </c>
      <c r="H1263" s="111"/>
      <c r="I1263" s="112"/>
      <c r="J1263" s="113"/>
      <c r="K1263" s="114"/>
      <c r="L1263" s="5"/>
    </row>
    <row r="1264" spans="1:12" x14ac:dyDescent="0.25">
      <c r="A1264" s="94" t="s">
        <v>390</v>
      </c>
      <c r="B1264" s="46" t="s">
        <v>47</v>
      </c>
      <c r="C1264" s="47"/>
      <c r="D1264" s="56">
        <v>444.8</v>
      </c>
      <c r="E1264" s="57">
        <v>8989.81</v>
      </c>
      <c r="F1264" s="44">
        <f>E1264/D1264</f>
        <v>20.210903776978416</v>
      </c>
      <c r="G1264" s="110" t="s">
        <v>51</v>
      </c>
      <c r="H1264" s="111"/>
      <c r="I1264" s="112"/>
      <c r="J1264" s="113"/>
      <c r="K1264" s="114"/>
      <c r="L1264" s="5"/>
    </row>
    <row r="1265" spans="1:12" x14ac:dyDescent="0.25">
      <c r="A1265" s="48"/>
      <c r="B1265" s="46"/>
      <c r="C1265" s="39"/>
      <c r="D1265" s="52"/>
      <c r="E1265" s="53"/>
      <c r="F1265" s="44"/>
      <c r="G1265" s="110" t="s">
        <v>58</v>
      </c>
      <c r="H1265" s="111"/>
      <c r="I1265" s="112"/>
      <c r="J1265" s="113"/>
      <c r="K1265" s="114"/>
      <c r="L1265" s="5"/>
    </row>
    <row r="1266" spans="1:12" x14ac:dyDescent="0.25">
      <c r="A1266" s="48"/>
      <c r="B1266" s="35"/>
      <c r="C1266" s="39"/>
      <c r="D1266" s="52"/>
      <c r="E1266" s="53"/>
      <c r="F1266" s="44"/>
      <c r="G1266" s="110" t="s">
        <v>51</v>
      </c>
      <c r="H1266" s="111"/>
      <c r="I1266" s="112"/>
      <c r="J1266" s="113"/>
      <c r="K1266" s="114"/>
      <c r="L1266" s="5"/>
    </row>
    <row r="1267" spans="1:12" x14ac:dyDescent="0.25">
      <c r="A1267" s="48"/>
      <c r="B1267" s="35"/>
      <c r="C1267" s="39"/>
      <c r="D1267" s="52"/>
      <c r="E1267" s="53"/>
      <c r="F1267" s="44"/>
      <c r="G1267" s="77"/>
      <c r="H1267" s="78" t="s">
        <v>69</v>
      </c>
      <c r="I1267" s="79"/>
      <c r="J1267" s="113"/>
      <c r="K1267" s="114"/>
      <c r="L1267" s="5"/>
    </row>
    <row r="1268" spans="1:12" x14ac:dyDescent="0.25">
      <c r="A1268" s="38"/>
      <c r="B1268" s="35"/>
      <c r="C1268" s="39"/>
      <c r="D1268" s="52"/>
      <c r="E1268" s="53"/>
      <c r="F1268" s="44"/>
      <c r="G1268" s="77"/>
      <c r="H1268" s="78" t="s">
        <v>72</v>
      </c>
      <c r="I1268" s="79"/>
      <c r="J1268" s="113"/>
      <c r="K1268" s="114"/>
      <c r="L1268" s="5"/>
    </row>
    <row r="1269" spans="1:12" ht="15.75" thickBot="1" x14ac:dyDescent="0.3">
      <c r="A1269" s="5"/>
      <c r="B1269" s="5"/>
      <c r="C1269" s="7" t="s">
        <v>35</v>
      </c>
      <c r="D1269" s="17">
        <f>SUM(D1261:D1268)</f>
        <v>1498.9399999999998</v>
      </c>
      <c r="E1269" s="17">
        <f>SUM(E1261:E1268)</f>
        <v>30901.009999999995</v>
      </c>
      <c r="F1269" s="89">
        <f>AVERAGE(F1261:F1265)</f>
        <v>20.622730981569621</v>
      </c>
      <c r="G1269" s="110" t="s">
        <v>73</v>
      </c>
      <c r="H1269" s="111"/>
      <c r="I1269" s="112"/>
      <c r="J1269" s="113"/>
      <c r="K1269" s="114"/>
      <c r="L1269" s="7" t="s">
        <v>36</v>
      </c>
    </row>
    <row r="1270" spans="1:12" ht="15.75" thickBot="1" x14ac:dyDescent="0.3">
      <c r="A1270" s="5"/>
      <c r="B1270" s="5"/>
      <c r="C1270" s="5"/>
      <c r="D1270" s="5"/>
      <c r="E1270" s="5"/>
      <c r="F1270" s="5"/>
      <c r="G1270" s="130"/>
      <c r="H1270" s="131"/>
      <c r="I1270" s="132"/>
      <c r="J1270" s="133"/>
      <c r="K1270" s="134"/>
      <c r="L1270" s="18">
        <f>J1261+J1262+J1263+J1264+J1265+J1266+J1267+J1268+J1269</f>
        <v>0</v>
      </c>
    </row>
    <row r="1271" spans="1:12" ht="15.75" thickBot="1" x14ac:dyDescent="0.3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</row>
    <row r="1272" spans="1:12" ht="15.75" thickBot="1" x14ac:dyDescent="0.3">
      <c r="A1272" s="19"/>
      <c r="B1272" s="20"/>
      <c r="C1272" s="20"/>
      <c r="D1272" s="20"/>
      <c r="E1272" s="21" t="s">
        <v>13</v>
      </c>
      <c r="F1272" s="5"/>
      <c r="G1272" s="19"/>
      <c r="H1272" s="20"/>
      <c r="I1272" s="20"/>
      <c r="J1272" s="20"/>
      <c r="K1272" s="21" t="s">
        <v>13</v>
      </c>
      <c r="L1272" s="5"/>
    </row>
    <row r="1273" spans="1:12" x14ac:dyDescent="0.25">
      <c r="A1273" s="22" t="s">
        <v>31</v>
      </c>
      <c r="B1273" s="115">
        <v>18143</v>
      </c>
      <c r="C1273" s="116"/>
      <c r="D1273" s="116"/>
      <c r="E1273" s="117"/>
      <c r="F1273" s="5"/>
      <c r="G1273" s="22" t="s">
        <v>32</v>
      </c>
      <c r="H1273" s="115">
        <v>41517</v>
      </c>
      <c r="I1273" s="116"/>
      <c r="J1273" s="116"/>
      <c r="K1273" s="117"/>
      <c r="L1273" s="5"/>
    </row>
    <row r="1274" spans="1:12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</row>
    <row r="1275" spans="1:12" x14ac:dyDescent="0.25">
      <c r="A1275" s="7" t="s">
        <v>16</v>
      </c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</row>
    <row r="1276" spans="1:12" x14ac:dyDescent="0.25">
      <c r="A1276" s="9" t="s">
        <v>17</v>
      </c>
      <c r="B1276" s="23">
        <f>L1253-C1248</f>
        <v>3026</v>
      </c>
      <c r="C1276" s="5"/>
      <c r="D1276" s="106" t="s">
        <v>18</v>
      </c>
      <c r="E1276" s="107"/>
      <c r="F1276" s="24" t="s">
        <v>19</v>
      </c>
      <c r="G1276" s="9" t="s">
        <v>20</v>
      </c>
      <c r="H1276" s="118">
        <f>B1273+H1273</f>
        <v>59660</v>
      </c>
      <c r="I1276" s="119"/>
      <c r="J1276" s="60"/>
      <c r="K1276" s="5"/>
      <c r="L1276" s="5"/>
    </row>
    <row r="1277" spans="1:12" x14ac:dyDescent="0.25">
      <c r="A1277" s="9" t="s">
        <v>41</v>
      </c>
      <c r="B1277" s="40">
        <f>B1276/D1269</f>
        <v>2.0187599236794003</v>
      </c>
      <c r="C1277" s="5"/>
      <c r="D1277" s="102">
        <f>E1269</f>
        <v>30901.009999999995</v>
      </c>
      <c r="E1277" s="103"/>
      <c r="F1277" s="25">
        <f>H1277/B1276</f>
        <v>11.142303370786514</v>
      </c>
      <c r="G1277" s="9" t="s">
        <v>21</v>
      </c>
      <c r="H1277" s="104">
        <f>L1270+D1277+D1279+D1281+D1283+A1280</f>
        <v>33716.609999999993</v>
      </c>
      <c r="I1277" s="105"/>
      <c r="J1277" s="5"/>
      <c r="K1277" s="5"/>
      <c r="L1277" s="5"/>
    </row>
    <row r="1278" spans="1:12" x14ac:dyDescent="0.25">
      <c r="A1278" s="9" t="s">
        <v>43</v>
      </c>
      <c r="B1278" s="23">
        <f>D1269/B1276*100</f>
        <v>49.535360211500326</v>
      </c>
      <c r="C1278" s="5"/>
      <c r="D1278" s="106" t="s">
        <v>33</v>
      </c>
      <c r="E1278" s="107"/>
      <c r="F1278" s="5"/>
      <c r="G1278" s="13" t="s">
        <v>22</v>
      </c>
      <c r="H1278" s="6"/>
      <c r="I1278" s="26">
        <f>H1276-H1277</f>
        <v>25943.390000000007</v>
      </c>
      <c r="J1278" s="5"/>
      <c r="K1278" s="5"/>
      <c r="L1278" s="5"/>
    </row>
    <row r="1279" spans="1:12" x14ac:dyDescent="0.25">
      <c r="A1279" s="106" t="s">
        <v>40</v>
      </c>
      <c r="B1279" s="107"/>
      <c r="C1279" s="5"/>
      <c r="D1279" s="149">
        <v>1000</v>
      </c>
      <c r="E1279" s="150"/>
      <c r="F1279" s="5"/>
      <c r="G1279" s="5"/>
      <c r="H1279" s="5"/>
      <c r="I1279" s="5"/>
      <c r="J1279" s="5"/>
      <c r="K1279" s="5"/>
      <c r="L1279" s="5"/>
    </row>
    <row r="1280" spans="1:12" x14ac:dyDescent="0.25">
      <c r="A1280" s="108">
        <f>B1276*0.6</f>
        <v>1815.6</v>
      </c>
      <c r="B1280" s="109"/>
      <c r="C1280" s="5"/>
      <c r="D1280" s="106" t="s">
        <v>34</v>
      </c>
      <c r="E1280" s="107"/>
      <c r="F1280" s="5"/>
      <c r="G1280" s="145" t="s">
        <v>292</v>
      </c>
      <c r="H1280" s="146"/>
      <c r="I1280" s="23">
        <f>B1276/2.3</f>
        <v>1315.6521739130435</v>
      </c>
      <c r="J1280" s="60"/>
      <c r="K1280" s="5"/>
      <c r="L1280" s="5"/>
    </row>
    <row r="1281" spans="1:12" x14ac:dyDescent="0.25">
      <c r="A1281" s="5"/>
      <c r="B1281" s="5"/>
      <c r="C1281" s="5"/>
      <c r="D1281" s="108">
        <v>0</v>
      </c>
      <c r="E1281" s="109"/>
      <c r="F1281" s="5"/>
      <c r="G1281" s="145" t="s">
        <v>294</v>
      </c>
      <c r="H1281" s="146"/>
      <c r="I1281" s="23">
        <f>I1280-D1269</f>
        <v>-183.28782608695633</v>
      </c>
      <c r="J1281" s="5"/>
      <c r="K1281" s="5"/>
      <c r="L1281" s="5"/>
    </row>
    <row r="1282" spans="1:12" x14ac:dyDescent="0.25">
      <c r="A1282" s="5"/>
      <c r="B1282" s="5"/>
      <c r="C1282" s="5"/>
      <c r="D1282" s="106" t="s">
        <v>37</v>
      </c>
      <c r="E1282" s="107"/>
      <c r="F1282" s="5"/>
      <c r="G1282" s="147" t="s">
        <v>295</v>
      </c>
      <c r="H1282" s="148"/>
      <c r="I1282" s="86">
        <f>I1281*F1269</f>
        <v>-3779.8955295880187</v>
      </c>
      <c r="J1282" s="87">
        <f>I1278-I1282</f>
        <v>29723.285529588025</v>
      </c>
      <c r="K1282" s="5"/>
      <c r="L1282" s="5"/>
    </row>
    <row r="1283" spans="1:12" x14ac:dyDescent="0.25">
      <c r="A1283" s="5"/>
      <c r="B1283" s="5"/>
      <c r="C1283" s="5"/>
      <c r="D1283" s="108"/>
      <c r="E1283" s="109"/>
      <c r="F1283" s="5" t="s">
        <v>78</v>
      </c>
      <c r="G1283" s="5"/>
      <c r="H1283" s="5"/>
      <c r="I1283" s="5"/>
      <c r="J1283" s="88" t="s">
        <v>293</v>
      </c>
      <c r="K1283" s="44"/>
      <c r="L1283" s="5"/>
    </row>
    <row r="1285" spans="1:12" s="49" customFormat="1" x14ac:dyDescent="0.25"/>
    <row r="1288" spans="1:12" x14ac:dyDescent="0.25">
      <c r="A1288" s="120" t="s">
        <v>24</v>
      </c>
      <c r="B1288" s="120"/>
      <c r="C1288" s="120"/>
      <c r="D1288" s="120"/>
      <c r="E1288" s="120"/>
      <c r="F1288" s="120"/>
      <c r="G1288" s="120"/>
      <c r="H1288" s="120"/>
      <c r="I1288" s="120"/>
      <c r="J1288" s="120"/>
      <c r="K1288" s="120"/>
      <c r="L1288" s="120"/>
    </row>
    <row r="1289" spans="1:12" x14ac:dyDescent="0.25">
      <c r="A1289" s="120"/>
      <c r="B1289" s="120"/>
      <c r="C1289" s="120"/>
      <c r="D1289" s="120"/>
      <c r="E1289" s="120"/>
      <c r="F1289" s="120"/>
      <c r="G1289" s="120"/>
      <c r="H1289" s="120"/>
      <c r="I1289" s="120"/>
      <c r="J1289" s="120"/>
      <c r="K1289" s="120"/>
      <c r="L1289" s="120"/>
    </row>
    <row r="1290" spans="1:12" x14ac:dyDescent="0.25">
      <c r="A1290" s="1" t="s">
        <v>4</v>
      </c>
      <c r="B1290" s="2"/>
      <c r="C1290" s="90"/>
      <c r="D1290" s="2"/>
      <c r="E1290" s="2"/>
      <c r="F1290" s="2"/>
      <c r="G1290" s="3" t="s">
        <v>5</v>
      </c>
      <c r="H1290" s="3" t="s">
        <v>6</v>
      </c>
      <c r="I1290" s="4" t="s">
        <v>7</v>
      </c>
      <c r="J1290" s="5"/>
      <c r="K1290" s="5"/>
      <c r="L1290" s="5"/>
    </row>
    <row r="1291" spans="1:12" x14ac:dyDescent="0.25">
      <c r="A1291" s="91" t="s">
        <v>359</v>
      </c>
      <c r="B1291" s="92" t="s">
        <v>42</v>
      </c>
      <c r="C1291" s="64"/>
      <c r="D1291" s="66"/>
      <c r="E1291" s="2"/>
      <c r="F1291" s="2"/>
      <c r="G1291" s="91" t="s">
        <v>299</v>
      </c>
      <c r="H1291" s="66"/>
      <c r="I1291" s="33"/>
      <c r="J1291" s="6"/>
      <c r="K1291" s="33"/>
      <c r="L1291" s="6"/>
    </row>
    <row r="1292" spans="1:12" x14ac:dyDescent="0.25">
      <c r="A1292" s="7" t="s">
        <v>2</v>
      </c>
      <c r="B1292" s="5"/>
      <c r="C1292" s="5"/>
      <c r="D1292" s="5"/>
      <c r="E1292" s="5"/>
      <c r="F1292" s="5"/>
      <c r="G1292" s="8" t="s">
        <v>8</v>
      </c>
      <c r="H1292" s="93">
        <v>3</v>
      </c>
      <c r="I1292" s="5"/>
      <c r="J1292" s="5"/>
      <c r="K1292" s="5"/>
      <c r="L1292" s="5"/>
    </row>
    <row r="1293" spans="1:12" x14ac:dyDescent="0.25">
      <c r="A1293" s="7" t="s">
        <v>25</v>
      </c>
      <c r="B1293" s="5"/>
      <c r="C1293" s="7" t="s">
        <v>0</v>
      </c>
      <c r="D1293" s="5"/>
      <c r="E1293" s="5"/>
      <c r="F1293" s="5"/>
      <c r="G1293" s="7" t="s">
        <v>25</v>
      </c>
      <c r="H1293" s="5"/>
      <c r="I1293" s="7" t="s">
        <v>0</v>
      </c>
      <c r="J1293" s="5"/>
      <c r="K1293" s="5"/>
      <c r="L1293" s="5"/>
    </row>
    <row r="1294" spans="1:12" x14ac:dyDescent="0.25">
      <c r="A1294" s="42" t="s">
        <v>388</v>
      </c>
      <c r="B1294" s="6"/>
      <c r="C1294" s="31">
        <f>L1253</f>
        <v>910879</v>
      </c>
      <c r="D1294" s="5"/>
      <c r="E1294" s="5"/>
      <c r="F1294" s="5"/>
      <c r="G1294" s="42">
        <v>45363</v>
      </c>
      <c r="H1294" s="6"/>
      <c r="I1294" s="9"/>
      <c r="J1294" s="5"/>
      <c r="K1294" s="5"/>
      <c r="L1294" s="5"/>
    </row>
    <row r="1295" spans="1:12" ht="16.5" thickBot="1" x14ac:dyDescent="0.3">
      <c r="A1295" s="7"/>
      <c r="B1295" s="62"/>
      <c r="C1295" s="62"/>
      <c r="D1295" s="62"/>
      <c r="E1295" s="5"/>
      <c r="F1295" s="5"/>
      <c r="G1295" s="10"/>
      <c r="H1295" s="5"/>
      <c r="I1295" s="5"/>
      <c r="J1295" s="5"/>
      <c r="K1295" s="5"/>
      <c r="L1295" s="5"/>
    </row>
    <row r="1296" spans="1:12" ht="15.75" thickBot="1" x14ac:dyDescent="0.3">
      <c r="A1296" s="121" t="s">
        <v>9</v>
      </c>
      <c r="B1296" s="122"/>
      <c r="C1296" s="123"/>
      <c r="D1296" s="5"/>
      <c r="E1296" s="5"/>
      <c r="F1296" s="5"/>
      <c r="G1296" s="121" t="s">
        <v>26</v>
      </c>
      <c r="H1296" s="122"/>
      <c r="I1296" s="123"/>
      <c r="J1296" s="5"/>
      <c r="K1296" s="5"/>
      <c r="L1296" s="5"/>
    </row>
    <row r="1297" spans="1:12" x14ac:dyDescent="0.25">
      <c r="A1297" s="30" t="s">
        <v>38</v>
      </c>
      <c r="B1297" s="11"/>
      <c r="C1297" s="11"/>
      <c r="D1297" s="11"/>
      <c r="E1297" s="6"/>
      <c r="F1297" s="5"/>
      <c r="G1297" s="30"/>
      <c r="H1297" s="11"/>
      <c r="I1297" s="11"/>
      <c r="J1297" s="11"/>
      <c r="K1297" s="11"/>
      <c r="L1297" s="6"/>
    </row>
    <row r="1298" spans="1:12" ht="15.75" thickBot="1" x14ac:dyDescent="0.3">
      <c r="A1298" s="7"/>
      <c r="B1298" s="7"/>
      <c r="C1298" s="7"/>
      <c r="D1298" s="5"/>
      <c r="E1298" s="5"/>
      <c r="F1298" s="5"/>
      <c r="G1298" s="7" t="str">
        <f>A1300</f>
        <v>Cape Town</v>
      </c>
      <c r="H1298" s="7"/>
      <c r="I1298" s="7"/>
      <c r="J1298" s="5"/>
      <c r="K1298" s="5"/>
      <c r="L1298" s="5"/>
    </row>
    <row r="1299" spans="1:12" ht="15.75" thickBot="1" x14ac:dyDescent="0.3">
      <c r="A1299" s="121"/>
      <c r="B1299" s="122"/>
      <c r="C1299" s="124"/>
      <c r="D1299" s="12" t="s">
        <v>1</v>
      </c>
      <c r="E1299" s="32"/>
      <c r="F1299" s="5"/>
      <c r="G1299" s="121" t="s">
        <v>27</v>
      </c>
      <c r="H1299" s="122"/>
      <c r="I1299" s="123"/>
      <c r="J1299" s="5"/>
      <c r="K1299" s="12" t="s">
        <v>1</v>
      </c>
      <c r="L1299" s="32">
        <v>913961</v>
      </c>
    </row>
    <row r="1300" spans="1:12" x14ac:dyDescent="0.25">
      <c r="A1300" s="30" t="s">
        <v>65</v>
      </c>
      <c r="B1300" s="11"/>
      <c r="C1300" s="11"/>
      <c r="D1300" s="11"/>
      <c r="E1300" s="6"/>
      <c r="F1300" s="5"/>
      <c r="G1300" s="30" t="s">
        <v>364</v>
      </c>
      <c r="H1300" s="11"/>
      <c r="I1300" s="11"/>
      <c r="J1300" s="11"/>
      <c r="K1300" s="11"/>
      <c r="L1300" s="6"/>
    </row>
    <row r="1301" spans="1:12" x14ac:dyDescent="0.25">
      <c r="A1301" s="76"/>
      <c r="B1301" s="11"/>
      <c r="C1301" s="11"/>
      <c r="D1301" s="11"/>
      <c r="E1301" s="6"/>
      <c r="F1301" s="5"/>
      <c r="G1301" s="34"/>
      <c r="H1301" s="11"/>
      <c r="I1301" s="11"/>
      <c r="J1301" s="11"/>
      <c r="K1301" s="11"/>
      <c r="L1301" s="6"/>
    </row>
    <row r="1302" spans="1:12" x14ac:dyDescent="0.25">
      <c r="A1302" s="13"/>
      <c r="B1302" s="11"/>
      <c r="C1302" s="11"/>
      <c r="D1302" s="11"/>
      <c r="E1302" s="6"/>
      <c r="F1302" s="5"/>
      <c r="G1302" s="13"/>
      <c r="H1302" s="11"/>
      <c r="I1302" s="11"/>
      <c r="J1302" s="11"/>
      <c r="K1302" s="11"/>
      <c r="L1302" s="6"/>
    </row>
    <row r="1303" spans="1:12" x14ac:dyDescent="0.25">
      <c r="A1303" s="13"/>
      <c r="B1303" s="11"/>
      <c r="C1303" s="11"/>
      <c r="D1303" s="11"/>
      <c r="E1303" s="6"/>
      <c r="F1303" s="5"/>
      <c r="G1303" s="13"/>
      <c r="H1303" s="11"/>
      <c r="I1303" s="11"/>
      <c r="J1303" s="11"/>
      <c r="K1303" s="11"/>
      <c r="L1303" s="6"/>
    </row>
    <row r="1304" spans="1:12" ht="15.75" thickBot="1" x14ac:dyDescent="0.3">
      <c r="A1304" s="13"/>
      <c r="B1304" s="11"/>
      <c r="C1304" s="11" t="s">
        <v>29</v>
      </c>
      <c r="D1304" s="43"/>
      <c r="E1304" s="6"/>
      <c r="F1304" s="5"/>
      <c r="G1304" s="13"/>
      <c r="H1304" s="11"/>
      <c r="I1304" s="14" t="s">
        <v>28</v>
      </c>
      <c r="J1304" s="43"/>
      <c r="K1304" s="59"/>
      <c r="L1304" s="6"/>
    </row>
    <row r="1305" spans="1:12" ht="15.75" thickBot="1" x14ac:dyDescent="0.3">
      <c r="A1305" s="15" t="s">
        <v>10</v>
      </c>
      <c r="B1305" s="5"/>
      <c r="C1305" s="5"/>
      <c r="D1305" s="5"/>
      <c r="E1305" s="5"/>
      <c r="F1305" s="5"/>
      <c r="G1305" s="15" t="s">
        <v>14</v>
      </c>
      <c r="H1305" s="5"/>
      <c r="I1305" s="5"/>
      <c r="J1305" s="5"/>
      <c r="K1305" s="5"/>
      <c r="L1305" s="5"/>
    </row>
    <row r="1306" spans="1:12" ht="15.75" thickBot="1" x14ac:dyDescent="0.3">
      <c r="A1306" s="121" t="s">
        <v>11</v>
      </c>
      <c r="B1306" s="122"/>
      <c r="C1306" s="123"/>
      <c r="D1306" s="16" t="s">
        <v>12</v>
      </c>
      <c r="E1306" s="16" t="s">
        <v>13</v>
      </c>
      <c r="F1306" s="5"/>
      <c r="G1306" s="121" t="s">
        <v>15</v>
      </c>
      <c r="H1306" s="122"/>
      <c r="I1306" s="123"/>
      <c r="J1306" s="121"/>
      <c r="K1306" s="123"/>
      <c r="L1306" s="5"/>
    </row>
    <row r="1307" spans="1:12" x14ac:dyDescent="0.25">
      <c r="A1307" s="45">
        <v>45334</v>
      </c>
      <c r="B1307" s="46" t="s">
        <v>66</v>
      </c>
      <c r="C1307" s="47"/>
      <c r="D1307" s="56">
        <v>244</v>
      </c>
      <c r="E1307" s="57">
        <v>5080.1000000000004</v>
      </c>
      <c r="F1307" s="44">
        <f>E1307/D1307</f>
        <v>20.820081967213117</v>
      </c>
      <c r="G1307" s="125" t="s">
        <v>69</v>
      </c>
      <c r="H1307" s="126"/>
      <c r="I1307" s="127"/>
      <c r="J1307" s="128">
        <v>0</v>
      </c>
      <c r="K1307" s="129"/>
      <c r="L1307" s="5"/>
    </row>
    <row r="1308" spans="1:12" x14ac:dyDescent="0.25">
      <c r="A1308" s="94">
        <v>45394</v>
      </c>
      <c r="B1308" s="46" t="s">
        <v>305</v>
      </c>
      <c r="C1308" s="47"/>
      <c r="D1308" s="56">
        <v>200</v>
      </c>
      <c r="E1308" s="57">
        <v>4240</v>
      </c>
      <c r="F1308" s="44">
        <f>E1308/D1308</f>
        <v>21.2</v>
      </c>
      <c r="G1308" s="110" t="s">
        <v>59</v>
      </c>
      <c r="H1308" s="111"/>
      <c r="I1308" s="112"/>
      <c r="J1308" s="113"/>
      <c r="K1308" s="114"/>
      <c r="L1308" s="5"/>
    </row>
    <row r="1309" spans="1:12" x14ac:dyDescent="0.25">
      <c r="A1309" s="94">
        <v>45394</v>
      </c>
      <c r="B1309" s="46" t="s">
        <v>66</v>
      </c>
      <c r="C1309" s="47"/>
      <c r="D1309" s="56">
        <v>529.95000000000005</v>
      </c>
      <c r="E1309" s="57">
        <v>11033.55</v>
      </c>
      <c r="F1309" s="44">
        <f>E1309/D1309</f>
        <v>20.819983017265777</v>
      </c>
      <c r="G1309" s="110" t="s">
        <v>61</v>
      </c>
      <c r="H1309" s="111"/>
      <c r="I1309" s="112"/>
      <c r="J1309" s="113"/>
      <c r="K1309" s="114"/>
      <c r="L1309" s="5"/>
    </row>
    <row r="1310" spans="1:12" x14ac:dyDescent="0.25">
      <c r="A1310" s="94">
        <v>45455</v>
      </c>
      <c r="B1310" s="46" t="s">
        <v>47</v>
      </c>
      <c r="C1310" s="47"/>
      <c r="D1310" s="56">
        <v>382.4</v>
      </c>
      <c r="E1310" s="57">
        <v>7728.3</v>
      </c>
      <c r="F1310" s="44">
        <f>E1310/D1310</f>
        <v>20.209989539748957</v>
      </c>
      <c r="G1310" s="110" t="s">
        <v>51</v>
      </c>
      <c r="H1310" s="111"/>
      <c r="I1310" s="112"/>
      <c r="J1310" s="113"/>
      <c r="K1310" s="114"/>
      <c r="L1310" s="5"/>
    </row>
    <row r="1311" spans="1:12" x14ac:dyDescent="0.25">
      <c r="A1311" s="48"/>
      <c r="B1311" s="46"/>
      <c r="C1311" s="39"/>
      <c r="D1311" s="52"/>
      <c r="E1311" s="53"/>
      <c r="F1311" s="44"/>
      <c r="G1311" s="110" t="s">
        <v>58</v>
      </c>
      <c r="H1311" s="111"/>
      <c r="I1311" s="112"/>
      <c r="J1311" s="113"/>
      <c r="K1311" s="114"/>
      <c r="L1311" s="5"/>
    </row>
    <row r="1312" spans="1:12" x14ac:dyDescent="0.25">
      <c r="A1312" s="48"/>
      <c r="B1312" s="35"/>
      <c r="C1312" s="39"/>
      <c r="D1312" s="52"/>
      <c r="E1312" s="53"/>
      <c r="F1312" s="44"/>
      <c r="G1312" s="110" t="s">
        <v>51</v>
      </c>
      <c r="H1312" s="111"/>
      <c r="I1312" s="112"/>
      <c r="J1312" s="113"/>
      <c r="K1312" s="114"/>
      <c r="L1312" s="5"/>
    </row>
    <row r="1313" spans="1:12" x14ac:dyDescent="0.25">
      <c r="A1313" s="48"/>
      <c r="B1313" s="35"/>
      <c r="C1313" s="39"/>
      <c r="D1313" s="52"/>
      <c r="E1313" s="53"/>
      <c r="F1313" s="44"/>
      <c r="G1313" s="77"/>
      <c r="H1313" s="78" t="s">
        <v>69</v>
      </c>
      <c r="I1313" s="79"/>
      <c r="J1313" s="113"/>
      <c r="K1313" s="114"/>
      <c r="L1313" s="5"/>
    </row>
    <row r="1314" spans="1:12" x14ac:dyDescent="0.25">
      <c r="A1314" s="38"/>
      <c r="B1314" s="35"/>
      <c r="C1314" s="39"/>
      <c r="D1314" s="52"/>
      <c r="E1314" s="53"/>
      <c r="F1314" s="44"/>
      <c r="G1314" s="77"/>
      <c r="H1314" s="78" t="s">
        <v>72</v>
      </c>
      <c r="I1314" s="79"/>
      <c r="J1314" s="113"/>
      <c r="K1314" s="114"/>
      <c r="L1314" s="5"/>
    </row>
    <row r="1315" spans="1:12" ht="15.75" thickBot="1" x14ac:dyDescent="0.3">
      <c r="A1315" s="5"/>
      <c r="B1315" s="5"/>
      <c r="C1315" s="7" t="s">
        <v>35</v>
      </c>
      <c r="D1315" s="17">
        <f>SUM(D1307:D1314)</f>
        <v>1356.35</v>
      </c>
      <c r="E1315" s="17">
        <f>SUM(E1307:E1314)</f>
        <v>28081.95</v>
      </c>
      <c r="F1315" s="89">
        <f>AVERAGE(F1307:F1311)</f>
        <v>20.762513631056962</v>
      </c>
      <c r="G1315" s="110" t="s">
        <v>73</v>
      </c>
      <c r="H1315" s="111"/>
      <c r="I1315" s="112"/>
      <c r="J1315" s="113"/>
      <c r="K1315" s="114"/>
      <c r="L1315" s="7" t="s">
        <v>36</v>
      </c>
    </row>
    <row r="1316" spans="1:12" ht="15.75" thickBot="1" x14ac:dyDescent="0.3">
      <c r="A1316" s="5"/>
      <c r="B1316" s="5"/>
      <c r="C1316" s="5"/>
      <c r="D1316" s="5"/>
      <c r="E1316" s="5"/>
      <c r="F1316" s="5"/>
      <c r="G1316" s="130"/>
      <c r="H1316" s="131"/>
      <c r="I1316" s="132"/>
      <c r="J1316" s="133"/>
      <c r="K1316" s="134"/>
      <c r="L1316" s="18">
        <f>J1307+J1308+J1309+J1310+J1311+J1312+J1313+J1314+J1315</f>
        <v>0</v>
      </c>
    </row>
    <row r="1317" spans="1:12" ht="15.75" thickBot="1" x14ac:dyDescent="0.3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</row>
    <row r="1318" spans="1:12" ht="15.75" thickBot="1" x14ac:dyDescent="0.3">
      <c r="A1318" s="19"/>
      <c r="B1318" s="20"/>
      <c r="C1318" s="20"/>
      <c r="D1318" s="20"/>
      <c r="E1318" s="21" t="s">
        <v>13</v>
      </c>
      <c r="F1318" s="5"/>
      <c r="G1318" s="19"/>
      <c r="H1318" s="20"/>
      <c r="I1318" s="20"/>
      <c r="J1318" s="20"/>
      <c r="K1318" s="21" t="s">
        <v>13</v>
      </c>
      <c r="L1318" s="5"/>
    </row>
    <row r="1319" spans="1:12" x14ac:dyDescent="0.25">
      <c r="A1319" s="22" t="s">
        <v>31</v>
      </c>
      <c r="B1319" s="115">
        <v>18143</v>
      </c>
      <c r="C1319" s="116"/>
      <c r="D1319" s="116"/>
      <c r="E1319" s="117"/>
      <c r="F1319" s="5"/>
      <c r="G1319" s="22" t="s">
        <v>32</v>
      </c>
      <c r="H1319" s="115">
        <v>41517</v>
      </c>
      <c r="I1319" s="116"/>
      <c r="J1319" s="116"/>
      <c r="K1319" s="117"/>
      <c r="L1319" s="5"/>
    </row>
    <row r="1320" spans="1:12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</row>
    <row r="1321" spans="1:12" x14ac:dyDescent="0.25">
      <c r="A1321" s="7" t="s">
        <v>16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</row>
    <row r="1322" spans="1:12" x14ac:dyDescent="0.25">
      <c r="A1322" s="9" t="s">
        <v>17</v>
      </c>
      <c r="B1322" s="23">
        <f>L1299-C1294</f>
        <v>3082</v>
      </c>
      <c r="C1322" s="5"/>
      <c r="D1322" s="106" t="s">
        <v>18</v>
      </c>
      <c r="E1322" s="107"/>
      <c r="F1322" s="24" t="s">
        <v>19</v>
      </c>
      <c r="G1322" s="9" t="s">
        <v>20</v>
      </c>
      <c r="H1322" s="118">
        <f>B1319+H1319</f>
        <v>59660</v>
      </c>
      <c r="I1322" s="119"/>
      <c r="J1322" s="60"/>
      <c r="K1322" s="5"/>
      <c r="L1322" s="5"/>
    </row>
    <row r="1323" spans="1:12" x14ac:dyDescent="0.25">
      <c r="A1323" s="9" t="s">
        <v>41</v>
      </c>
      <c r="B1323" s="40">
        <f>B1322/D1315</f>
        <v>2.2722748553102079</v>
      </c>
      <c r="C1323" s="5"/>
      <c r="D1323" s="102">
        <f>E1315</f>
        <v>28081.95</v>
      </c>
      <c r="E1323" s="103"/>
      <c r="F1323" s="25">
        <f>H1323/B1322</f>
        <v>10.036064243997405</v>
      </c>
      <c r="G1323" s="9" t="s">
        <v>21</v>
      </c>
      <c r="H1323" s="104">
        <f>L1316+D1323+D1325+D1327+D1329+A1326</f>
        <v>30931.15</v>
      </c>
      <c r="I1323" s="105"/>
      <c r="J1323" s="5"/>
      <c r="K1323" s="5"/>
      <c r="L1323" s="5"/>
    </row>
    <row r="1324" spans="1:12" x14ac:dyDescent="0.25">
      <c r="A1324" s="9" t="s">
        <v>43</v>
      </c>
      <c r="B1324" s="23">
        <f>D1315/B1322*100</f>
        <v>44.008760545100586</v>
      </c>
      <c r="C1324" s="5"/>
      <c r="D1324" s="106" t="s">
        <v>33</v>
      </c>
      <c r="E1324" s="107"/>
      <c r="F1324" s="5"/>
      <c r="G1324" s="13" t="s">
        <v>22</v>
      </c>
      <c r="H1324" s="6"/>
      <c r="I1324" s="26">
        <f>H1322-H1323</f>
        <v>28728.85</v>
      </c>
      <c r="J1324" s="5"/>
      <c r="K1324" s="5"/>
      <c r="L1324" s="5"/>
    </row>
    <row r="1325" spans="1:12" x14ac:dyDescent="0.25">
      <c r="A1325" s="106" t="s">
        <v>40</v>
      </c>
      <c r="B1325" s="107"/>
      <c r="C1325" s="5"/>
      <c r="D1325" s="149">
        <v>1000</v>
      </c>
      <c r="E1325" s="150"/>
      <c r="F1325" s="5"/>
      <c r="G1325" s="5"/>
      <c r="H1325" s="5"/>
      <c r="I1325" s="5"/>
      <c r="J1325" s="5"/>
      <c r="K1325" s="5"/>
      <c r="L1325" s="5"/>
    </row>
    <row r="1326" spans="1:12" x14ac:dyDescent="0.25">
      <c r="A1326" s="108">
        <f>B1322*0.6</f>
        <v>1849.1999999999998</v>
      </c>
      <c r="B1326" s="109"/>
      <c r="C1326" s="5"/>
      <c r="D1326" s="106" t="s">
        <v>34</v>
      </c>
      <c r="E1326" s="107"/>
      <c r="F1326" s="5"/>
      <c r="G1326" s="145" t="s">
        <v>292</v>
      </c>
      <c r="H1326" s="146"/>
      <c r="I1326" s="23">
        <f>B1322/2.3</f>
        <v>1340</v>
      </c>
      <c r="J1326" s="60"/>
      <c r="K1326" s="5"/>
      <c r="L1326" s="5"/>
    </row>
    <row r="1327" spans="1:12" x14ac:dyDescent="0.25">
      <c r="A1327" s="5"/>
      <c r="B1327" s="5"/>
      <c r="C1327" s="5"/>
      <c r="D1327" s="108">
        <v>0</v>
      </c>
      <c r="E1327" s="109"/>
      <c r="F1327" s="5"/>
      <c r="G1327" s="145" t="s">
        <v>294</v>
      </c>
      <c r="H1327" s="146"/>
      <c r="I1327" s="23">
        <f>I1326-D1315</f>
        <v>-16.349999999999909</v>
      </c>
      <c r="J1327" s="5"/>
      <c r="K1327" s="5"/>
      <c r="L1327" s="5"/>
    </row>
    <row r="1328" spans="1:12" x14ac:dyDescent="0.25">
      <c r="A1328" s="5"/>
      <c r="B1328" s="5"/>
      <c r="C1328" s="5"/>
      <c r="D1328" s="106" t="s">
        <v>37</v>
      </c>
      <c r="E1328" s="107"/>
      <c r="F1328" s="5"/>
      <c r="G1328" s="147" t="s">
        <v>295</v>
      </c>
      <c r="H1328" s="148"/>
      <c r="I1328" s="86">
        <f>I1327*F1315</f>
        <v>-339.46709786777944</v>
      </c>
      <c r="J1328" s="87">
        <f>I1324-I1328</f>
        <v>29068.317097867777</v>
      </c>
      <c r="K1328" s="5"/>
      <c r="L1328" s="5"/>
    </row>
    <row r="1329" spans="1:12" x14ac:dyDescent="0.25">
      <c r="A1329" s="5"/>
      <c r="B1329" s="5"/>
      <c r="C1329" s="5"/>
      <c r="D1329" s="108"/>
      <c r="E1329" s="109"/>
      <c r="F1329" s="5" t="s">
        <v>78</v>
      </c>
      <c r="G1329" s="5"/>
      <c r="H1329" s="5"/>
      <c r="I1329" s="5"/>
      <c r="J1329" s="88" t="s">
        <v>293</v>
      </c>
      <c r="K1329" s="44"/>
      <c r="L1329" s="5"/>
    </row>
    <row r="1331" spans="1:12" s="49" customFormat="1" x14ac:dyDescent="0.25"/>
    <row r="1334" spans="1:12" x14ac:dyDescent="0.25">
      <c r="A1334" s="120" t="s">
        <v>24</v>
      </c>
      <c r="B1334" s="120"/>
      <c r="C1334" s="120"/>
      <c r="D1334" s="120"/>
      <c r="E1334" s="120"/>
      <c r="F1334" s="120"/>
      <c r="G1334" s="120"/>
      <c r="H1334" s="120"/>
      <c r="I1334" s="120"/>
      <c r="J1334" s="120"/>
      <c r="K1334" s="120"/>
      <c r="L1334" s="120"/>
    </row>
    <row r="1335" spans="1:12" x14ac:dyDescent="0.25">
      <c r="A1335" s="120"/>
      <c r="B1335" s="120"/>
      <c r="C1335" s="120"/>
      <c r="D1335" s="120"/>
      <c r="E1335" s="120"/>
      <c r="F1335" s="120"/>
      <c r="G1335" s="120"/>
      <c r="H1335" s="120"/>
      <c r="I1335" s="120"/>
      <c r="J1335" s="120"/>
      <c r="K1335" s="120"/>
      <c r="L1335" s="120"/>
    </row>
    <row r="1336" spans="1:12" x14ac:dyDescent="0.25">
      <c r="A1336" s="1" t="s">
        <v>4</v>
      </c>
      <c r="B1336" s="2"/>
      <c r="C1336" s="90"/>
      <c r="D1336" s="2"/>
      <c r="E1336" s="2"/>
      <c r="F1336" s="2"/>
      <c r="G1336" s="3" t="s">
        <v>5</v>
      </c>
      <c r="H1336" s="3" t="s">
        <v>6</v>
      </c>
      <c r="I1336" s="4" t="s">
        <v>7</v>
      </c>
      <c r="J1336" s="5"/>
      <c r="K1336" s="5"/>
      <c r="L1336" s="5"/>
    </row>
    <row r="1337" spans="1:12" x14ac:dyDescent="0.25">
      <c r="A1337" s="91" t="s">
        <v>359</v>
      </c>
      <c r="B1337" s="92" t="s">
        <v>42</v>
      </c>
      <c r="C1337" s="64"/>
      <c r="D1337" s="66"/>
      <c r="E1337" s="2"/>
      <c r="F1337" s="2"/>
      <c r="G1337" s="91" t="s">
        <v>299</v>
      </c>
      <c r="H1337" s="66"/>
      <c r="I1337" s="33"/>
      <c r="J1337" s="6"/>
      <c r="K1337" s="33"/>
      <c r="L1337" s="6"/>
    </row>
    <row r="1338" spans="1:12" x14ac:dyDescent="0.25">
      <c r="A1338" s="7" t="s">
        <v>2</v>
      </c>
      <c r="B1338" s="5"/>
      <c r="C1338" s="5"/>
      <c r="D1338" s="5"/>
      <c r="E1338" s="5"/>
      <c r="F1338" s="5"/>
      <c r="G1338" s="8" t="s">
        <v>8</v>
      </c>
      <c r="H1338" s="93">
        <v>3</v>
      </c>
      <c r="I1338" s="5"/>
      <c r="J1338" s="5"/>
      <c r="K1338" s="5"/>
      <c r="L1338" s="5"/>
    </row>
    <row r="1339" spans="1:12" x14ac:dyDescent="0.25">
      <c r="A1339" s="7" t="s">
        <v>25</v>
      </c>
      <c r="B1339" s="5"/>
      <c r="C1339" s="7" t="s">
        <v>0</v>
      </c>
      <c r="D1339" s="5"/>
      <c r="E1339" s="5"/>
      <c r="F1339" s="5"/>
      <c r="G1339" s="7" t="s">
        <v>25</v>
      </c>
      <c r="H1339" s="5"/>
      <c r="I1339" s="7" t="s">
        <v>0</v>
      </c>
      <c r="J1339" s="5"/>
      <c r="K1339" s="5"/>
      <c r="L1339" s="5"/>
    </row>
    <row r="1340" spans="1:12" x14ac:dyDescent="0.25">
      <c r="A1340" s="42">
        <v>45455</v>
      </c>
      <c r="B1340" s="6"/>
      <c r="C1340" s="31">
        <f>L1299</f>
        <v>913961</v>
      </c>
      <c r="D1340" s="5"/>
      <c r="E1340" s="5"/>
      <c r="F1340" s="5"/>
      <c r="G1340" s="42">
        <v>45547</v>
      </c>
      <c r="H1340" s="6"/>
      <c r="I1340" s="9"/>
      <c r="J1340" s="5"/>
      <c r="K1340" s="5"/>
      <c r="L1340" s="5"/>
    </row>
    <row r="1341" spans="1:12" ht="16.5" thickBot="1" x14ac:dyDescent="0.3">
      <c r="A1341" s="7"/>
      <c r="B1341" s="62"/>
      <c r="C1341" s="62"/>
      <c r="D1341" s="62"/>
      <c r="E1341" s="5"/>
      <c r="F1341" s="5"/>
      <c r="G1341" s="10"/>
      <c r="H1341" s="5"/>
      <c r="I1341" s="5"/>
      <c r="J1341" s="5"/>
      <c r="K1341" s="5"/>
      <c r="L1341" s="5"/>
    </row>
    <row r="1342" spans="1:12" ht="15.75" thickBot="1" x14ac:dyDescent="0.3">
      <c r="A1342" s="121" t="s">
        <v>9</v>
      </c>
      <c r="B1342" s="122"/>
      <c r="C1342" s="123"/>
      <c r="D1342" s="5"/>
      <c r="E1342" s="5"/>
      <c r="F1342" s="5"/>
      <c r="G1342" s="121" t="s">
        <v>26</v>
      </c>
      <c r="H1342" s="122"/>
      <c r="I1342" s="123"/>
      <c r="J1342" s="5"/>
      <c r="K1342" s="5"/>
      <c r="L1342" s="5"/>
    </row>
    <row r="1343" spans="1:12" x14ac:dyDescent="0.25">
      <c r="A1343" s="30" t="s">
        <v>38</v>
      </c>
      <c r="B1343" s="11"/>
      <c r="C1343" s="11"/>
      <c r="D1343" s="11"/>
      <c r="E1343" s="6"/>
      <c r="F1343" s="5"/>
      <c r="G1343" s="30"/>
      <c r="H1343" s="11"/>
      <c r="I1343" s="11"/>
      <c r="J1343" s="11"/>
      <c r="K1343" s="11"/>
      <c r="L1343" s="6"/>
    </row>
    <row r="1344" spans="1:12" ht="15.75" thickBot="1" x14ac:dyDescent="0.3">
      <c r="A1344" s="7"/>
      <c r="B1344" s="7"/>
      <c r="C1344" s="7"/>
      <c r="D1344" s="5"/>
      <c r="E1344" s="5"/>
      <c r="F1344" s="5"/>
      <c r="G1344" s="7" t="str">
        <f>A1346</f>
        <v>Cape Town</v>
      </c>
      <c r="H1344" s="7"/>
      <c r="I1344" s="7"/>
      <c r="J1344" s="5"/>
      <c r="K1344" s="5"/>
      <c r="L1344" s="5"/>
    </row>
    <row r="1345" spans="1:12" ht="15.75" thickBot="1" x14ac:dyDescent="0.3">
      <c r="A1345" s="121"/>
      <c r="B1345" s="122"/>
      <c r="C1345" s="124"/>
      <c r="D1345" s="12" t="s">
        <v>1</v>
      </c>
      <c r="E1345" s="32"/>
      <c r="F1345" s="5"/>
      <c r="G1345" s="121" t="s">
        <v>27</v>
      </c>
      <c r="H1345" s="122"/>
      <c r="I1345" s="123"/>
      <c r="J1345" s="5"/>
      <c r="K1345" s="12" t="s">
        <v>1</v>
      </c>
      <c r="L1345" s="32">
        <v>917003</v>
      </c>
    </row>
    <row r="1346" spans="1:12" x14ac:dyDescent="0.25">
      <c r="A1346" s="30" t="s">
        <v>65</v>
      </c>
      <c r="B1346" s="11"/>
      <c r="C1346" s="11"/>
      <c r="D1346" s="11"/>
      <c r="E1346" s="6"/>
      <c r="F1346" s="5"/>
      <c r="G1346" s="30" t="s">
        <v>364</v>
      </c>
      <c r="H1346" s="11"/>
      <c r="I1346" s="11"/>
      <c r="J1346" s="11"/>
      <c r="K1346" s="11"/>
      <c r="L1346" s="6"/>
    </row>
    <row r="1347" spans="1:12" x14ac:dyDescent="0.25">
      <c r="A1347" s="76"/>
      <c r="B1347" s="11"/>
      <c r="C1347" s="11"/>
      <c r="D1347" s="11"/>
      <c r="E1347" s="6"/>
      <c r="F1347" s="5"/>
      <c r="G1347" s="34"/>
      <c r="H1347" s="11"/>
      <c r="I1347" s="11"/>
      <c r="J1347" s="11"/>
      <c r="K1347" s="11"/>
      <c r="L1347" s="6"/>
    </row>
    <row r="1348" spans="1:12" x14ac:dyDescent="0.25">
      <c r="A1348" s="13"/>
      <c r="B1348" s="11"/>
      <c r="C1348" s="11"/>
      <c r="D1348" s="11"/>
      <c r="E1348" s="6"/>
      <c r="F1348" s="5"/>
      <c r="G1348" s="13"/>
      <c r="H1348" s="11"/>
      <c r="I1348" s="11"/>
      <c r="J1348" s="11"/>
      <c r="K1348" s="11"/>
      <c r="L1348" s="6"/>
    </row>
    <row r="1349" spans="1:12" x14ac:dyDescent="0.25">
      <c r="A1349" s="13"/>
      <c r="B1349" s="11"/>
      <c r="C1349" s="11"/>
      <c r="D1349" s="11"/>
      <c r="E1349" s="6"/>
      <c r="F1349" s="5"/>
      <c r="G1349" s="13"/>
      <c r="H1349" s="11"/>
      <c r="I1349" s="11"/>
      <c r="J1349" s="11"/>
      <c r="K1349" s="11"/>
      <c r="L1349" s="6"/>
    </row>
    <row r="1350" spans="1:12" ht="15.75" thickBot="1" x14ac:dyDescent="0.3">
      <c r="A1350" s="13"/>
      <c r="B1350" s="11"/>
      <c r="C1350" s="11" t="s">
        <v>29</v>
      </c>
      <c r="D1350" s="43"/>
      <c r="E1350" s="6"/>
      <c r="F1350" s="5"/>
      <c r="G1350" s="13"/>
      <c r="H1350" s="11"/>
      <c r="I1350" s="14" t="s">
        <v>28</v>
      </c>
      <c r="J1350" s="43"/>
      <c r="K1350" s="59"/>
      <c r="L1350" s="6"/>
    </row>
    <row r="1351" spans="1:12" ht="15.75" thickBot="1" x14ac:dyDescent="0.3">
      <c r="A1351" s="15" t="s">
        <v>10</v>
      </c>
      <c r="B1351" s="5"/>
      <c r="C1351" s="5"/>
      <c r="D1351" s="5"/>
      <c r="E1351" s="5"/>
      <c r="F1351" s="5"/>
      <c r="G1351" s="15" t="s">
        <v>14</v>
      </c>
      <c r="H1351" s="5"/>
      <c r="I1351" s="5"/>
      <c r="J1351" s="5"/>
      <c r="K1351" s="5"/>
      <c r="L1351" s="5"/>
    </row>
    <row r="1352" spans="1:12" ht="15.75" thickBot="1" x14ac:dyDescent="0.3">
      <c r="A1352" s="121" t="s">
        <v>11</v>
      </c>
      <c r="B1352" s="122"/>
      <c r="C1352" s="123"/>
      <c r="D1352" s="16" t="s">
        <v>12</v>
      </c>
      <c r="E1352" s="16" t="s">
        <v>13</v>
      </c>
      <c r="F1352" s="5"/>
      <c r="G1352" s="121" t="s">
        <v>15</v>
      </c>
      <c r="H1352" s="122"/>
      <c r="I1352" s="123"/>
      <c r="J1352" s="121"/>
      <c r="K1352" s="123"/>
      <c r="L1352" s="5"/>
    </row>
    <row r="1353" spans="1:12" x14ac:dyDescent="0.25">
      <c r="A1353" s="45">
        <v>45516</v>
      </c>
      <c r="B1353" s="46" t="s">
        <v>66</v>
      </c>
      <c r="C1353" s="47"/>
      <c r="D1353" s="56">
        <v>288.69</v>
      </c>
      <c r="E1353" s="57">
        <v>6010.55</v>
      </c>
      <c r="F1353" s="44">
        <f>E1353/D1353</f>
        <v>20.820083826942394</v>
      </c>
      <c r="G1353" s="125" t="s">
        <v>69</v>
      </c>
      <c r="H1353" s="126"/>
      <c r="I1353" s="127"/>
      <c r="J1353" s="128">
        <v>0</v>
      </c>
      <c r="K1353" s="129"/>
      <c r="L1353" s="5"/>
    </row>
    <row r="1354" spans="1:12" x14ac:dyDescent="0.25">
      <c r="A1354" s="94">
        <v>45577</v>
      </c>
      <c r="B1354" s="46" t="s">
        <v>66</v>
      </c>
      <c r="C1354" s="47"/>
      <c r="D1354" s="56">
        <v>674.28</v>
      </c>
      <c r="E1354" s="57">
        <v>14038.5</v>
      </c>
      <c r="F1354" s="44">
        <f>E1354/D1354</f>
        <v>20.819985762591209</v>
      </c>
      <c r="G1354" s="110" t="s">
        <v>59</v>
      </c>
      <c r="H1354" s="111"/>
      <c r="I1354" s="112"/>
      <c r="J1354" s="113"/>
      <c r="K1354" s="114"/>
      <c r="L1354" s="5"/>
    </row>
    <row r="1355" spans="1:12" x14ac:dyDescent="0.25">
      <c r="A1355" s="94">
        <v>45638</v>
      </c>
      <c r="B1355" s="46" t="s">
        <v>47</v>
      </c>
      <c r="C1355" s="47"/>
      <c r="D1355" s="56">
        <v>428.8</v>
      </c>
      <c r="E1355" s="57">
        <v>8667.4599999999991</v>
      </c>
      <c r="F1355" s="44">
        <f>E1355/D1355</f>
        <v>20.213292910447759</v>
      </c>
      <c r="G1355" s="110" t="s">
        <v>61</v>
      </c>
      <c r="H1355" s="111"/>
      <c r="I1355" s="112"/>
      <c r="J1355" s="113"/>
      <c r="K1355" s="114"/>
      <c r="L1355" s="5"/>
    </row>
    <row r="1356" spans="1:12" x14ac:dyDescent="0.25">
      <c r="A1356" s="94"/>
      <c r="B1356" s="46"/>
      <c r="C1356" s="47"/>
      <c r="D1356" s="56"/>
      <c r="E1356" s="57"/>
      <c r="F1356" s="44"/>
      <c r="G1356" s="110" t="s">
        <v>51</v>
      </c>
      <c r="H1356" s="111"/>
      <c r="I1356" s="112"/>
      <c r="J1356" s="113"/>
      <c r="K1356" s="114"/>
      <c r="L1356" s="5"/>
    </row>
    <row r="1357" spans="1:12" x14ac:dyDescent="0.25">
      <c r="A1357" s="48"/>
      <c r="B1357" s="46"/>
      <c r="C1357" s="39"/>
      <c r="D1357" s="52"/>
      <c r="E1357" s="53"/>
      <c r="F1357" s="44"/>
      <c r="G1357" s="110" t="s">
        <v>58</v>
      </c>
      <c r="H1357" s="111"/>
      <c r="I1357" s="112"/>
      <c r="J1357" s="113"/>
      <c r="K1357" s="114"/>
      <c r="L1357" s="5"/>
    </row>
    <row r="1358" spans="1:12" x14ac:dyDescent="0.25">
      <c r="A1358" s="48"/>
      <c r="B1358" s="35"/>
      <c r="C1358" s="39"/>
      <c r="D1358" s="52"/>
      <c r="E1358" s="53"/>
      <c r="F1358" s="44"/>
      <c r="G1358" s="110" t="s">
        <v>51</v>
      </c>
      <c r="H1358" s="111"/>
      <c r="I1358" s="112"/>
      <c r="J1358" s="113"/>
      <c r="K1358" s="114"/>
      <c r="L1358" s="5"/>
    </row>
    <row r="1359" spans="1:12" x14ac:dyDescent="0.25">
      <c r="A1359" s="48"/>
      <c r="B1359" s="35"/>
      <c r="C1359" s="39"/>
      <c r="D1359" s="52"/>
      <c r="E1359" s="53"/>
      <c r="F1359" s="44"/>
      <c r="G1359" s="77"/>
      <c r="H1359" s="78" t="s">
        <v>69</v>
      </c>
      <c r="I1359" s="79"/>
      <c r="J1359" s="113"/>
      <c r="K1359" s="114"/>
      <c r="L1359" s="5"/>
    </row>
    <row r="1360" spans="1:12" x14ac:dyDescent="0.25">
      <c r="A1360" s="38"/>
      <c r="B1360" s="35"/>
      <c r="C1360" s="39"/>
      <c r="D1360" s="52"/>
      <c r="E1360" s="53"/>
      <c r="F1360" s="44"/>
      <c r="G1360" s="77"/>
      <c r="H1360" s="78" t="s">
        <v>72</v>
      </c>
      <c r="I1360" s="79"/>
      <c r="J1360" s="113"/>
      <c r="K1360" s="114"/>
      <c r="L1360" s="5"/>
    </row>
    <row r="1361" spans="1:12" ht="15.75" thickBot="1" x14ac:dyDescent="0.3">
      <c r="A1361" s="5"/>
      <c r="B1361" s="5"/>
      <c r="C1361" s="7" t="s">
        <v>35</v>
      </c>
      <c r="D1361" s="17">
        <f>SUM(D1353:D1360)</f>
        <v>1391.77</v>
      </c>
      <c r="E1361" s="17">
        <f>SUM(E1353:E1360)</f>
        <v>28716.51</v>
      </c>
      <c r="F1361" s="89">
        <f>AVERAGE(F1353:F1357)</f>
        <v>20.617787499993785</v>
      </c>
      <c r="G1361" s="110" t="s">
        <v>73</v>
      </c>
      <c r="H1361" s="111"/>
      <c r="I1361" s="112"/>
      <c r="J1361" s="113"/>
      <c r="K1361" s="114"/>
      <c r="L1361" s="7" t="s">
        <v>36</v>
      </c>
    </row>
    <row r="1362" spans="1:12" ht="15.75" thickBot="1" x14ac:dyDescent="0.3">
      <c r="A1362" s="5"/>
      <c r="B1362" s="5"/>
      <c r="C1362" s="5"/>
      <c r="D1362" s="5"/>
      <c r="E1362" s="5"/>
      <c r="F1362" s="5"/>
      <c r="G1362" s="130"/>
      <c r="H1362" s="131"/>
      <c r="I1362" s="132"/>
      <c r="J1362" s="133"/>
      <c r="K1362" s="134"/>
      <c r="L1362" s="18">
        <f>J1353+J1354+J1355+J1356+J1357+J1358+J1359+J1360+J1361</f>
        <v>0</v>
      </c>
    </row>
    <row r="1363" spans="1:12" ht="15.75" thickBot="1" x14ac:dyDescent="0.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</row>
    <row r="1364" spans="1:12" ht="15.75" thickBot="1" x14ac:dyDescent="0.3">
      <c r="A1364" s="19"/>
      <c r="B1364" s="20"/>
      <c r="C1364" s="20"/>
      <c r="D1364" s="20"/>
      <c r="E1364" s="21" t="s">
        <v>13</v>
      </c>
      <c r="F1364" s="5"/>
      <c r="G1364" s="19"/>
      <c r="H1364" s="20"/>
      <c r="I1364" s="20"/>
      <c r="J1364" s="20"/>
      <c r="K1364" s="21" t="s">
        <v>13</v>
      </c>
      <c r="L1364" s="5"/>
    </row>
    <row r="1365" spans="1:12" x14ac:dyDescent="0.25">
      <c r="A1365" s="22" t="s">
        <v>31</v>
      </c>
      <c r="B1365" s="115">
        <v>18143</v>
      </c>
      <c r="C1365" s="116"/>
      <c r="D1365" s="116"/>
      <c r="E1365" s="117"/>
      <c r="F1365" s="5"/>
      <c r="G1365" s="22" t="s">
        <v>32</v>
      </c>
      <c r="H1365" s="115">
        <v>41517</v>
      </c>
      <c r="I1365" s="116"/>
      <c r="J1365" s="116"/>
      <c r="K1365" s="117"/>
      <c r="L1365" s="5"/>
    </row>
    <row r="1366" spans="1:12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</row>
    <row r="1367" spans="1:12" x14ac:dyDescent="0.25">
      <c r="A1367" s="7" t="s">
        <v>16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</row>
    <row r="1368" spans="1:12" x14ac:dyDescent="0.25">
      <c r="A1368" s="9" t="s">
        <v>17</v>
      </c>
      <c r="B1368" s="23">
        <f>L1345-C1340</f>
        <v>3042</v>
      </c>
      <c r="C1368" s="5"/>
      <c r="D1368" s="106" t="s">
        <v>18</v>
      </c>
      <c r="E1368" s="107"/>
      <c r="F1368" s="24" t="s">
        <v>19</v>
      </c>
      <c r="G1368" s="9" t="s">
        <v>20</v>
      </c>
      <c r="H1368" s="118">
        <f>B1365+H1365</f>
        <v>59660</v>
      </c>
      <c r="I1368" s="119"/>
      <c r="J1368" s="60"/>
      <c r="K1368" s="5"/>
      <c r="L1368" s="5"/>
    </row>
    <row r="1369" spans="1:12" x14ac:dyDescent="0.25">
      <c r="A1369" s="9" t="s">
        <v>41</v>
      </c>
      <c r="B1369" s="40">
        <f>B1368/D1361</f>
        <v>2.1857059715326526</v>
      </c>
      <c r="C1369" s="5"/>
      <c r="D1369" s="102">
        <f>E1361</f>
        <v>28716.51</v>
      </c>
      <c r="E1369" s="103"/>
      <c r="F1369" s="25">
        <f>H1369/B1368</f>
        <v>10.368740959894806</v>
      </c>
      <c r="G1369" s="9" t="s">
        <v>21</v>
      </c>
      <c r="H1369" s="104">
        <f>L1362+D1369+D1371+D1373+D1375+A1372</f>
        <v>31541.71</v>
      </c>
      <c r="I1369" s="105"/>
      <c r="J1369" s="5"/>
      <c r="K1369" s="5"/>
      <c r="L1369" s="5"/>
    </row>
    <row r="1370" spans="1:12" x14ac:dyDescent="0.25">
      <c r="A1370" s="9" t="s">
        <v>43</v>
      </c>
      <c r="B1370" s="23">
        <f>D1361/B1368*100</f>
        <v>45.751808021038791</v>
      </c>
      <c r="C1370" s="5"/>
      <c r="D1370" s="106" t="s">
        <v>33</v>
      </c>
      <c r="E1370" s="107"/>
      <c r="F1370" s="5"/>
      <c r="G1370" s="13" t="s">
        <v>22</v>
      </c>
      <c r="H1370" s="6"/>
      <c r="I1370" s="26">
        <f>H1368-H1369</f>
        <v>28118.29</v>
      </c>
      <c r="J1370" s="5"/>
      <c r="K1370" s="5"/>
      <c r="L1370" s="5"/>
    </row>
    <row r="1371" spans="1:12" x14ac:dyDescent="0.25">
      <c r="A1371" s="106" t="s">
        <v>40</v>
      </c>
      <c r="B1371" s="107"/>
      <c r="C1371" s="5"/>
      <c r="D1371" s="149">
        <v>1000</v>
      </c>
      <c r="E1371" s="150"/>
      <c r="F1371" s="5"/>
      <c r="G1371" s="5"/>
      <c r="H1371" s="5"/>
      <c r="I1371" s="5"/>
      <c r="J1371" s="5"/>
      <c r="K1371" s="5"/>
      <c r="L1371" s="5"/>
    </row>
    <row r="1372" spans="1:12" x14ac:dyDescent="0.25">
      <c r="A1372" s="108">
        <f>B1368*0.6</f>
        <v>1825.2</v>
      </c>
      <c r="B1372" s="109"/>
      <c r="C1372" s="5"/>
      <c r="D1372" s="106" t="s">
        <v>34</v>
      </c>
      <c r="E1372" s="107"/>
      <c r="F1372" s="5"/>
      <c r="G1372" s="145" t="s">
        <v>292</v>
      </c>
      <c r="H1372" s="146"/>
      <c r="I1372" s="23">
        <f>B1368/2.3</f>
        <v>1322.608695652174</v>
      </c>
      <c r="J1372" s="60"/>
      <c r="K1372" s="5"/>
      <c r="L1372" s="5"/>
    </row>
    <row r="1373" spans="1:12" x14ac:dyDescent="0.25">
      <c r="A1373" s="5"/>
      <c r="B1373" s="5"/>
      <c r="C1373" s="5"/>
      <c r="D1373" s="108">
        <v>0</v>
      </c>
      <c r="E1373" s="109"/>
      <c r="F1373" s="5"/>
      <c r="G1373" s="145" t="s">
        <v>294</v>
      </c>
      <c r="H1373" s="146"/>
      <c r="I1373" s="23">
        <f>I1372-D1361</f>
        <v>-69.16130434782599</v>
      </c>
      <c r="J1373" s="5"/>
      <c r="K1373" s="5"/>
      <c r="L1373" s="5"/>
    </row>
    <row r="1374" spans="1:12" x14ac:dyDescent="0.25">
      <c r="A1374" s="5"/>
      <c r="B1374" s="5"/>
      <c r="C1374" s="5"/>
      <c r="D1374" s="106" t="s">
        <v>37</v>
      </c>
      <c r="E1374" s="107"/>
      <c r="F1374" s="5"/>
      <c r="G1374" s="147" t="s">
        <v>295</v>
      </c>
      <c r="H1374" s="148"/>
      <c r="I1374" s="86">
        <f>I1373*F1361</f>
        <v>-1425.9530762658726</v>
      </c>
      <c r="J1374" s="87">
        <f>I1370-I1374</f>
        <v>29544.243076265873</v>
      </c>
      <c r="K1374" s="5"/>
      <c r="L1374" s="5"/>
    </row>
    <row r="1375" spans="1:12" x14ac:dyDescent="0.25">
      <c r="A1375" s="5"/>
      <c r="B1375" s="5"/>
      <c r="C1375" s="5"/>
      <c r="D1375" s="108"/>
      <c r="E1375" s="109"/>
      <c r="F1375" s="5" t="s">
        <v>78</v>
      </c>
      <c r="G1375" s="5"/>
      <c r="H1375" s="5"/>
      <c r="I1375" s="5"/>
      <c r="J1375" s="88" t="s">
        <v>293</v>
      </c>
      <c r="K1375" s="44"/>
      <c r="L1375" s="5"/>
    </row>
    <row r="1377" spans="1:12" s="49" customFormat="1" x14ac:dyDescent="0.25"/>
    <row r="1380" spans="1:12" x14ac:dyDescent="0.25">
      <c r="A1380" s="120" t="s">
        <v>24</v>
      </c>
      <c r="B1380" s="120"/>
      <c r="C1380" s="120"/>
      <c r="D1380" s="120"/>
      <c r="E1380" s="120"/>
      <c r="F1380" s="120"/>
      <c r="G1380" s="120"/>
      <c r="H1380" s="120"/>
      <c r="I1380" s="120"/>
      <c r="J1380" s="120"/>
      <c r="K1380" s="120"/>
      <c r="L1380" s="120"/>
    </row>
    <row r="1381" spans="1:12" x14ac:dyDescent="0.25">
      <c r="A1381" s="120"/>
      <c r="B1381" s="120"/>
      <c r="C1381" s="120"/>
      <c r="D1381" s="120"/>
      <c r="E1381" s="120"/>
      <c r="F1381" s="120"/>
      <c r="G1381" s="120"/>
      <c r="H1381" s="120"/>
      <c r="I1381" s="120"/>
      <c r="J1381" s="120"/>
      <c r="K1381" s="120"/>
      <c r="L1381" s="120"/>
    </row>
    <row r="1382" spans="1:12" x14ac:dyDescent="0.25">
      <c r="A1382" s="1" t="s">
        <v>4</v>
      </c>
      <c r="B1382" s="2"/>
      <c r="C1382" s="90"/>
      <c r="D1382" s="2"/>
      <c r="E1382" s="2"/>
      <c r="F1382" s="2"/>
      <c r="G1382" s="3" t="s">
        <v>5</v>
      </c>
      <c r="H1382" s="3" t="s">
        <v>6</v>
      </c>
      <c r="I1382" s="4" t="s">
        <v>7</v>
      </c>
      <c r="J1382" s="5"/>
      <c r="K1382" s="5"/>
      <c r="L1382" s="5"/>
    </row>
    <row r="1383" spans="1:12" x14ac:dyDescent="0.25">
      <c r="A1383" s="91" t="s">
        <v>359</v>
      </c>
      <c r="B1383" s="92" t="s">
        <v>42</v>
      </c>
      <c r="C1383" s="64"/>
      <c r="D1383" s="66"/>
      <c r="E1383" s="2"/>
      <c r="F1383" s="2"/>
      <c r="G1383" s="91" t="s">
        <v>299</v>
      </c>
      <c r="H1383" s="66"/>
      <c r="I1383" s="33"/>
      <c r="J1383" s="6"/>
      <c r="K1383" s="33"/>
      <c r="L1383" s="6"/>
    </row>
    <row r="1384" spans="1:12" x14ac:dyDescent="0.25">
      <c r="A1384" s="7" t="s">
        <v>2</v>
      </c>
      <c r="B1384" s="5"/>
      <c r="C1384" s="5"/>
      <c r="D1384" s="5"/>
      <c r="E1384" s="5"/>
      <c r="F1384" s="5"/>
      <c r="G1384" s="8" t="s">
        <v>8</v>
      </c>
      <c r="H1384" s="93">
        <v>3</v>
      </c>
      <c r="I1384" s="5"/>
      <c r="J1384" s="5"/>
      <c r="K1384" s="5"/>
      <c r="L1384" s="5"/>
    </row>
    <row r="1385" spans="1:12" x14ac:dyDescent="0.25">
      <c r="A1385" s="7" t="s">
        <v>25</v>
      </c>
      <c r="B1385" s="5"/>
      <c r="C1385" s="7" t="s">
        <v>0</v>
      </c>
      <c r="D1385" s="5"/>
      <c r="E1385" s="5"/>
      <c r="F1385" s="5"/>
      <c r="G1385" s="7" t="s">
        <v>25</v>
      </c>
      <c r="H1385" s="5"/>
      <c r="I1385" s="7" t="s">
        <v>0</v>
      </c>
      <c r="J1385" s="5"/>
      <c r="K1385" s="5"/>
      <c r="L1385" s="5"/>
    </row>
    <row r="1386" spans="1:12" x14ac:dyDescent="0.25">
      <c r="A1386" s="42">
        <v>45608</v>
      </c>
      <c r="B1386" s="6"/>
      <c r="C1386" s="31">
        <f>L1345</f>
        <v>917003</v>
      </c>
      <c r="D1386" s="5"/>
      <c r="E1386" s="5"/>
      <c r="F1386" s="5"/>
      <c r="G1386" s="42">
        <v>45547</v>
      </c>
      <c r="H1386" s="6"/>
      <c r="I1386" s="9"/>
      <c r="J1386" s="5"/>
      <c r="K1386" s="5"/>
      <c r="L1386" s="5"/>
    </row>
    <row r="1387" spans="1:12" ht="16.5" thickBot="1" x14ac:dyDescent="0.3">
      <c r="A1387" s="7"/>
      <c r="B1387" s="62"/>
      <c r="C1387" s="62"/>
      <c r="D1387" s="62"/>
      <c r="E1387" s="5"/>
      <c r="F1387" s="5"/>
      <c r="G1387" s="10"/>
      <c r="H1387" s="5"/>
      <c r="I1387" s="5"/>
      <c r="J1387" s="5"/>
      <c r="K1387" s="5"/>
      <c r="L1387" s="5"/>
    </row>
    <row r="1388" spans="1:12" ht="15.75" thickBot="1" x14ac:dyDescent="0.3">
      <c r="A1388" s="121" t="s">
        <v>9</v>
      </c>
      <c r="B1388" s="122"/>
      <c r="C1388" s="123"/>
      <c r="D1388" s="5"/>
      <c r="E1388" s="5"/>
      <c r="F1388" s="5"/>
      <c r="G1388" s="121" t="s">
        <v>26</v>
      </c>
      <c r="H1388" s="122"/>
      <c r="I1388" s="123"/>
      <c r="J1388" s="5"/>
      <c r="K1388" s="5"/>
      <c r="L1388" s="5"/>
    </row>
    <row r="1389" spans="1:12" x14ac:dyDescent="0.25">
      <c r="A1389" s="30" t="s">
        <v>38</v>
      </c>
      <c r="B1389" s="11"/>
      <c r="C1389" s="11"/>
      <c r="D1389" s="11"/>
      <c r="E1389" s="6"/>
      <c r="F1389" s="5"/>
      <c r="G1389" s="30"/>
      <c r="H1389" s="11"/>
      <c r="I1389" s="11"/>
      <c r="J1389" s="11"/>
      <c r="K1389" s="11"/>
      <c r="L1389" s="6"/>
    </row>
    <row r="1390" spans="1:12" ht="15.75" thickBot="1" x14ac:dyDescent="0.3">
      <c r="A1390" s="7"/>
      <c r="B1390" s="7"/>
      <c r="C1390" s="7"/>
      <c r="D1390" s="5"/>
      <c r="E1390" s="5"/>
      <c r="F1390" s="5"/>
      <c r="G1390" s="7" t="str">
        <f>A1392</f>
        <v>Cape Town</v>
      </c>
      <c r="H1390" s="7"/>
      <c r="I1390" s="7"/>
      <c r="J1390" s="5"/>
      <c r="K1390" s="5"/>
      <c r="L1390" s="5"/>
    </row>
    <row r="1391" spans="1:12" ht="15.75" thickBot="1" x14ac:dyDescent="0.3">
      <c r="A1391" s="121"/>
      <c r="B1391" s="122"/>
      <c r="C1391" s="124"/>
      <c r="D1391" s="12" t="s">
        <v>1</v>
      </c>
      <c r="E1391" s="32"/>
      <c r="F1391" s="5"/>
      <c r="G1391" s="121" t="s">
        <v>27</v>
      </c>
      <c r="H1391" s="122"/>
      <c r="I1391" s="123"/>
      <c r="J1391" s="5"/>
      <c r="K1391" s="12" t="s">
        <v>1</v>
      </c>
      <c r="L1391" s="32">
        <v>920031</v>
      </c>
    </row>
    <row r="1392" spans="1:12" x14ac:dyDescent="0.25">
      <c r="A1392" s="30" t="s">
        <v>65</v>
      </c>
      <c r="B1392" s="11"/>
      <c r="C1392" s="11"/>
      <c r="D1392" s="11"/>
      <c r="E1392" s="6"/>
      <c r="F1392" s="5"/>
      <c r="G1392" s="30" t="s">
        <v>364</v>
      </c>
      <c r="H1392" s="11"/>
      <c r="I1392" s="11"/>
      <c r="J1392" s="11"/>
      <c r="K1392" s="11"/>
      <c r="L1392" s="6"/>
    </row>
    <row r="1393" spans="1:12" x14ac:dyDescent="0.25">
      <c r="A1393" s="76"/>
      <c r="B1393" s="11"/>
      <c r="C1393" s="11"/>
      <c r="D1393" s="11"/>
      <c r="E1393" s="6"/>
      <c r="F1393" s="5"/>
      <c r="G1393" s="34"/>
      <c r="H1393" s="11"/>
      <c r="I1393" s="11"/>
      <c r="J1393" s="11"/>
      <c r="K1393" s="11"/>
      <c r="L1393" s="6"/>
    </row>
    <row r="1394" spans="1:12" x14ac:dyDescent="0.25">
      <c r="A1394" s="13"/>
      <c r="B1394" s="11"/>
      <c r="C1394" s="11"/>
      <c r="D1394" s="11"/>
      <c r="E1394" s="6"/>
      <c r="F1394" s="5"/>
      <c r="G1394" s="13"/>
      <c r="H1394" s="11"/>
      <c r="I1394" s="11"/>
      <c r="J1394" s="11"/>
      <c r="K1394" s="11"/>
      <c r="L1394" s="6"/>
    </row>
    <row r="1395" spans="1:12" x14ac:dyDescent="0.25">
      <c r="A1395" s="13"/>
      <c r="B1395" s="11"/>
      <c r="C1395" s="11"/>
      <c r="D1395" s="11"/>
      <c r="E1395" s="6"/>
      <c r="F1395" s="5"/>
      <c r="G1395" s="13"/>
      <c r="H1395" s="11"/>
      <c r="I1395" s="11"/>
      <c r="J1395" s="11"/>
      <c r="K1395" s="11"/>
      <c r="L1395" s="6"/>
    </row>
    <row r="1396" spans="1:12" ht="15.75" thickBot="1" x14ac:dyDescent="0.3">
      <c r="A1396" s="13"/>
      <c r="B1396" s="11"/>
      <c r="C1396" s="11" t="s">
        <v>29</v>
      </c>
      <c r="D1396" s="43"/>
      <c r="E1396" s="6"/>
      <c r="F1396" s="5"/>
      <c r="G1396" s="13"/>
      <c r="H1396" s="11"/>
      <c r="I1396" s="14" t="s">
        <v>28</v>
      </c>
      <c r="J1396" s="43"/>
      <c r="K1396" s="59"/>
      <c r="L1396" s="6"/>
    </row>
    <row r="1397" spans="1:12" ht="15.75" thickBot="1" x14ac:dyDescent="0.3">
      <c r="A1397" s="15" t="s">
        <v>10</v>
      </c>
      <c r="B1397" s="5"/>
      <c r="C1397" s="5"/>
      <c r="D1397" s="5"/>
      <c r="E1397" s="5"/>
      <c r="F1397" s="5"/>
      <c r="G1397" s="15" t="s">
        <v>14</v>
      </c>
      <c r="H1397" s="5"/>
      <c r="I1397" s="5"/>
      <c r="J1397" s="5"/>
      <c r="K1397" s="5"/>
      <c r="L1397" s="5"/>
    </row>
    <row r="1398" spans="1:12" ht="15.75" thickBot="1" x14ac:dyDescent="0.3">
      <c r="A1398" s="121" t="s">
        <v>11</v>
      </c>
      <c r="B1398" s="122"/>
      <c r="C1398" s="123"/>
      <c r="D1398" s="16" t="s">
        <v>12</v>
      </c>
      <c r="E1398" s="16" t="s">
        <v>13</v>
      </c>
      <c r="F1398" s="5"/>
      <c r="G1398" s="121" t="s">
        <v>15</v>
      </c>
      <c r="H1398" s="122"/>
      <c r="I1398" s="123"/>
      <c r="J1398" s="121"/>
      <c r="K1398" s="123"/>
      <c r="L1398" s="5"/>
    </row>
    <row r="1399" spans="1:12" x14ac:dyDescent="0.25">
      <c r="A1399" s="45">
        <v>45638</v>
      </c>
      <c r="B1399" s="46" t="s">
        <v>66</v>
      </c>
      <c r="C1399" s="47"/>
      <c r="D1399" s="56">
        <v>336.98</v>
      </c>
      <c r="E1399" s="57">
        <v>7015.9</v>
      </c>
      <c r="F1399" s="44">
        <f>E1399/D1399</f>
        <v>20.819929966170097</v>
      </c>
      <c r="G1399" s="125" t="s">
        <v>69</v>
      </c>
      <c r="H1399" s="126"/>
      <c r="I1399" s="127"/>
      <c r="J1399" s="128">
        <v>0</v>
      </c>
      <c r="K1399" s="129"/>
      <c r="L1399" s="5"/>
    </row>
    <row r="1400" spans="1:12" x14ac:dyDescent="0.25">
      <c r="A1400" s="94" t="s">
        <v>391</v>
      </c>
      <c r="B1400" s="46" t="s">
        <v>305</v>
      </c>
      <c r="C1400" s="47"/>
      <c r="D1400" s="56">
        <v>200</v>
      </c>
      <c r="E1400" s="57">
        <v>4240</v>
      </c>
      <c r="F1400" s="44">
        <f>E1400/D1400</f>
        <v>21.2</v>
      </c>
      <c r="G1400" s="110" t="s">
        <v>59</v>
      </c>
      <c r="H1400" s="111"/>
      <c r="I1400" s="112"/>
      <c r="J1400" s="113"/>
      <c r="K1400" s="114"/>
      <c r="L1400" s="5"/>
    </row>
    <row r="1401" spans="1:12" x14ac:dyDescent="0.25">
      <c r="A1401" s="94" t="s">
        <v>391</v>
      </c>
      <c r="B1401" s="46" t="s">
        <v>66</v>
      </c>
      <c r="C1401" s="47"/>
      <c r="D1401" s="56">
        <v>590.52</v>
      </c>
      <c r="E1401" s="57">
        <v>12294.6</v>
      </c>
      <c r="F1401" s="44">
        <f>E1401/D1401</f>
        <v>20.819955293639506</v>
      </c>
      <c r="G1401" s="110" t="s">
        <v>61</v>
      </c>
      <c r="H1401" s="111"/>
      <c r="I1401" s="112"/>
      <c r="J1401" s="113"/>
      <c r="K1401" s="114"/>
      <c r="L1401" s="5"/>
    </row>
    <row r="1402" spans="1:12" x14ac:dyDescent="0.25">
      <c r="A1402" s="94" t="s">
        <v>392</v>
      </c>
      <c r="B1402" s="46" t="s">
        <v>47</v>
      </c>
      <c r="C1402" s="47"/>
      <c r="D1402" s="56">
        <v>434</v>
      </c>
      <c r="E1402" s="57">
        <v>8771.14</v>
      </c>
      <c r="F1402" s="44">
        <f>E1402/D1402</f>
        <v>20.209999999999997</v>
      </c>
      <c r="G1402" s="110" t="s">
        <v>51</v>
      </c>
      <c r="H1402" s="111"/>
      <c r="I1402" s="112"/>
      <c r="J1402" s="113"/>
      <c r="K1402" s="114"/>
      <c r="L1402" s="5"/>
    </row>
    <row r="1403" spans="1:12" x14ac:dyDescent="0.25">
      <c r="A1403" s="48"/>
      <c r="B1403" s="46"/>
      <c r="C1403" s="39"/>
      <c r="D1403" s="52"/>
      <c r="E1403" s="53"/>
      <c r="F1403" s="44"/>
      <c r="G1403" s="110" t="s">
        <v>58</v>
      </c>
      <c r="H1403" s="111"/>
      <c r="I1403" s="112"/>
      <c r="J1403" s="113"/>
      <c r="K1403" s="114"/>
      <c r="L1403" s="5"/>
    </row>
    <row r="1404" spans="1:12" x14ac:dyDescent="0.25">
      <c r="A1404" s="48"/>
      <c r="B1404" s="35"/>
      <c r="C1404" s="39"/>
      <c r="D1404" s="52"/>
      <c r="E1404" s="53"/>
      <c r="F1404" s="44"/>
      <c r="G1404" s="110" t="s">
        <v>51</v>
      </c>
      <c r="H1404" s="111"/>
      <c r="I1404" s="112"/>
      <c r="J1404" s="113"/>
      <c r="K1404" s="114"/>
      <c r="L1404" s="5"/>
    </row>
    <row r="1405" spans="1:12" x14ac:dyDescent="0.25">
      <c r="A1405" s="48"/>
      <c r="B1405" s="35"/>
      <c r="C1405" s="39"/>
      <c r="D1405" s="52"/>
      <c r="E1405" s="53"/>
      <c r="F1405" s="44"/>
      <c r="G1405" s="77"/>
      <c r="H1405" s="78" t="s">
        <v>69</v>
      </c>
      <c r="I1405" s="79"/>
      <c r="J1405" s="113"/>
      <c r="K1405" s="114"/>
      <c r="L1405" s="5"/>
    </row>
    <row r="1406" spans="1:12" x14ac:dyDescent="0.25">
      <c r="A1406" s="38"/>
      <c r="B1406" s="35"/>
      <c r="C1406" s="39"/>
      <c r="D1406" s="52"/>
      <c r="E1406" s="53"/>
      <c r="F1406" s="44"/>
      <c r="G1406" s="77"/>
      <c r="H1406" s="78" t="s">
        <v>72</v>
      </c>
      <c r="I1406" s="79"/>
      <c r="J1406" s="113"/>
      <c r="K1406" s="114"/>
      <c r="L1406" s="5"/>
    </row>
    <row r="1407" spans="1:12" ht="15.75" thickBot="1" x14ac:dyDescent="0.3">
      <c r="A1407" s="5"/>
      <c r="B1407" s="5"/>
      <c r="C1407" s="7" t="s">
        <v>35</v>
      </c>
      <c r="D1407" s="17">
        <f>SUM(D1399:D1406)</f>
        <v>1561.5</v>
      </c>
      <c r="E1407" s="17">
        <f>SUM(E1399:E1406)</f>
        <v>32321.64</v>
      </c>
      <c r="F1407" s="89">
        <f>AVERAGE(F1399:F1403)</f>
        <v>20.7624713149524</v>
      </c>
      <c r="G1407" s="110" t="s">
        <v>73</v>
      </c>
      <c r="H1407" s="111"/>
      <c r="I1407" s="112"/>
      <c r="J1407" s="113"/>
      <c r="K1407" s="114"/>
      <c r="L1407" s="7" t="s">
        <v>36</v>
      </c>
    </row>
    <row r="1408" spans="1:12" ht="15.75" thickBot="1" x14ac:dyDescent="0.3">
      <c r="A1408" s="5"/>
      <c r="B1408" s="5"/>
      <c r="C1408" s="5"/>
      <c r="D1408" s="5"/>
      <c r="E1408" s="5"/>
      <c r="F1408" s="5"/>
      <c r="G1408" s="130"/>
      <c r="H1408" s="131"/>
      <c r="I1408" s="132"/>
      <c r="J1408" s="133"/>
      <c r="K1408" s="134"/>
      <c r="L1408" s="18">
        <f>J1399+J1400+J1401+J1402+J1403+J1404+J1405+J1406+J1407</f>
        <v>0</v>
      </c>
    </row>
    <row r="1409" spans="1:12" ht="15.75" thickBot="1" x14ac:dyDescent="0.3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</row>
    <row r="1410" spans="1:12" ht="15.75" thickBot="1" x14ac:dyDescent="0.3">
      <c r="A1410" s="19"/>
      <c r="B1410" s="20"/>
      <c r="C1410" s="20"/>
      <c r="D1410" s="20"/>
      <c r="E1410" s="21" t="s">
        <v>13</v>
      </c>
      <c r="F1410" s="5"/>
      <c r="G1410" s="19"/>
      <c r="H1410" s="20"/>
      <c r="I1410" s="20"/>
      <c r="J1410" s="20"/>
      <c r="K1410" s="21" t="s">
        <v>13</v>
      </c>
      <c r="L1410" s="5"/>
    </row>
    <row r="1411" spans="1:12" x14ac:dyDescent="0.25">
      <c r="A1411" s="22" t="s">
        <v>31</v>
      </c>
      <c r="B1411" s="115">
        <v>18143</v>
      </c>
      <c r="C1411" s="116"/>
      <c r="D1411" s="116"/>
      <c r="E1411" s="117"/>
      <c r="F1411" s="5"/>
      <c r="G1411" s="22" t="s">
        <v>32</v>
      </c>
      <c r="H1411" s="115">
        <v>41517</v>
      </c>
      <c r="I1411" s="116"/>
      <c r="J1411" s="116"/>
      <c r="K1411" s="117"/>
      <c r="L1411" s="5"/>
    </row>
    <row r="1412" spans="1:12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</row>
    <row r="1413" spans="1:12" x14ac:dyDescent="0.25">
      <c r="A1413" s="7" t="s">
        <v>16</v>
      </c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</row>
    <row r="1414" spans="1:12" x14ac:dyDescent="0.25">
      <c r="A1414" s="9" t="s">
        <v>17</v>
      </c>
      <c r="B1414" s="23">
        <f>L1391-C1386</f>
        <v>3028</v>
      </c>
      <c r="C1414" s="5"/>
      <c r="D1414" s="106" t="s">
        <v>18</v>
      </c>
      <c r="E1414" s="107"/>
      <c r="F1414" s="24" t="s">
        <v>19</v>
      </c>
      <c r="G1414" s="9" t="s">
        <v>20</v>
      </c>
      <c r="H1414" s="118">
        <f>B1411+H1411</f>
        <v>59660</v>
      </c>
      <c r="I1414" s="119"/>
      <c r="J1414" s="60"/>
      <c r="K1414" s="5"/>
      <c r="L1414" s="5"/>
    </row>
    <row r="1415" spans="1:12" x14ac:dyDescent="0.25">
      <c r="A1415" s="9" t="s">
        <v>41</v>
      </c>
      <c r="B1415" s="40">
        <f>B1414/D1407</f>
        <v>1.9391610630803715</v>
      </c>
      <c r="C1415" s="5"/>
      <c r="D1415" s="102">
        <f>E1407</f>
        <v>32321.64</v>
      </c>
      <c r="E1415" s="103"/>
      <c r="F1415" s="25">
        <f>H1415/B1414</f>
        <v>11.604504623513872</v>
      </c>
      <c r="G1415" s="9" t="s">
        <v>21</v>
      </c>
      <c r="H1415" s="104">
        <f>L1408+D1415+D1417+D1419+D1421+A1418</f>
        <v>35138.44</v>
      </c>
      <c r="I1415" s="105"/>
      <c r="J1415" s="5"/>
      <c r="K1415" s="5"/>
      <c r="L1415" s="5"/>
    </row>
    <row r="1416" spans="1:12" x14ac:dyDescent="0.25">
      <c r="A1416" s="9" t="s">
        <v>43</v>
      </c>
      <c r="B1416" s="23">
        <f>D1407/B1414*100</f>
        <v>51.568692206076619</v>
      </c>
      <c r="C1416" s="5"/>
      <c r="D1416" s="106" t="s">
        <v>33</v>
      </c>
      <c r="E1416" s="107"/>
      <c r="F1416" s="5"/>
      <c r="G1416" s="13" t="s">
        <v>22</v>
      </c>
      <c r="H1416" s="6"/>
      <c r="I1416" s="26">
        <f>H1414-H1415</f>
        <v>24521.559999999998</v>
      </c>
      <c r="J1416" s="5"/>
      <c r="K1416" s="5"/>
      <c r="L1416" s="5"/>
    </row>
    <row r="1417" spans="1:12" x14ac:dyDescent="0.25">
      <c r="A1417" s="106" t="s">
        <v>40</v>
      </c>
      <c r="B1417" s="107"/>
      <c r="C1417" s="5"/>
      <c r="D1417" s="149">
        <v>1000</v>
      </c>
      <c r="E1417" s="150"/>
      <c r="F1417" s="5"/>
      <c r="G1417" s="5"/>
      <c r="H1417" s="5"/>
      <c r="I1417" s="5"/>
      <c r="J1417" s="5"/>
      <c r="K1417" s="5"/>
      <c r="L1417" s="5"/>
    </row>
    <row r="1418" spans="1:12" x14ac:dyDescent="0.25">
      <c r="A1418" s="108">
        <f>B1414*0.6</f>
        <v>1816.8</v>
      </c>
      <c r="B1418" s="109"/>
      <c r="C1418" s="5"/>
      <c r="D1418" s="106" t="s">
        <v>34</v>
      </c>
      <c r="E1418" s="107"/>
      <c r="F1418" s="5"/>
      <c r="G1418" s="145" t="s">
        <v>292</v>
      </c>
      <c r="H1418" s="146"/>
      <c r="I1418" s="23">
        <f>B1414/2.3</f>
        <v>1316.521739130435</v>
      </c>
      <c r="J1418" s="60"/>
      <c r="K1418" s="5"/>
      <c r="L1418" s="5"/>
    </row>
    <row r="1419" spans="1:12" x14ac:dyDescent="0.25">
      <c r="A1419" s="5"/>
      <c r="B1419" s="5"/>
      <c r="C1419" s="5"/>
      <c r="D1419" s="108">
        <v>0</v>
      </c>
      <c r="E1419" s="109"/>
      <c r="F1419" s="5"/>
      <c r="G1419" s="145" t="s">
        <v>294</v>
      </c>
      <c r="H1419" s="146"/>
      <c r="I1419" s="23">
        <f>I1418-D1407</f>
        <v>-244.97826086956502</v>
      </c>
      <c r="J1419" s="5"/>
      <c r="K1419" s="5"/>
      <c r="L1419" s="5"/>
    </row>
    <row r="1420" spans="1:12" x14ac:dyDescent="0.25">
      <c r="A1420" s="5"/>
      <c r="B1420" s="5"/>
      <c r="C1420" s="5"/>
      <c r="D1420" s="106" t="s">
        <v>37</v>
      </c>
      <c r="E1420" s="107"/>
      <c r="F1420" s="5"/>
      <c r="G1420" s="147" t="s">
        <v>295</v>
      </c>
      <c r="H1420" s="148"/>
      <c r="I1420" s="86">
        <f>I1419*F1407</f>
        <v>-5086.3541140912694</v>
      </c>
      <c r="J1420" s="87">
        <f>I1416-I1420</f>
        <v>29607.914114091269</v>
      </c>
      <c r="K1420" s="5"/>
      <c r="L1420" s="5"/>
    </row>
    <row r="1421" spans="1:12" x14ac:dyDescent="0.25">
      <c r="A1421" s="5"/>
      <c r="B1421" s="5"/>
      <c r="C1421" s="5"/>
      <c r="D1421" s="108"/>
      <c r="E1421" s="109"/>
      <c r="F1421" s="5" t="s">
        <v>78</v>
      </c>
      <c r="G1421" s="5"/>
      <c r="H1421" s="5"/>
      <c r="I1421" s="5"/>
      <c r="J1421" s="88" t="s">
        <v>293</v>
      </c>
      <c r="K1421" s="44"/>
      <c r="L1421" s="5"/>
    </row>
    <row r="1423" spans="1:12" s="49" customFormat="1" x14ac:dyDescent="0.25"/>
    <row r="1426" spans="1:13" x14ac:dyDescent="0.25">
      <c r="A1426" s="120" t="s">
        <v>24</v>
      </c>
      <c r="B1426" s="120"/>
      <c r="C1426" s="120"/>
      <c r="D1426" s="120"/>
      <c r="E1426" s="120"/>
      <c r="F1426" s="120"/>
      <c r="G1426" s="120"/>
      <c r="H1426" s="120"/>
      <c r="I1426" s="120"/>
      <c r="J1426" s="120"/>
      <c r="K1426" s="120"/>
      <c r="L1426" s="120"/>
    </row>
    <row r="1427" spans="1:13" x14ac:dyDescent="0.25">
      <c r="A1427" s="120"/>
      <c r="B1427" s="120"/>
      <c r="C1427" s="120"/>
      <c r="D1427" s="120"/>
      <c r="E1427" s="120"/>
      <c r="F1427" s="120"/>
      <c r="G1427" s="120"/>
      <c r="H1427" s="120"/>
      <c r="I1427" s="120"/>
      <c r="J1427" s="120"/>
      <c r="K1427" s="120"/>
      <c r="L1427" s="120"/>
    </row>
    <row r="1428" spans="1:13" x14ac:dyDescent="0.25">
      <c r="A1428" s="1" t="s">
        <v>4</v>
      </c>
      <c r="B1428" s="2"/>
      <c r="C1428" s="90"/>
      <c r="D1428" s="2"/>
      <c r="E1428" s="2"/>
      <c r="F1428" s="2"/>
      <c r="G1428" s="3" t="s">
        <v>5</v>
      </c>
      <c r="H1428" s="3" t="s">
        <v>6</v>
      </c>
      <c r="I1428" s="4" t="s">
        <v>7</v>
      </c>
      <c r="J1428" s="5"/>
      <c r="K1428" s="5"/>
      <c r="L1428" s="5"/>
    </row>
    <row r="1429" spans="1:13" x14ac:dyDescent="0.25">
      <c r="A1429" s="91" t="s">
        <v>359</v>
      </c>
      <c r="B1429" s="92" t="s">
        <v>42</v>
      </c>
      <c r="C1429" s="64"/>
      <c r="D1429" s="66"/>
      <c r="E1429" s="2"/>
      <c r="F1429" s="2"/>
      <c r="G1429" s="91" t="s">
        <v>299</v>
      </c>
      <c r="H1429" s="66"/>
      <c r="I1429" s="33"/>
      <c r="J1429" s="6"/>
      <c r="K1429" s="33"/>
      <c r="L1429" s="6"/>
    </row>
    <row r="1430" spans="1:13" x14ac:dyDescent="0.25">
      <c r="A1430" s="7" t="s">
        <v>2</v>
      </c>
      <c r="B1430" s="5"/>
      <c r="C1430" s="5"/>
      <c r="D1430" s="5"/>
      <c r="E1430" s="5"/>
      <c r="F1430" s="5"/>
      <c r="G1430" s="8" t="s">
        <v>8</v>
      </c>
      <c r="H1430" s="93">
        <v>3</v>
      </c>
      <c r="I1430" s="5"/>
      <c r="J1430" s="5"/>
      <c r="K1430" s="5"/>
      <c r="L1430" s="5"/>
    </row>
    <row r="1431" spans="1:13" x14ac:dyDescent="0.25">
      <c r="A1431" s="7" t="s">
        <v>25</v>
      </c>
      <c r="B1431" s="5"/>
      <c r="C1431" s="7" t="s">
        <v>0</v>
      </c>
      <c r="D1431" s="5"/>
      <c r="E1431" s="5"/>
      <c r="F1431" s="5"/>
      <c r="G1431" s="7" t="s">
        <v>25</v>
      </c>
      <c r="H1431" s="5"/>
      <c r="I1431" s="7" t="s">
        <v>0</v>
      </c>
      <c r="J1431" s="5"/>
      <c r="K1431" s="5"/>
      <c r="L1431" s="5"/>
    </row>
    <row r="1432" spans="1:13" x14ac:dyDescent="0.25">
      <c r="A1432" s="42" t="s">
        <v>392</v>
      </c>
      <c r="B1432" s="6"/>
      <c r="C1432" s="31">
        <f>L1391</f>
        <v>920031</v>
      </c>
      <c r="D1432" s="5"/>
      <c r="E1432" s="5"/>
      <c r="F1432" s="5"/>
      <c r="G1432" s="42" t="s">
        <v>396</v>
      </c>
      <c r="H1432" s="6"/>
      <c r="I1432" s="9"/>
      <c r="J1432" s="5"/>
      <c r="K1432" s="5"/>
      <c r="L1432" s="5"/>
    </row>
    <row r="1433" spans="1:13" ht="16.5" thickBot="1" x14ac:dyDescent="0.3">
      <c r="A1433" s="7"/>
      <c r="B1433" s="62"/>
      <c r="C1433" s="62"/>
      <c r="D1433" s="62"/>
      <c r="E1433" s="5"/>
      <c r="F1433" s="5"/>
      <c r="G1433" s="10"/>
      <c r="H1433" s="5"/>
      <c r="I1433" s="5"/>
      <c r="J1433" s="5"/>
      <c r="K1433" s="5"/>
      <c r="L1433" s="5"/>
    </row>
    <row r="1434" spans="1:13" ht="15.75" thickBot="1" x14ac:dyDescent="0.3">
      <c r="A1434" s="121" t="s">
        <v>9</v>
      </c>
      <c r="B1434" s="122"/>
      <c r="C1434" s="123"/>
      <c r="D1434" s="5"/>
      <c r="E1434" s="5"/>
      <c r="F1434" s="5"/>
      <c r="G1434" s="121" t="s">
        <v>26</v>
      </c>
      <c r="H1434" s="122"/>
      <c r="I1434" s="123"/>
      <c r="J1434" s="5"/>
      <c r="K1434" s="5"/>
      <c r="L1434" s="5"/>
    </row>
    <row r="1435" spans="1:13" x14ac:dyDescent="0.25">
      <c r="A1435" s="30" t="s">
        <v>38</v>
      </c>
      <c r="B1435" s="11"/>
      <c r="C1435" s="11"/>
      <c r="D1435" s="11"/>
      <c r="E1435" s="6"/>
      <c r="F1435" s="5"/>
      <c r="G1435" s="30"/>
      <c r="H1435" s="11"/>
      <c r="I1435" s="11"/>
      <c r="J1435" s="11"/>
      <c r="K1435" s="11"/>
      <c r="L1435" s="6"/>
    </row>
    <row r="1436" spans="1:13" ht="15.75" thickBot="1" x14ac:dyDescent="0.3">
      <c r="A1436" s="7"/>
      <c r="B1436" s="7"/>
      <c r="C1436" s="7"/>
      <c r="D1436" s="5"/>
      <c r="E1436" s="5"/>
      <c r="F1436" s="5"/>
      <c r="G1436" s="7" t="str">
        <f>A1438</f>
        <v>Cape Town</v>
      </c>
      <c r="H1436" s="7"/>
      <c r="I1436" s="7"/>
      <c r="J1436" s="5"/>
      <c r="K1436" s="5"/>
      <c r="L1436" s="5"/>
    </row>
    <row r="1437" spans="1:13" ht="15.75" thickBot="1" x14ac:dyDescent="0.3">
      <c r="A1437" s="121"/>
      <c r="B1437" s="122"/>
      <c r="C1437" s="124"/>
      <c r="D1437" s="12" t="s">
        <v>1</v>
      </c>
      <c r="E1437" s="32"/>
      <c r="F1437" s="5"/>
      <c r="G1437" s="121" t="s">
        <v>27</v>
      </c>
      <c r="H1437" s="122"/>
      <c r="I1437" s="123"/>
      <c r="J1437" s="5"/>
      <c r="K1437" s="12" t="s">
        <v>1</v>
      </c>
      <c r="L1437" s="32">
        <v>923031</v>
      </c>
      <c r="M1437">
        <v>920031</v>
      </c>
    </row>
    <row r="1438" spans="1:13" x14ac:dyDescent="0.25">
      <c r="A1438" s="30" t="s">
        <v>65</v>
      </c>
      <c r="B1438" s="11"/>
      <c r="C1438" s="11"/>
      <c r="D1438" s="11"/>
      <c r="E1438" s="6"/>
      <c r="F1438" s="5"/>
      <c r="G1438" s="30" t="s">
        <v>364</v>
      </c>
      <c r="H1438" s="11"/>
      <c r="I1438" s="11"/>
      <c r="J1438" s="11"/>
      <c r="K1438" s="11"/>
      <c r="L1438" s="6"/>
      <c r="M1438">
        <v>3000</v>
      </c>
    </row>
    <row r="1439" spans="1:13" x14ac:dyDescent="0.25">
      <c r="A1439" s="76"/>
      <c r="B1439" s="11"/>
      <c r="C1439" s="11"/>
      <c r="D1439" s="11"/>
      <c r="E1439" s="6"/>
      <c r="F1439" s="5"/>
      <c r="G1439" s="34"/>
      <c r="H1439" s="11"/>
      <c r="I1439" s="11"/>
      <c r="J1439" s="11"/>
      <c r="K1439" s="11"/>
      <c r="L1439" s="6"/>
      <c r="M1439">
        <f>M1437+M1438</f>
        <v>923031</v>
      </c>
    </row>
    <row r="1440" spans="1:13" x14ac:dyDescent="0.25">
      <c r="A1440" s="13"/>
      <c r="B1440" s="11"/>
      <c r="C1440" s="11"/>
      <c r="D1440" s="11"/>
      <c r="E1440" s="6"/>
      <c r="F1440" s="5"/>
      <c r="G1440" s="13"/>
      <c r="H1440" s="11"/>
      <c r="I1440" s="11"/>
      <c r="J1440" s="11"/>
      <c r="K1440" s="11"/>
      <c r="L1440" s="6"/>
      <c r="M1440">
        <v>9257204</v>
      </c>
    </row>
    <row r="1441" spans="1:12" x14ac:dyDescent="0.25">
      <c r="A1441" s="13"/>
      <c r="B1441" s="11"/>
      <c r="C1441" s="11"/>
      <c r="D1441" s="11"/>
      <c r="E1441" s="6"/>
      <c r="F1441" s="5"/>
      <c r="G1441" s="13"/>
      <c r="H1441" s="11"/>
      <c r="I1441" s="11"/>
      <c r="J1441" s="11"/>
      <c r="K1441" s="11"/>
      <c r="L1441" s="6"/>
    </row>
    <row r="1442" spans="1:12" ht="15.75" thickBot="1" x14ac:dyDescent="0.3">
      <c r="A1442" s="13"/>
      <c r="B1442" s="11"/>
      <c r="C1442" s="11" t="s">
        <v>29</v>
      </c>
      <c r="D1442" s="43"/>
      <c r="E1442" s="6"/>
      <c r="F1442" s="5"/>
      <c r="G1442" s="13"/>
      <c r="H1442" s="11"/>
      <c r="I1442" s="14" t="s">
        <v>28</v>
      </c>
      <c r="J1442" s="43"/>
      <c r="K1442" s="59"/>
      <c r="L1442" s="6"/>
    </row>
    <row r="1443" spans="1:12" ht="15.75" thickBot="1" x14ac:dyDescent="0.3">
      <c r="A1443" s="15" t="s">
        <v>10</v>
      </c>
      <c r="B1443" s="5"/>
      <c r="C1443" s="5"/>
      <c r="D1443" s="5"/>
      <c r="E1443" s="5"/>
      <c r="F1443" s="5"/>
      <c r="G1443" s="15" t="s">
        <v>14</v>
      </c>
      <c r="H1443" s="5"/>
      <c r="I1443" s="5"/>
      <c r="J1443" s="5"/>
      <c r="K1443" s="5"/>
      <c r="L1443" s="5"/>
    </row>
    <row r="1444" spans="1:12" ht="15.75" thickBot="1" x14ac:dyDescent="0.3">
      <c r="A1444" s="121" t="s">
        <v>11</v>
      </c>
      <c r="B1444" s="122"/>
      <c r="C1444" s="123"/>
      <c r="D1444" s="16" t="s">
        <v>12</v>
      </c>
      <c r="E1444" s="16" t="s">
        <v>13</v>
      </c>
      <c r="F1444" s="5"/>
      <c r="G1444" s="121" t="s">
        <v>15</v>
      </c>
      <c r="H1444" s="122"/>
      <c r="I1444" s="123"/>
      <c r="J1444" s="121"/>
      <c r="K1444" s="123"/>
      <c r="L1444" s="5"/>
    </row>
    <row r="1445" spans="1:12" x14ac:dyDescent="0.25">
      <c r="A1445" s="45" t="s">
        <v>393</v>
      </c>
      <c r="B1445" s="46" t="s">
        <v>66</v>
      </c>
      <c r="C1445" s="47"/>
      <c r="D1445" s="56">
        <v>278.77</v>
      </c>
      <c r="E1445" s="57">
        <v>5804</v>
      </c>
      <c r="F1445" s="44">
        <f>E1445/D1445</f>
        <v>20.8200308498045</v>
      </c>
      <c r="G1445" s="125" t="s">
        <v>69</v>
      </c>
      <c r="H1445" s="126"/>
      <c r="I1445" s="127"/>
      <c r="J1445" s="128">
        <v>0</v>
      </c>
      <c r="K1445" s="129"/>
      <c r="L1445" s="5"/>
    </row>
    <row r="1446" spans="1:12" x14ac:dyDescent="0.25">
      <c r="A1446" s="94" t="s">
        <v>395</v>
      </c>
      <c r="B1446" s="46" t="s">
        <v>305</v>
      </c>
      <c r="C1446" s="47"/>
      <c r="D1446" s="56">
        <v>200</v>
      </c>
      <c r="E1446" s="57">
        <v>4240</v>
      </c>
      <c r="F1446" s="44">
        <f>E1446/D1446</f>
        <v>21.2</v>
      </c>
      <c r="G1446" s="110" t="s">
        <v>59</v>
      </c>
      <c r="H1446" s="111"/>
      <c r="I1446" s="112"/>
      <c r="J1446" s="113"/>
      <c r="K1446" s="114"/>
      <c r="L1446" s="5"/>
    </row>
    <row r="1447" spans="1:12" x14ac:dyDescent="0.25">
      <c r="A1447" s="94" t="s">
        <v>395</v>
      </c>
      <c r="B1447" s="46" t="s">
        <v>66</v>
      </c>
      <c r="C1447" s="47"/>
      <c r="D1447" s="56">
        <v>532.34</v>
      </c>
      <c r="E1447" s="57">
        <v>11083.3</v>
      </c>
      <c r="F1447" s="44">
        <f>E1447/D1447</f>
        <v>20.819964684224367</v>
      </c>
      <c r="G1447" s="110" t="s">
        <v>61</v>
      </c>
      <c r="H1447" s="111"/>
      <c r="I1447" s="112"/>
      <c r="J1447" s="113"/>
      <c r="K1447" s="114"/>
      <c r="L1447" s="5"/>
    </row>
    <row r="1448" spans="1:12" x14ac:dyDescent="0.25">
      <c r="A1448" s="94" t="s">
        <v>397</v>
      </c>
      <c r="B1448" s="46" t="s">
        <v>47</v>
      </c>
      <c r="C1448" s="47"/>
      <c r="D1448" s="56">
        <v>400</v>
      </c>
      <c r="E1448" s="57">
        <v>8085.01</v>
      </c>
      <c r="F1448" s="44">
        <f>E1448/D1448</f>
        <v>20.212524999999999</v>
      </c>
      <c r="G1448" s="110" t="s">
        <v>51</v>
      </c>
      <c r="H1448" s="111"/>
      <c r="I1448" s="112"/>
      <c r="J1448" s="113"/>
      <c r="K1448" s="114"/>
      <c r="L1448" s="5"/>
    </row>
    <row r="1449" spans="1:12" x14ac:dyDescent="0.25">
      <c r="A1449" s="48"/>
      <c r="B1449" s="46"/>
      <c r="C1449" s="39"/>
      <c r="D1449" s="52"/>
      <c r="E1449" s="53"/>
      <c r="F1449" s="44"/>
      <c r="G1449" s="110" t="s">
        <v>58</v>
      </c>
      <c r="H1449" s="111"/>
      <c r="I1449" s="112"/>
      <c r="J1449" s="113"/>
      <c r="K1449" s="114"/>
      <c r="L1449" s="5"/>
    </row>
    <row r="1450" spans="1:12" x14ac:dyDescent="0.25">
      <c r="A1450" s="48"/>
      <c r="B1450" s="35"/>
      <c r="C1450" s="39"/>
      <c r="D1450" s="52"/>
      <c r="E1450" s="53"/>
      <c r="F1450" s="44"/>
      <c r="G1450" s="110" t="s">
        <v>51</v>
      </c>
      <c r="H1450" s="111"/>
      <c r="I1450" s="112"/>
      <c r="J1450" s="113"/>
      <c r="K1450" s="114"/>
      <c r="L1450" s="5"/>
    </row>
    <row r="1451" spans="1:12" x14ac:dyDescent="0.25">
      <c r="A1451" s="48"/>
      <c r="B1451" s="35"/>
      <c r="C1451" s="39"/>
      <c r="D1451" s="52"/>
      <c r="E1451" s="53"/>
      <c r="F1451" s="44"/>
      <c r="G1451" s="77"/>
      <c r="H1451" s="78" t="s">
        <v>69</v>
      </c>
      <c r="I1451" s="79"/>
      <c r="J1451" s="113"/>
      <c r="K1451" s="114"/>
      <c r="L1451" s="5"/>
    </row>
    <row r="1452" spans="1:12" x14ac:dyDescent="0.25">
      <c r="A1452" s="38"/>
      <c r="B1452" s="35"/>
      <c r="C1452" s="39"/>
      <c r="D1452" s="52"/>
      <c r="E1452" s="53"/>
      <c r="F1452" s="44"/>
      <c r="G1452" s="77"/>
      <c r="H1452" s="78" t="s">
        <v>72</v>
      </c>
      <c r="I1452" s="79"/>
      <c r="J1452" s="113"/>
      <c r="K1452" s="114"/>
      <c r="L1452" s="5"/>
    </row>
    <row r="1453" spans="1:12" ht="15.75" thickBot="1" x14ac:dyDescent="0.3">
      <c r="A1453" s="5"/>
      <c r="B1453" s="5"/>
      <c r="C1453" s="7" t="s">
        <v>35</v>
      </c>
      <c r="D1453" s="17">
        <f>SUM(D1445:D1452)</f>
        <v>1411.1100000000001</v>
      </c>
      <c r="E1453" s="17">
        <f>SUM(E1445:E1452)</f>
        <v>29212.309999999998</v>
      </c>
      <c r="F1453" s="89">
        <f>AVERAGE(F1445:F1449)</f>
        <v>20.763130133507218</v>
      </c>
      <c r="G1453" s="110" t="s">
        <v>73</v>
      </c>
      <c r="H1453" s="111"/>
      <c r="I1453" s="112"/>
      <c r="J1453" s="113"/>
      <c r="K1453" s="114"/>
      <c r="L1453" s="7" t="s">
        <v>36</v>
      </c>
    </row>
    <row r="1454" spans="1:12" ht="15.75" thickBot="1" x14ac:dyDescent="0.3">
      <c r="A1454" s="5"/>
      <c r="B1454" s="5"/>
      <c r="C1454" s="5"/>
      <c r="D1454" s="5"/>
      <c r="E1454" s="5"/>
      <c r="F1454" s="5"/>
      <c r="G1454" s="130"/>
      <c r="H1454" s="131"/>
      <c r="I1454" s="132"/>
      <c r="J1454" s="133"/>
      <c r="K1454" s="134"/>
      <c r="L1454" s="18">
        <f>J1445+J1446+J1447+J1448+J1449+J1450+J1451+J1452+J1453</f>
        <v>0</v>
      </c>
    </row>
    <row r="1455" spans="1:12" ht="15.75" thickBot="1" x14ac:dyDescent="0.3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</row>
    <row r="1456" spans="1:12" ht="15.75" thickBot="1" x14ac:dyDescent="0.3">
      <c r="A1456" s="19"/>
      <c r="B1456" s="20"/>
      <c r="C1456" s="20"/>
      <c r="D1456" s="20"/>
      <c r="E1456" s="21" t="s">
        <v>13</v>
      </c>
      <c r="F1456" s="5"/>
      <c r="G1456" s="19"/>
      <c r="H1456" s="20"/>
      <c r="I1456" s="20"/>
      <c r="J1456" s="20"/>
      <c r="K1456" s="21" t="s">
        <v>13</v>
      </c>
      <c r="L1456" s="5"/>
    </row>
    <row r="1457" spans="1:12" x14ac:dyDescent="0.25">
      <c r="A1457" s="22" t="s">
        <v>31</v>
      </c>
      <c r="B1457" s="115">
        <v>18143</v>
      </c>
      <c r="C1457" s="116"/>
      <c r="D1457" s="116"/>
      <c r="E1457" s="117"/>
      <c r="F1457" s="5"/>
      <c r="G1457" s="22" t="s">
        <v>32</v>
      </c>
      <c r="H1457" s="115">
        <v>41517</v>
      </c>
      <c r="I1457" s="116"/>
      <c r="J1457" s="116"/>
      <c r="K1457" s="117"/>
      <c r="L1457" s="5"/>
    </row>
    <row r="1458" spans="1:12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</row>
    <row r="1459" spans="1:12" x14ac:dyDescent="0.25">
      <c r="A1459" s="7" t="s">
        <v>16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</row>
    <row r="1460" spans="1:12" x14ac:dyDescent="0.25">
      <c r="A1460" s="9" t="s">
        <v>17</v>
      </c>
      <c r="B1460" s="23">
        <f>L1437-C1432</f>
        <v>3000</v>
      </c>
      <c r="C1460" s="5"/>
      <c r="D1460" s="106" t="s">
        <v>18</v>
      </c>
      <c r="E1460" s="107"/>
      <c r="F1460" s="24" t="s">
        <v>19</v>
      </c>
      <c r="G1460" s="9" t="s">
        <v>20</v>
      </c>
      <c r="H1460" s="118">
        <f>B1457+H1457</f>
        <v>59660</v>
      </c>
      <c r="I1460" s="119"/>
      <c r="J1460" s="60"/>
      <c r="K1460" s="5"/>
      <c r="L1460" s="5"/>
    </row>
    <row r="1461" spans="1:12" x14ac:dyDescent="0.25">
      <c r="A1461" s="9" t="s">
        <v>41</v>
      </c>
      <c r="B1461" s="40">
        <f>B1460/D1453</f>
        <v>2.1259859259731697</v>
      </c>
      <c r="C1461" s="5"/>
      <c r="D1461" s="102">
        <f>E1453</f>
        <v>29212.309999999998</v>
      </c>
      <c r="E1461" s="103"/>
      <c r="F1461" s="25">
        <f>H1461/B1460</f>
        <v>10.670769999999999</v>
      </c>
      <c r="G1461" s="9" t="s">
        <v>21</v>
      </c>
      <c r="H1461" s="104">
        <f>L1454+D1461+D1463+D1465+D1467+A1464</f>
        <v>32012.309999999998</v>
      </c>
      <c r="I1461" s="105"/>
      <c r="J1461" s="5"/>
      <c r="K1461" s="5"/>
      <c r="L1461" s="5"/>
    </row>
    <row r="1462" spans="1:12" x14ac:dyDescent="0.25">
      <c r="A1462" s="9" t="s">
        <v>43</v>
      </c>
      <c r="B1462" s="23">
        <f>D1453/B1460*100</f>
        <v>47.037000000000006</v>
      </c>
      <c r="C1462" s="5"/>
      <c r="D1462" s="106" t="s">
        <v>33</v>
      </c>
      <c r="E1462" s="107"/>
      <c r="F1462" s="5"/>
      <c r="G1462" s="13" t="s">
        <v>22</v>
      </c>
      <c r="H1462" s="6"/>
      <c r="I1462" s="26">
        <f>H1460-H1461</f>
        <v>27647.690000000002</v>
      </c>
      <c r="J1462" s="5"/>
      <c r="K1462" s="5"/>
      <c r="L1462" s="5"/>
    </row>
    <row r="1463" spans="1:12" x14ac:dyDescent="0.25">
      <c r="A1463" s="106" t="s">
        <v>40</v>
      </c>
      <c r="B1463" s="107"/>
      <c r="C1463" s="5"/>
      <c r="D1463" s="149">
        <v>1000</v>
      </c>
      <c r="E1463" s="150"/>
      <c r="F1463" s="5"/>
      <c r="G1463" s="5"/>
      <c r="H1463" s="5"/>
      <c r="I1463" s="5"/>
      <c r="J1463" s="5"/>
      <c r="K1463" s="5"/>
      <c r="L1463" s="5"/>
    </row>
    <row r="1464" spans="1:12" x14ac:dyDescent="0.25">
      <c r="A1464" s="108">
        <f>B1460*0.6</f>
        <v>1800</v>
      </c>
      <c r="B1464" s="109"/>
      <c r="C1464" s="5"/>
      <c r="D1464" s="106" t="s">
        <v>34</v>
      </c>
      <c r="E1464" s="107"/>
      <c r="F1464" s="5"/>
      <c r="G1464" s="145" t="s">
        <v>292</v>
      </c>
      <c r="H1464" s="146"/>
      <c r="I1464" s="23">
        <f>B1460/2.3</f>
        <v>1304.3478260869567</v>
      </c>
      <c r="J1464" s="60"/>
      <c r="K1464" s="5"/>
      <c r="L1464" s="5"/>
    </row>
    <row r="1465" spans="1:12" x14ac:dyDescent="0.25">
      <c r="A1465" s="5"/>
      <c r="B1465" s="5"/>
      <c r="C1465" s="5"/>
      <c r="D1465" s="108">
        <v>0</v>
      </c>
      <c r="E1465" s="109"/>
      <c r="F1465" s="5"/>
      <c r="G1465" s="145" t="s">
        <v>294</v>
      </c>
      <c r="H1465" s="146"/>
      <c r="I1465" s="23">
        <f>I1464-D1453</f>
        <v>-106.7621739130434</v>
      </c>
      <c r="J1465" s="5"/>
      <c r="K1465" s="5"/>
      <c r="L1465" s="5"/>
    </row>
    <row r="1466" spans="1:12" x14ac:dyDescent="0.25">
      <c r="A1466" s="5"/>
      <c r="B1466" s="5"/>
      <c r="C1466" s="5"/>
      <c r="D1466" s="106" t="s">
        <v>37</v>
      </c>
      <c r="E1466" s="107"/>
      <c r="F1466" s="5"/>
      <c r="G1466" s="147" t="s">
        <v>295</v>
      </c>
      <c r="H1466" s="148"/>
      <c r="I1466" s="86">
        <f>I1465*F1453</f>
        <v>-2216.7169102926496</v>
      </c>
      <c r="J1466" s="87">
        <f>I1462-I1466</f>
        <v>29864.406910292651</v>
      </c>
      <c r="K1466" s="5"/>
      <c r="L1466" s="5"/>
    </row>
    <row r="1467" spans="1:12" x14ac:dyDescent="0.25">
      <c r="A1467" s="5"/>
      <c r="B1467" s="5"/>
      <c r="C1467" s="5"/>
      <c r="D1467" s="108"/>
      <c r="E1467" s="109"/>
      <c r="F1467" s="5" t="s">
        <v>78</v>
      </c>
      <c r="G1467" s="5"/>
      <c r="H1467" s="5"/>
      <c r="I1467" s="5"/>
      <c r="J1467" s="88" t="s">
        <v>293</v>
      </c>
      <c r="K1467" s="44"/>
      <c r="L1467" s="5"/>
    </row>
    <row r="1469" spans="1:12" s="49" customFormat="1" x14ac:dyDescent="0.25"/>
    <row r="1472" spans="1:12" x14ac:dyDescent="0.25">
      <c r="A1472" s="120" t="s">
        <v>24</v>
      </c>
      <c r="B1472" s="120"/>
      <c r="C1472" s="120"/>
      <c r="D1472" s="120"/>
      <c r="E1472" s="120"/>
      <c r="F1472" s="120"/>
      <c r="G1472" s="120"/>
      <c r="H1472" s="120"/>
      <c r="I1472" s="120"/>
      <c r="J1472" s="120"/>
      <c r="K1472" s="120"/>
      <c r="L1472" s="120"/>
    </row>
    <row r="1473" spans="1:12" x14ac:dyDescent="0.25">
      <c r="A1473" s="120"/>
      <c r="B1473" s="120"/>
      <c r="C1473" s="120"/>
      <c r="D1473" s="120"/>
      <c r="E1473" s="120"/>
      <c r="F1473" s="120"/>
      <c r="G1473" s="120"/>
      <c r="H1473" s="120"/>
      <c r="I1473" s="120"/>
      <c r="J1473" s="120"/>
      <c r="K1473" s="120"/>
      <c r="L1473" s="120"/>
    </row>
    <row r="1474" spans="1:12" x14ac:dyDescent="0.25">
      <c r="A1474" s="1" t="s">
        <v>4</v>
      </c>
      <c r="B1474" s="2"/>
      <c r="C1474" s="90"/>
      <c r="D1474" s="2"/>
      <c r="E1474" s="2"/>
      <c r="F1474" s="2"/>
      <c r="G1474" s="3" t="s">
        <v>5</v>
      </c>
      <c r="H1474" s="3" t="s">
        <v>6</v>
      </c>
      <c r="I1474" s="4" t="s">
        <v>7</v>
      </c>
      <c r="J1474" s="5"/>
      <c r="K1474" s="5"/>
      <c r="L1474" s="5"/>
    </row>
    <row r="1475" spans="1:12" x14ac:dyDescent="0.25">
      <c r="A1475" s="91" t="s">
        <v>312</v>
      </c>
      <c r="B1475" s="92" t="s">
        <v>42</v>
      </c>
      <c r="C1475" s="64"/>
      <c r="D1475" s="66"/>
      <c r="E1475" s="2"/>
      <c r="F1475" s="2"/>
      <c r="G1475" s="91" t="s">
        <v>299</v>
      </c>
      <c r="H1475" s="66"/>
      <c r="I1475" s="33"/>
      <c r="J1475" s="6"/>
      <c r="K1475" s="33"/>
      <c r="L1475" s="6"/>
    </row>
    <row r="1476" spans="1:12" x14ac:dyDescent="0.25">
      <c r="A1476" s="7" t="s">
        <v>2</v>
      </c>
      <c r="B1476" s="5"/>
      <c r="C1476" s="5"/>
      <c r="D1476" s="5"/>
      <c r="E1476" s="5"/>
      <c r="F1476" s="5"/>
      <c r="G1476" s="8" t="s">
        <v>8</v>
      </c>
      <c r="H1476" s="93">
        <v>3</v>
      </c>
      <c r="I1476" s="5"/>
      <c r="J1476" s="5"/>
      <c r="K1476" s="5"/>
      <c r="L1476" s="5"/>
    </row>
    <row r="1477" spans="1:12" x14ac:dyDescent="0.25">
      <c r="A1477" s="7" t="s">
        <v>25</v>
      </c>
      <c r="B1477" s="5"/>
      <c r="C1477" s="7" t="s">
        <v>0</v>
      </c>
      <c r="D1477" s="5"/>
      <c r="E1477" s="5"/>
      <c r="F1477" s="5"/>
      <c r="G1477" s="7" t="s">
        <v>25</v>
      </c>
      <c r="H1477" s="5"/>
      <c r="I1477" s="7" t="s">
        <v>0</v>
      </c>
      <c r="J1477" s="5"/>
      <c r="K1477" s="5"/>
      <c r="L1477" s="5"/>
    </row>
    <row r="1478" spans="1:12" x14ac:dyDescent="0.25">
      <c r="A1478" s="42" t="s">
        <v>394</v>
      </c>
      <c r="B1478" s="6"/>
      <c r="C1478" s="31">
        <f>L1437</f>
        <v>923031</v>
      </c>
      <c r="D1478" s="5"/>
      <c r="E1478" s="5"/>
      <c r="F1478" s="5"/>
      <c r="G1478" s="42" t="s">
        <v>396</v>
      </c>
      <c r="H1478" s="6"/>
      <c r="I1478" s="9"/>
      <c r="J1478" s="5"/>
      <c r="K1478" s="5"/>
      <c r="L1478" s="5"/>
    </row>
    <row r="1479" spans="1:12" ht="16.5" thickBot="1" x14ac:dyDescent="0.3">
      <c r="A1479" s="7"/>
      <c r="B1479" s="62"/>
      <c r="C1479" s="62"/>
      <c r="D1479" s="62"/>
      <c r="E1479" s="5"/>
      <c r="F1479" s="5"/>
      <c r="G1479" s="10"/>
      <c r="H1479" s="5"/>
      <c r="I1479" s="5"/>
      <c r="J1479" s="5"/>
      <c r="K1479" s="5"/>
      <c r="L1479" s="5"/>
    </row>
    <row r="1480" spans="1:12" ht="15.75" thickBot="1" x14ac:dyDescent="0.3">
      <c r="A1480" s="121" t="s">
        <v>9</v>
      </c>
      <c r="B1480" s="122"/>
      <c r="C1480" s="123"/>
      <c r="D1480" s="5"/>
      <c r="E1480" s="5"/>
      <c r="F1480" s="5"/>
      <c r="G1480" s="121" t="s">
        <v>26</v>
      </c>
      <c r="H1480" s="122"/>
      <c r="I1480" s="123"/>
      <c r="J1480" s="5"/>
      <c r="K1480" s="5"/>
      <c r="L1480" s="5"/>
    </row>
    <row r="1481" spans="1:12" x14ac:dyDescent="0.25">
      <c r="A1481" s="30" t="s">
        <v>38</v>
      </c>
      <c r="B1481" s="11"/>
      <c r="C1481" s="11"/>
      <c r="D1481" s="11"/>
      <c r="E1481" s="6"/>
      <c r="F1481" s="5"/>
      <c r="G1481" s="30"/>
      <c r="H1481" s="11"/>
      <c r="I1481" s="11"/>
      <c r="J1481" s="11"/>
      <c r="K1481" s="11"/>
      <c r="L1481" s="6"/>
    </row>
    <row r="1482" spans="1:12" ht="15.75" thickBot="1" x14ac:dyDescent="0.3">
      <c r="A1482" s="7"/>
      <c r="B1482" s="7"/>
      <c r="C1482" s="7"/>
      <c r="D1482" s="5"/>
      <c r="E1482" s="5"/>
      <c r="F1482" s="5"/>
      <c r="G1482" s="7" t="str">
        <f>A1484</f>
        <v>KEETMANS</v>
      </c>
      <c r="H1482" s="7"/>
      <c r="I1482" s="7"/>
      <c r="J1482" s="5"/>
      <c r="K1482" s="5"/>
      <c r="L1482" s="5"/>
    </row>
    <row r="1483" spans="1:12" ht="15.75" thickBot="1" x14ac:dyDescent="0.3">
      <c r="A1483" s="121"/>
      <c r="B1483" s="122"/>
      <c r="C1483" s="124"/>
      <c r="D1483" s="12" t="s">
        <v>1</v>
      </c>
      <c r="E1483" s="32"/>
      <c r="F1483" s="5"/>
      <c r="G1483" s="121" t="s">
        <v>27</v>
      </c>
      <c r="H1483" s="122"/>
      <c r="I1483" s="123"/>
      <c r="J1483" s="5"/>
      <c r="K1483" s="12" t="s">
        <v>1</v>
      </c>
      <c r="L1483" s="32">
        <v>925187</v>
      </c>
    </row>
    <row r="1484" spans="1:12" x14ac:dyDescent="0.25">
      <c r="A1484" s="30" t="s">
        <v>317</v>
      </c>
      <c r="B1484" s="11"/>
      <c r="C1484" s="11"/>
      <c r="D1484" s="11"/>
      <c r="E1484" s="6"/>
      <c r="F1484" s="5"/>
      <c r="G1484" s="30" t="s">
        <v>364</v>
      </c>
      <c r="H1484" s="11"/>
      <c r="I1484" s="11"/>
      <c r="J1484" s="11"/>
      <c r="K1484" s="11"/>
      <c r="L1484" s="6"/>
    </row>
    <row r="1485" spans="1:12" x14ac:dyDescent="0.25">
      <c r="A1485" s="76" t="s">
        <v>375</v>
      </c>
      <c r="B1485" s="11"/>
      <c r="C1485" s="11"/>
      <c r="D1485" s="11"/>
      <c r="E1485" s="6"/>
      <c r="F1485" s="5"/>
      <c r="G1485" s="34"/>
      <c r="H1485" s="11"/>
      <c r="I1485" s="11"/>
      <c r="J1485" s="11"/>
      <c r="K1485" s="11"/>
      <c r="L1485" s="6"/>
    </row>
    <row r="1486" spans="1:12" x14ac:dyDescent="0.25">
      <c r="A1486" s="13"/>
      <c r="B1486" s="11"/>
      <c r="C1486" s="11"/>
      <c r="D1486" s="11"/>
      <c r="E1486" s="6"/>
      <c r="F1486" s="5"/>
      <c r="G1486" s="13"/>
      <c r="H1486" s="11"/>
      <c r="I1486" s="11"/>
      <c r="J1486" s="11"/>
      <c r="K1486" s="11"/>
      <c r="L1486" s="6"/>
    </row>
    <row r="1487" spans="1:12" x14ac:dyDescent="0.25">
      <c r="A1487" s="13"/>
      <c r="B1487" s="11"/>
      <c r="C1487" s="11"/>
      <c r="D1487" s="11"/>
      <c r="E1487" s="6"/>
      <c r="F1487" s="5"/>
      <c r="G1487" s="13"/>
      <c r="H1487" s="11"/>
      <c r="I1487" s="11"/>
      <c r="J1487" s="11"/>
      <c r="K1487" s="11"/>
      <c r="L1487" s="6"/>
    </row>
    <row r="1488" spans="1:12" ht="15.75" thickBot="1" x14ac:dyDescent="0.3">
      <c r="A1488" s="13"/>
      <c r="B1488" s="11"/>
      <c r="C1488" s="11" t="s">
        <v>29</v>
      </c>
      <c r="D1488" s="43"/>
      <c r="E1488" s="6"/>
      <c r="F1488" s="5"/>
      <c r="G1488" s="13"/>
      <c r="H1488" s="11"/>
      <c r="I1488" s="14" t="s">
        <v>28</v>
      </c>
      <c r="J1488" s="43"/>
      <c r="K1488" s="59"/>
      <c r="L1488" s="6"/>
    </row>
    <row r="1489" spans="1:12" ht="15.75" thickBot="1" x14ac:dyDescent="0.3">
      <c r="A1489" s="15" t="s">
        <v>10</v>
      </c>
      <c r="B1489" s="5"/>
      <c r="C1489" s="5"/>
      <c r="D1489" s="5"/>
      <c r="E1489" s="5"/>
      <c r="F1489" s="5"/>
      <c r="G1489" s="15" t="s">
        <v>14</v>
      </c>
      <c r="H1489" s="5"/>
      <c r="I1489" s="5"/>
      <c r="J1489" s="5"/>
      <c r="K1489" s="5"/>
      <c r="L1489" s="5"/>
    </row>
    <row r="1490" spans="1:12" ht="15.75" thickBot="1" x14ac:dyDescent="0.3">
      <c r="A1490" s="121" t="s">
        <v>11</v>
      </c>
      <c r="B1490" s="122"/>
      <c r="C1490" s="123"/>
      <c r="D1490" s="16" t="s">
        <v>12</v>
      </c>
      <c r="E1490" s="16" t="s">
        <v>13</v>
      </c>
      <c r="F1490" s="5"/>
      <c r="G1490" s="121" t="s">
        <v>15</v>
      </c>
      <c r="H1490" s="122"/>
      <c r="I1490" s="123"/>
      <c r="J1490" s="121"/>
      <c r="K1490" s="123"/>
      <c r="L1490" s="5"/>
    </row>
    <row r="1491" spans="1:12" x14ac:dyDescent="0.25">
      <c r="A1491" s="45">
        <v>45413</v>
      </c>
      <c r="B1491" s="46" t="s">
        <v>316</v>
      </c>
      <c r="C1491" s="47"/>
      <c r="D1491" s="56">
        <v>543.35</v>
      </c>
      <c r="E1491" s="57">
        <v>10960.79</v>
      </c>
      <c r="F1491" s="44">
        <f>E1491/D1491</f>
        <v>20.172614336983528</v>
      </c>
      <c r="G1491" s="125" t="s">
        <v>69</v>
      </c>
      <c r="H1491" s="126"/>
      <c r="I1491" s="127"/>
      <c r="J1491" s="128">
        <v>0</v>
      </c>
      <c r="K1491" s="129"/>
      <c r="L1491" s="5"/>
    </row>
    <row r="1492" spans="1:12" x14ac:dyDescent="0.25">
      <c r="A1492" s="94">
        <v>45870</v>
      </c>
      <c r="B1492" s="46" t="s">
        <v>316</v>
      </c>
      <c r="C1492" s="47"/>
      <c r="D1492" s="56">
        <v>357.36</v>
      </c>
      <c r="E1492" s="57">
        <v>7222.25</v>
      </c>
      <c r="F1492" s="44">
        <f>E1492/D1492</f>
        <v>20.210012312513992</v>
      </c>
      <c r="G1492" s="110" t="s">
        <v>59</v>
      </c>
      <c r="H1492" s="111"/>
      <c r="I1492" s="112"/>
      <c r="J1492" s="113"/>
      <c r="K1492" s="114"/>
      <c r="L1492" s="5"/>
    </row>
    <row r="1493" spans="1:12" x14ac:dyDescent="0.25">
      <c r="A1493" s="94"/>
      <c r="B1493" s="46"/>
      <c r="C1493" s="47"/>
      <c r="D1493" s="56"/>
      <c r="E1493" s="57"/>
      <c r="F1493" s="44"/>
      <c r="G1493" s="110" t="s">
        <v>61</v>
      </c>
      <c r="H1493" s="111"/>
      <c r="I1493" s="112"/>
      <c r="J1493" s="113"/>
      <c r="K1493" s="114"/>
      <c r="L1493" s="5"/>
    </row>
    <row r="1494" spans="1:12" x14ac:dyDescent="0.25">
      <c r="A1494" s="94"/>
      <c r="B1494" s="46"/>
      <c r="C1494" s="47"/>
      <c r="D1494" s="56"/>
      <c r="E1494" s="57"/>
      <c r="F1494" s="44"/>
      <c r="G1494" s="110" t="s">
        <v>51</v>
      </c>
      <c r="H1494" s="111"/>
      <c r="I1494" s="112"/>
      <c r="J1494" s="113"/>
      <c r="K1494" s="114"/>
      <c r="L1494" s="5"/>
    </row>
    <row r="1495" spans="1:12" x14ac:dyDescent="0.25">
      <c r="A1495" s="48"/>
      <c r="B1495" s="46"/>
      <c r="C1495" s="39"/>
      <c r="D1495" s="52"/>
      <c r="E1495" s="53"/>
      <c r="F1495" s="44"/>
      <c r="G1495" s="110" t="s">
        <v>58</v>
      </c>
      <c r="H1495" s="111"/>
      <c r="I1495" s="112"/>
      <c r="J1495" s="113"/>
      <c r="K1495" s="114"/>
      <c r="L1495" s="5"/>
    </row>
    <row r="1496" spans="1:12" x14ac:dyDescent="0.25">
      <c r="A1496" s="48"/>
      <c r="B1496" s="35"/>
      <c r="C1496" s="39"/>
      <c r="D1496" s="52"/>
      <c r="E1496" s="53"/>
      <c r="F1496" s="44"/>
      <c r="G1496" s="110" t="s">
        <v>51</v>
      </c>
      <c r="H1496" s="111"/>
      <c r="I1496" s="112"/>
      <c r="J1496" s="113"/>
      <c r="K1496" s="114"/>
      <c r="L1496" s="5"/>
    </row>
    <row r="1497" spans="1:12" x14ac:dyDescent="0.25">
      <c r="A1497" s="48"/>
      <c r="B1497" s="35"/>
      <c r="C1497" s="39"/>
      <c r="D1497" s="52"/>
      <c r="E1497" s="53"/>
      <c r="F1497" s="44"/>
      <c r="G1497" s="77"/>
      <c r="H1497" s="78" t="s">
        <v>69</v>
      </c>
      <c r="I1497" s="79"/>
      <c r="J1497" s="113"/>
      <c r="K1497" s="114"/>
      <c r="L1497" s="5"/>
    </row>
    <row r="1498" spans="1:12" x14ac:dyDescent="0.25">
      <c r="A1498" s="38"/>
      <c r="B1498" s="35"/>
      <c r="C1498" s="39"/>
      <c r="D1498" s="52"/>
      <c r="E1498" s="53"/>
      <c r="F1498" s="44"/>
      <c r="G1498" s="77"/>
      <c r="H1498" s="78" t="s">
        <v>72</v>
      </c>
      <c r="I1498" s="79"/>
      <c r="J1498" s="113"/>
      <c r="K1498" s="114"/>
      <c r="L1498" s="5"/>
    </row>
    <row r="1499" spans="1:12" ht="15.75" thickBot="1" x14ac:dyDescent="0.3">
      <c r="A1499" s="5"/>
      <c r="B1499" s="5"/>
      <c r="C1499" s="7" t="s">
        <v>35</v>
      </c>
      <c r="D1499" s="17">
        <f>SUM(D1491:D1498)</f>
        <v>900.71</v>
      </c>
      <c r="E1499" s="17">
        <f>SUM(E1491:E1498)</f>
        <v>18183.04</v>
      </c>
      <c r="F1499" s="89">
        <f>AVERAGE(F1491:F1495)</f>
        <v>20.191313324748762</v>
      </c>
      <c r="G1499" s="110" t="s">
        <v>73</v>
      </c>
      <c r="H1499" s="111"/>
      <c r="I1499" s="112"/>
      <c r="J1499" s="113"/>
      <c r="K1499" s="114"/>
      <c r="L1499" s="7" t="s">
        <v>36</v>
      </c>
    </row>
    <row r="1500" spans="1:12" ht="15.75" thickBot="1" x14ac:dyDescent="0.3">
      <c r="A1500" s="5"/>
      <c r="B1500" s="5"/>
      <c r="C1500" s="5"/>
      <c r="D1500" s="5"/>
      <c r="E1500" s="5"/>
      <c r="F1500" s="5"/>
      <c r="G1500" s="130"/>
      <c r="H1500" s="131"/>
      <c r="I1500" s="132"/>
      <c r="J1500" s="133"/>
      <c r="K1500" s="134"/>
      <c r="L1500" s="18">
        <f>J1491+J1492+J1493+J1494+J1495+J1496+J1497+J1498+J1499</f>
        <v>0</v>
      </c>
    </row>
    <row r="1501" spans="1:12" ht="15.75" thickBot="1" x14ac:dyDescent="0.3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</row>
    <row r="1502" spans="1:12" ht="15.75" thickBot="1" x14ac:dyDescent="0.3">
      <c r="A1502" s="19"/>
      <c r="B1502" s="20"/>
      <c r="C1502" s="20"/>
      <c r="D1502" s="20"/>
      <c r="E1502" s="21" t="s">
        <v>13</v>
      </c>
      <c r="F1502" s="5"/>
      <c r="G1502" s="19"/>
      <c r="H1502" s="20"/>
      <c r="I1502" s="20"/>
      <c r="J1502" s="20"/>
      <c r="K1502" s="21" t="s">
        <v>13</v>
      </c>
      <c r="L1502" s="5"/>
    </row>
    <row r="1503" spans="1:12" x14ac:dyDescent="0.25">
      <c r="A1503" s="22" t="s">
        <v>31</v>
      </c>
      <c r="B1503" s="115">
        <f>19765+1600</f>
        <v>21365</v>
      </c>
      <c r="C1503" s="116"/>
      <c r="D1503" s="116"/>
      <c r="E1503" s="117"/>
      <c r="F1503" s="5"/>
      <c r="G1503" s="22" t="s">
        <v>32</v>
      </c>
      <c r="H1503" s="115">
        <v>17232</v>
      </c>
      <c r="I1503" s="116"/>
      <c r="J1503" s="116"/>
      <c r="K1503" s="117"/>
      <c r="L1503" s="5"/>
    </row>
    <row r="1504" spans="1:12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</row>
    <row r="1505" spans="1:12" x14ac:dyDescent="0.25">
      <c r="A1505" s="7" t="s">
        <v>16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</row>
    <row r="1506" spans="1:12" x14ac:dyDescent="0.25">
      <c r="A1506" s="9" t="s">
        <v>17</v>
      </c>
      <c r="B1506" s="23">
        <f>L1483-C1478</f>
        <v>2156</v>
      </c>
      <c r="C1506" s="5"/>
      <c r="D1506" s="106" t="s">
        <v>18</v>
      </c>
      <c r="E1506" s="107"/>
      <c r="F1506" s="24" t="s">
        <v>19</v>
      </c>
      <c r="G1506" s="9" t="s">
        <v>20</v>
      </c>
      <c r="H1506" s="118">
        <f>B1503+H1503</f>
        <v>38597</v>
      </c>
      <c r="I1506" s="119"/>
      <c r="J1506" s="60"/>
      <c r="K1506" s="5"/>
      <c r="L1506" s="5"/>
    </row>
    <row r="1507" spans="1:12" x14ac:dyDescent="0.25">
      <c r="A1507" s="9" t="s">
        <v>41</v>
      </c>
      <c r="B1507" s="40">
        <f>B1506/D1499</f>
        <v>2.3936672180835119</v>
      </c>
      <c r="C1507" s="5"/>
      <c r="D1507" s="102">
        <f>E1499</f>
        <v>18183.04</v>
      </c>
      <c r="E1507" s="103"/>
      <c r="F1507" s="25">
        <f>H1507/B1506</f>
        <v>9.297513914656772</v>
      </c>
      <c r="G1507" s="9" t="s">
        <v>21</v>
      </c>
      <c r="H1507" s="104">
        <f>L1500+D1507+D1509+D1511+D1513+A1510</f>
        <v>20045.440000000002</v>
      </c>
      <c r="I1507" s="105"/>
      <c r="J1507" s="5"/>
      <c r="K1507" s="5"/>
      <c r="L1507" s="5"/>
    </row>
    <row r="1508" spans="1:12" x14ac:dyDescent="0.25">
      <c r="A1508" s="9" t="s">
        <v>43</v>
      </c>
      <c r="B1508" s="23">
        <f>D1499/B1506*100</f>
        <v>41.776901669758814</v>
      </c>
      <c r="C1508" s="5"/>
      <c r="D1508" s="106" t="s">
        <v>33</v>
      </c>
      <c r="E1508" s="107"/>
      <c r="F1508" s="5"/>
      <c r="G1508" s="13" t="s">
        <v>22</v>
      </c>
      <c r="H1508" s="6"/>
      <c r="I1508" s="26">
        <f>H1506-H1507</f>
        <v>18551.559999999998</v>
      </c>
      <c r="J1508" s="5"/>
      <c r="K1508" s="5"/>
      <c r="L1508" s="5"/>
    </row>
    <row r="1509" spans="1:12" x14ac:dyDescent="0.25">
      <c r="A1509" s="106" t="s">
        <v>40</v>
      </c>
      <c r="B1509" s="107"/>
      <c r="C1509" s="5"/>
      <c r="D1509" s="149">
        <v>1000</v>
      </c>
      <c r="E1509" s="150"/>
      <c r="F1509" s="5"/>
      <c r="G1509" s="5"/>
      <c r="H1509" s="5"/>
      <c r="I1509" s="5"/>
      <c r="J1509" s="5"/>
      <c r="K1509" s="5"/>
      <c r="L1509" s="5"/>
    </row>
    <row r="1510" spans="1:12" x14ac:dyDescent="0.25">
      <c r="A1510" s="108">
        <f>B1506*0.4</f>
        <v>862.40000000000009</v>
      </c>
      <c r="B1510" s="109"/>
      <c r="C1510" s="5"/>
      <c r="D1510" s="106" t="s">
        <v>34</v>
      </c>
      <c r="E1510" s="107"/>
      <c r="F1510" s="5"/>
      <c r="G1510" s="145" t="s">
        <v>292</v>
      </c>
      <c r="H1510" s="146"/>
      <c r="I1510" s="23">
        <f>B1506/2.3</f>
        <v>937.39130434782612</v>
      </c>
      <c r="J1510" s="60"/>
      <c r="K1510" s="5"/>
      <c r="L1510" s="5"/>
    </row>
    <row r="1511" spans="1:12" x14ac:dyDescent="0.25">
      <c r="A1511" s="5"/>
      <c r="B1511" s="5"/>
      <c r="C1511" s="5"/>
      <c r="D1511" s="108">
        <v>0</v>
      </c>
      <c r="E1511" s="109"/>
      <c r="F1511" s="5"/>
      <c r="G1511" s="145" t="s">
        <v>294</v>
      </c>
      <c r="H1511" s="146"/>
      <c r="I1511" s="23">
        <f>I1510-D1499</f>
        <v>36.681304347826085</v>
      </c>
      <c r="J1511" s="5"/>
      <c r="K1511" s="5"/>
      <c r="L1511" s="5"/>
    </row>
    <row r="1512" spans="1:12" x14ac:dyDescent="0.25">
      <c r="A1512" s="5"/>
      <c r="B1512" s="5"/>
      <c r="C1512" s="5"/>
      <c r="D1512" s="106" t="s">
        <v>37</v>
      </c>
      <c r="E1512" s="107"/>
      <c r="F1512" s="5"/>
      <c r="G1512" s="147" t="s">
        <v>295</v>
      </c>
      <c r="H1512" s="148"/>
      <c r="I1512" s="86">
        <f>I1511*F1499</f>
        <v>740.64370924742559</v>
      </c>
      <c r="J1512" s="87">
        <f>I1508-I1512</f>
        <v>17810.916290752572</v>
      </c>
      <c r="K1512" s="5"/>
      <c r="L1512" s="5"/>
    </row>
    <row r="1513" spans="1:12" x14ac:dyDescent="0.25">
      <c r="A1513" s="5"/>
      <c r="B1513" s="5"/>
      <c r="C1513" s="5"/>
      <c r="D1513" s="108"/>
      <c r="E1513" s="109"/>
      <c r="F1513" s="5" t="s">
        <v>78</v>
      </c>
      <c r="G1513" s="5"/>
      <c r="H1513" s="5"/>
      <c r="I1513" s="5"/>
      <c r="J1513" s="88" t="s">
        <v>293</v>
      </c>
      <c r="K1513" s="44"/>
      <c r="L1513" s="5"/>
    </row>
    <row r="1515" spans="1:12" s="49" customFormat="1" x14ac:dyDescent="0.25"/>
    <row r="1518" spans="1:12" x14ac:dyDescent="0.25">
      <c r="A1518" s="120" t="s">
        <v>24</v>
      </c>
      <c r="B1518" s="120"/>
      <c r="C1518" s="120"/>
      <c r="D1518" s="120"/>
      <c r="E1518" s="120"/>
      <c r="F1518" s="120"/>
      <c r="G1518" s="120"/>
      <c r="H1518" s="120"/>
      <c r="I1518" s="120"/>
      <c r="J1518" s="120"/>
      <c r="K1518" s="120"/>
      <c r="L1518" s="120"/>
    </row>
    <row r="1519" spans="1:12" x14ac:dyDescent="0.25">
      <c r="A1519" s="120"/>
      <c r="B1519" s="120"/>
      <c r="C1519" s="120"/>
      <c r="D1519" s="120"/>
      <c r="E1519" s="120"/>
      <c r="F1519" s="120"/>
      <c r="G1519" s="120"/>
      <c r="H1519" s="120"/>
      <c r="I1519" s="120"/>
      <c r="J1519" s="120"/>
      <c r="K1519" s="120"/>
      <c r="L1519" s="120"/>
    </row>
    <row r="1520" spans="1:12" x14ac:dyDescent="0.25">
      <c r="A1520" s="1" t="s">
        <v>4</v>
      </c>
      <c r="B1520" s="2"/>
      <c r="C1520" s="90"/>
      <c r="D1520" s="2"/>
      <c r="E1520" s="2"/>
      <c r="F1520" s="2"/>
      <c r="G1520" s="3" t="s">
        <v>5</v>
      </c>
      <c r="H1520" s="3" t="s">
        <v>6</v>
      </c>
      <c r="I1520" s="4" t="s">
        <v>7</v>
      </c>
      <c r="J1520" s="5"/>
      <c r="K1520" s="5"/>
      <c r="L1520" s="5"/>
    </row>
    <row r="1521" spans="1:12" x14ac:dyDescent="0.25">
      <c r="A1521" s="91" t="s">
        <v>359</v>
      </c>
      <c r="B1521" s="92" t="s">
        <v>42</v>
      </c>
      <c r="C1521" s="64"/>
      <c r="D1521" s="66"/>
      <c r="E1521" s="2"/>
      <c r="F1521" s="2"/>
      <c r="G1521" s="91" t="s">
        <v>299</v>
      </c>
      <c r="H1521" s="66"/>
      <c r="I1521" s="33"/>
      <c r="J1521" s="6"/>
      <c r="K1521" s="33"/>
      <c r="L1521" s="6"/>
    </row>
    <row r="1522" spans="1:12" x14ac:dyDescent="0.25">
      <c r="A1522" s="7" t="s">
        <v>2</v>
      </c>
      <c r="B1522" s="5"/>
      <c r="C1522" s="5"/>
      <c r="D1522" s="5"/>
      <c r="E1522" s="5"/>
      <c r="F1522" s="5"/>
      <c r="G1522" s="8" t="s">
        <v>8</v>
      </c>
      <c r="H1522" s="93">
        <v>3</v>
      </c>
      <c r="I1522" s="5"/>
      <c r="J1522" s="5"/>
      <c r="K1522" s="5"/>
      <c r="L1522" s="5"/>
    </row>
    <row r="1523" spans="1:12" x14ac:dyDescent="0.25">
      <c r="A1523" s="7" t="s">
        <v>25</v>
      </c>
      <c r="B1523" s="5"/>
      <c r="C1523" s="7" t="s">
        <v>0</v>
      </c>
      <c r="D1523" s="5"/>
      <c r="E1523" s="5"/>
      <c r="F1523" s="5"/>
      <c r="G1523" s="7" t="s">
        <v>25</v>
      </c>
      <c r="H1523" s="5"/>
      <c r="I1523" s="7" t="s">
        <v>0</v>
      </c>
      <c r="J1523" s="5"/>
      <c r="K1523" s="5"/>
      <c r="L1523" s="5"/>
    </row>
    <row r="1524" spans="1:12" x14ac:dyDescent="0.25">
      <c r="A1524" s="42">
        <v>45665</v>
      </c>
      <c r="B1524" s="6"/>
      <c r="C1524" s="31">
        <f>L1483</f>
        <v>925187</v>
      </c>
      <c r="D1524" s="5"/>
      <c r="E1524" s="5"/>
      <c r="F1524" s="5"/>
      <c r="G1524" s="42" t="s">
        <v>396</v>
      </c>
      <c r="H1524" s="6"/>
      <c r="I1524" s="9"/>
      <c r="J1524" s="5"/>
      <c r="K1524" s="5"/>
      <c r="L1524" s="5"/>
    </row>
    <row r="1525" spans="1:12" ht="16.5" thickBot="1" x14ac:dyDescent="0.3">
      <c r="A1525" s="7"/>
      <c r="B1525" s="62"/>
      <c r="C1525" s="62"/>
      <c r="D1525" s="62"/>
      <c r="E1525" s="5"/>
      <c r="F1525" s="5"/>
      <c r="G1525" s="10"/>
      <c r="H1525" s="5"/>
      <c r="I1525" s="5"/>
      <c r="J1525" s="5"/>
      <c r="K1525" s="5"/>
      <c r="L1525" s="5"/>
    </row>
    <row r="1526" spans="1:12" ht="15.75" thickBot="1" x14ac:dyDescent="0.3">
      <c r="A1526" s="121" t="s">
        <v>9</v>
      </c>
      <c r="B1526" s="122"/>
      <c r="C1526" s="123"/>
      <c r="D1526" s="5"/>
      <c r="E1526" s="5"/>
      <c r="F1526" s="5"/>
      <c r="G1526" s="121" t="s">
        <v>26</v>
      </c>
      <c r="H1526" s="122"/>
      <c r="I1526" s="123"/>
      <c r="J1526" s="5"/>
      <c r="K1526" s="5"/>
      <c r="L1526" s="5"/>
    </row>
    <row r="1527" spans="1:12" x14ac:dyDescent="0.25">
      <c r="A1527" s="30" t="s">
        <v>38</v>
      </c>
      <c r="B1527" s="11"/>
      <c r="C1527" s="11"/>
      <c r="D1527" s="11"/>
      <c r="E1527" s="6"/>
      <c r="F1527" s="5"/>
      <c r="G1527" s="30"/>
      <c r="H1527" s="11"/>
      <c r="I1527" s="11"/>
      <c r="J1527" s="11"/>
      <c r="K1527" s="11"/>
      <c r="L1527" s="6"/>
    </row>
    <row r="1528" spans="1:12" ht="15.75" thickBot="1" x14ac:dyDescent="0.3">
      <c r="A1528" s="7"/>
      <c r="B1528" s="7"/>
      <c r="C1528" s="7"/>
      <c r="D1528" s="5"/>
      <c r="E1528" s="5"/>
      <c r="F1528" s="5"/>
      <c r="G1528" s="7" t="str">
        <f>A1530</f>
        <v>ONDANGWA</v>
      </c>
      <c r="H1528" s="7"/>
      <c r="I1528" s="7"/>
      <c r="J1528" s="5"/>
      <c r="K1528" s="5"/>
      <c r="L1528" s="5"/>
    </row>
    <row r="1529" spans="1:12" ht="15.75" thickBot="1" x14ac:dyDescent="0.3">
      <c r="A1529" s="121"/>
      <c r="B1529" s="122"/>
      <c r="C1529" s="124"/>
      <c r="D1529" s="12" t="s">
        <v>1</v>
      </c>
      <c r="E1529" s="32"/>
      <c r="F1529" s="5"/>
      <c r="G1529" s="121" t="s">
        <v>27</v>
      </c>
      <c r="H1529" s="122"/>
      <c r="I1529" s="123"/>
      <c r="J1529" s="5"/>
      <c r="K1529" s="12" t="s">
        <v>1</v>
      </c>
      <c r="L1529" s="32">
        <v>926588</v>
      </c>
    </row>
    <row r="1530" spans="1:12" x14ac:dyDescent="0.25">
      <c r="A1530" s="30" t="s">
        <v>376</v>
      </c>
      <c r="B1530" s="11"/>
      <c r="C1530" s="11"/>
      <c r="D1530" s="11"/>
      <c r="E1530" s="6"/>
      <c r="F1530" s="5"/>
      <c r="G1530" s="30" t="s">
        <v>364</v>
      </c>
      <c r="H1530" s="11"/>
      <c r="I1530" s="11"/>
      <c r="J1530" s="11"/>
      <c r="K1530" s="11"/>
      <c r="L1530" s="6"/>
    </row>
    <row r="1531" spans="1:12" x14ac:dyDescent="0.25">
      <c r="A1531" s="76"/>
      <c r="B1531" s="11"/>
      <c r="C1531" s="11"/>
      <c r="D1531" s="11"/>
      <c r="E1531" s="6"/>
      <c r="F1531" s="5"/>
      <c r="G1531" s="34"/>
      <c r="H1531" s="11"/>
      <c r="I1531" s="11"/>
      <c r="J1531" s="11"/>
      <c r="K1531" s="11"/>
      <c r="L1531" s="6"/>
    </row>
    <row r="1532" spans="1:12" x14ac:dyDescent="0.25">
      <c r="A1532" s="13"/>
      <c r="B1532" s="11"/>
      <c r="C1532" s="11"/>
      <c r="D1532" s="11"/>
      <c r="E1532" s="6"/>
      <c r="F1532" s="5"/>
      <c r="G1532" s="13"/>
      <c r="H1532" s="11"/>
      <c r="I1532" s="11"/>
      <c r="J1532" s="11"/>
      <c r="K1532" s="11"/>
      <c r="L1532" s="6"/>
    </row>
    <row r="1533" spans="1:12" x14ac:dyDescent="0.25">
      <c r="A1533" s="13"/>
      <c r="B1533" s="11"/>
      <c r="C1533" s="11"/>
      <c r="D1533" s="11"/>
      <c r="E1533" s="6"/>
      <c r="F1533" s="5"/>
      <c r="G1533" s="13"/>
      <c r="H1533" s="11"/>
      <c r="I1533" s="11"/>
      <c r="J1533" s="11"/>
      <c r="K1533" s="11"/>
      <c r="L1533" s="6"/>
    </row>
    <row r="1534" spans="1:12" ht="15.75" thickBot="1" x14ac:dyDescent="0.3">
      <c r="A1534" s="13"/>
      <c r="B1534" s="11"/>
      <c r="C1534" s="11" t="s">
        <v>29</v>
      </c>
      <c r="D1534" s="43"/>
      <c r="E1534" s="6"/>
      <c r="F1534" s="5"/>
      <c r="G1534" s="13"/>
      <c r="H1534" s="11"/>
      <c r="I1534" s="14" t="s">
        <v>28</v>
      </c>
      <c r="J1534" s="43"/>
      <c r="K1534" s="59"/>
      <c r="L1534" s="6"/>
    </row>
    <row r="1535" spans="1:12" ht="15.75" thickBot="1" x14ac:dyDescent="0.3">
      <c r="A1535" s="15" t="s">
        <v>10</v>
      </c>
      <c r="B1535" s="5"/>
      <c r="C1535" s="5"/>
      <c r="D1535" s="5"/>
      <c r="E1535" s="5"/>
      <c r="F1535" s="5"/>
      <c r="G1535" s="15" t="s">
        <v>14</v>
      </c>
      <c r="H1535" s="5"/>
      <c r="I1535" s="5"/>
      <c r="J1535" s="5"/>
      <c r="K1535" s="5"/>
      <c r="L1535" s="5"/>
    </row>
    <row r="1536" spans="1:12" ht="15.75" thickBot="1" x14ac:dyDescent="0.3">
      <c r="A1536" s="121" t="s">
        <v>11</v>
      </c>
      <c r="B1536" s="122"/>
      <c r="C1536" s="123"/>
      <c r="D1536" s="16" t="s">
        <v>12</v>
      </c>
      <c r="E1536" s="16" t="s">
        <v>13</v>
      </c>
      <c r="F1536" s="5"/>
      <c r="G1536" s="121" t="s">
        <v>15</v>
      </c>
      <c r="H1536" s="122"/>
      <c r="I1536" s="123"/>
      <c r="J1536" s="121"/>
      <c r="K1536" s="123"/>
      <c r="L1536" s="5"/>
    </row>
    <row r="1537" spans="1:12" x14ac:dyDescent="0.25">
      <c r="A1537" s="45" t="s">
        <v>398</v>
      </c>
      <c r="B1537" s="46" t="s">
        <v>316</v>
      </c>
      <c r="C1537" s="47"/>
      <c r="D1537" s="56">
        <v>589.11</v>
      </c>
      <c r="E1537" s="57">
        <v>11905.81</v>
      </c>
      <c r="F1537" s="44">
        <f>E1537/D1537</f>
        <v>20.209824990239511</v>
      </c>
      <c r="G1537" s="125" t="s">
        <v>69</v>
      </c>
      <c r="H1537" s="126"/>
      <c r="I1537" s="127"/>
      <c r="J1537" s="128">
        <v>0</v>
      </c>
      <c r="K1537" s="129"/>
      <c r="L1537" s="5"/>
    </row>
    <row r="1538" spans="1:12" x14ac:dyDescent="0.25">
      <c r="A1538" s="94"/>
      <c r="B1538" s="46"/>
      <c r="C1538" s="47"/>
      <c r="D1538" s="56"/>
      <c r="E1538" s="57"/>
      <c r="F1538" s="44"/>
      <c r="G1538" s="110" t="s">
        <v>59</v>
      </c>
      <c r="H1538" s="111"/>
      <c r="I1538" s="112"/>
      <c r="J1538" s="113"/>
      <c r="K1538" s="114"/>
      <c r="L1538" s="5"/>
    </row>
    <row r="1539" spans="1:12" x14ac:dyDescent="0.25">
      <c r="A1539" s="94"/>
      <c r="B1539" s="46"/>
      <c r="C1539" s="47"/>
      <c r="D1539" s="56"/>
      <c r="E1539" s="57"/>
      <c r="F1539" s="44"/>
      <c r="G1539" s="110" t="s">
        <v>61</v>
      </c>
      <c r="H1539" s="111"/>
      <c r="I1539" s="112"/>
      <c r="J1539" s="113"/>
      <c r="K1539" s="114"/>
      <c r="L1539" s="5"/>
    </row>
    <row r="1540" spans="1:12" x14ac:dyDescent="0.25">
      <c r="A1540" s="94"/>
      <c r="B1540" s="46"/>
      <c r="C1540" s="47"/>
      <c r="D1540" s="56"/>
      <c r="E1540" s="57"/>
      <c r="F1540" s="44"/>
      <c r="G1540" s="110" t="s">
        <v>51</v>
      </c>
      <c r="H1540" s="111"/>
      <c r="I1540" s="112"/>
      <c r="J1540" s="113"/>
      <c r="K1540" s="114"/>
      <c r="L1540" s="5"/>
    </row>
    <row r="1541" spans="1:12" x14ac:dyDescent="0.25">
      <c r="A1541" s="48"/>
      <c r="B1541" s="46"/>
      <c r="C1541" s="39"/>
      <c r="D1541" s="52"/>
      <c r="E1541" s="53"/>
      <c r="F1541" s="44"/>
      <c r="G1541" s="110" t="s">
        <v>58</v>
      </c>
      <c r="H1541" s="111"/>
      <c r="I1541" s="112"/>
      <c r="J1541" s="113"/>
      <c r="K1541" s="114"/>
      <c r="L1541" s="5"/>
    </row>
    <row r="1542" spans="1:12" x14ac:dyDescent="0.25">
      <c r="A1542" s="48"/>
      <c r="B1542" s="35"/>
      <c r="C1542" s="39"/>
      <c r="D1542" s="52"/>
      <c r="E1542" s="53"/>
      <c r="F1542" s="44"/>
      <c r="G1542" s="110" t="s">
        <v>51</v>
      </c>
      <c r="H1542" s="111"/>
      <c r="I1542" s="112"/>
      <c r="J1542" s="113"/>
      <c r="K1542" s="114"/>
      <c r="L1542" s="5"/>
    </row>
    <row r="1543" spans="1:12" x14ac:dyDescent="0.25">
      <c r="A1543" s="48"/>
      <c r="B1543" s="35"/>
      <c r="C1543" s="39"/>
      <c r="D1543" s="52"/>
      <c r="E1543" s="53"/>
      <c r="F1543" s="44"/>
      <c r="G1543" s="77"/>
      <c r="H1543" s="78" t="s">
        <v>69</v>
      </c>
      <c r="I1543" s="79"/>
      <c r="J1543" s="113"/>
      <c r="K1543" s="114"/>
      <c r="L1543" s="5"/>
    </row>
    <row r="1544" spans="1:12" x14ac:dyDescent="0.25">
      <c r="A1544" s="38"/>
      <c r="B1544" s="35"/>
      <c r="C1544" s="39"/>
      <c r="D1544" s="52"/>
      <c r="E1544" s="53"/>
      <c r="F1544" s="44"/>
      <c r="G1544" s="77"/>
      <c r="H1544" s="78" t="s">
        <v>72</v>
      </c>
      <c r="I1544" s="79"/>
      <c r="J1544" s="113"/>
      <c r="K1544" s="114"/>
      <c r="L1544" s="5"/>
    </row>
    <row r="1545" spans="1:12" ht="15.75" thickBot="1" x14ac:dyDescent="0.3">
      <c r="A1545" s="5"/>
      <c r="B1545" s="5"/>
      <c r="C1545" s="7" t="s">
        <v>35</v>
      </c>
      <c r="D1545" s="17">
        <f>SUM(D1537:D1544)</f>
        <v>589.11</v>
      </c>
      <c r="E1545" s="17">
        <f>SUM(E1537:E1544)</f>
        <v>11905.81</v>
      </c>
      <c r="F1545" s="89">
        <f>AVERAGE(F1537:F1541)</f>
        <v>20.209824990239511</v>
      </c>
      <c r="G1545" s="110" t="s">
        <v>73</v>
      </c>
      <c r="H1545" s="111"/>
      <c r="I1545" s="112"/>
      <c r="J1545" s="113"/>
      <c r="K1545" s="114"/>
      <c r="L1545" s="7" t="s">
        <v>36</v>
      </c>
    </row>
    <row r="1546" spans="1:12" ht="15.75" thickBot="1" x14ac:dyDescent="0.3">
      <c r="A1546" s="5"/>
      <c r="B1546" s="5"/>
      <c r="C1546" s="5"/>
      <c r="D1546" s="5"/>
      <c r="E1546" s="5"/>
      <c r="F1546" s="5"/>
      <c r="G1546" s="130"/>
      <c r="H1546" s="131"/>
      <c r="I1546" s="132"/>
      <c r="J1546" s="133"/>
      <c r="K1546" s="134"/>
      <c r="L1546" s="18">
        <f>J1537+J1538+J1539+J1540+J1541+J1542+J1543+J1544+J1545</f>
        <v>0</v>
      </c>
    </row>
    <row r="1547" spans="1:12" ht="15.75" thickBot="1" x14ac:dyDescent="0.3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</row>
    <row r="1548" spans="1:12" ht="15.75" thickBot="1" x14ac:dyDescent="0.3">
      <c r="A1548" s="19"/>
      <c r="B1548" s="20"/>
      <c r="C1548" s="20"/>
      <c r="D1548" s="20"/>
      <c r="E1548" s="21" t="s">
        <v>13</v>
      </c>
      <c r="F1548" s="5"/>
      <c r="G1548" s="19"/>
      <c r="H1548" s="20"/>
      <c r="I1548" s="20"/>
      <c r="J1548" s="20"/>
      <c r="K1548" s="21" t="s">
        <v>13</v>
      </c>
      <c r="L1548" s="5"/>
    </row>
    <row r="1549" spans="1:12" x14ac:dyDescent="0.25">
      <c r="A1549" s="22" t="s">
        <v>31</v>
      </c>
      <c r="B1549" s="115">
        <v>27965</v>
      </c>
      <c r="C1549" s="116"/>
      <c r="D1549" s="116"/>
      <c r="E1549" s="117"/>
      <c r="F1549" s="5"/>
      <c r="G1549" s="22" t="s">
        <v>32</v>
      </c>
      <c r="H1549" s="115">
        <v>0</v>
      </c>
      <c r="I1549" s="116"/>
      <c r="J1549" s="116"/>
      <c r="K1549" s="117"/>
      <c r="L1549" s="5"/>
    </row>
    <row r="1550" spans="1:12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</row>
    <row r="1551" spans="1:12" x14ac:dyDescent="0.25">
      <c r="A1551" s="7" t="s">
        <v>16</v>
      </c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</row>
    <row r="1552" spans="1:12" x14ac:dyDescent="0.25">
      <c r="A1552" s="9" t="s">
        <v>17</v>
      </c>
      <c r="B1552" s="23">
        <f>L1529-C1524</f>
        <v>1401</v>
      </c>
      <c r="C1552" s="5"/>
      <c r="D1552" s="106" t="s">
        <v>18</v>
      </c>
      <c r="E1552" s="107"/>
      <c r="F1552" s="24" t="s">
        <v>19</v>
      </c>
      <c r="G1552" s="9" t="s">
        <v>20</v>
      </c>
      <c r="H1552" s="118">
        <f>B1549+H1549</f>
        <v>27965</v>
      </c>
      <c r="I1552" s="119"/>
      <c r="J1552" s="60"/>
      <c r="K1552" s="5"/>
      <c r="L1552" s="5"/>
    </row>
    <row r="1553" spans="1:12" x14ac:dyDescent="0.25">
      <c r="A1553" s="9" t="s">
        <v>41</v>
      </c>
      <c r="B1553" s="40">
        <f>B1552/D1545</f>
        <v>2.3781636706217855</v>
      </c>
      <c r="C1553" s="5"/>
      <c r="D1553" s="102">
        <f>E1545</f>
        <v>11905.81</v>
      </c>
      <c r="E1553" s="103"/>
      <c r="F1553" s="25">
        <f>H1553/B1552</f>
        <v>9.254967880085653</v>
      </c>
      <c r="G1553" s="9" t="s">
        <v>21</v>
      </c>
      <c r="H1553" s="104">
        <f>L1546+D1553+D1555+D1557+D1559+A1556</f>
        <v>12966.21</v>
      </c>
      <c r="I1553" s="105"/>
      <c r="J1553" s="5"/>
      <c r="K1553" s="5"/>
      <c r="L1553" s="5"/>
    </row>
    <row r="1554" spans="1:12" x14ac:dyDescent="0.25">
      <c r="A1554" s="9" t="s">
        <v>43</v>
      </c>
      <c r="B1554" s="23">
        <f>D1545/B1552*100</f>
        <v>42.049250535331907</v>
      </c>
      <c r="C1554" s="5"/>
      <c r="D1554" s="106" t="s">
        <v>33</v>
      </c>
      <c r="E1554" s="107"/>
      <c r="F1554" s="5"/>
      <c r="G1554" s="13" t="s">
        <v>22</v>
      </c>
      <c r="H1554" s="6"/>
      <c r="I1554" s="26">
        <f>H1552-H1553</f>
        <v>14998.79</v>
      </c>
      <c r="J1554" s="5"/>
      <c r="K1554" s="5"/>
      <c r="L1554" s="5"/>
    </row>
    <row r="1555" spans="1:12" x14ac:dyDescent="0.25">
      <c r="A1555" s="106" t="s">
        <v>40</v>
      </c>
      <c r="B1555" s="107"/>
      <c r="C1555" s="5"/>
      <c r="D1555" s="149">
        <v>500</v>
      </c>
      <c r="E1555" s="150"/>
      <c r="F1555" s="5"/>
      <c r="G1555" s="5"/>
      <c r="H1555" s="5"/>
      <c r="I1555" s="5"/>
      <c r="J1555" s="5"/>
      <c r="K1555" s="5"/>
      <c r="L1555" s="5"/>
    </row>
    <row r="1556" spans="1:12" x14ac:dyDescent="0.25">
      <c r="A1556" s="108">
        <f>B1552*0.4</f>
        <v>560.4</v>
      </c>
      <c r="B1556" s="109"/>
      <c r="C1556" s="5"/>
      <c r="D1556" s="106" t="s">
        <v>34</v>
      </c>
      <c r="E1556" s="107"/>
      <c r="F1556" s="5"/>
      <c r="G1556" s="145" t="s">
        <v>292</v>
      </c>
      <c r="H1556" s="146"/>
      <c r="I1556" s="23">
        <f>B1552/2.3</f>
        <v>609.13043478260875</v>
      </c>
      <c r="J1556" s="60"/>
      <c r="K1556" s="5"/>
      <c r="L1556" s="5"/>
    </row>
    <row r="1557" spans="1:12" x14ac:dyDescent="0.25">
      <c r="A1557" s="5"/>
      <c r="B1557" s="5"/>
      <c r="C1557" s="5"/>
      <c r="D1557" s="108">
        <v>0</v>
      </c>
      <c r="E1557" s="109"/>
      <c r="F1557" s="5"/>
      <c r="G1557" s="145" t="s">
        <v>294</v>
      </c>
      <c r="H1557" s="146"/>
      <c r="I1557" s="23">
        <f>I1556-D1545</f>
        <v>20.020434782608731</v>
      </c>
      <c r="J1557" s="5"/>
      <c r="K1557" s="5"/>
      <c r="L1557" s="5"/>
    </row>
    <row r="1558" spans="1:12" x14ac:dyDescent="0.25">
      <c r="A1558" s="5"/>
      <c r="B1558" s="5"/>
      <c r="C1558" s="5"/>
      <c r="D1558" s="106" t="s">
        <v>37</v>
      </c>
      <c r="E1558" s="107"/>
      <c r="F1558" s="5"/>
      <c r="G1558" s="147" t="s">
        <v>295</v>
      </c>
      <c r="H1558" s="148"/>
      <c r="I1558" s="86">
        <f>I1557*F1545</f>
        <v>404.60948318502625</v>
      </c>
      <c r="J1558" s="87">
        <f>I1554-I1558</f>
        <v>14594.180516814975</v>
      </c>
      <c r="K1558" s="5"/>
      <c r="L1558" s="5"/>
    </row>
    <row r="1559" spans="1:12" x14ac:dyDescent="0.25">
      <c r="A1559" s="5"/>
      <c r="B1559" s="5"/>
      <c r="C1559" s="5"/>
      <c r="D1559" s="108"/>
      <c r="E1559" s="109"/>
      <c r="F1559" s="5" t="s">
        <v>78</v>
      </c>
      <c r="G1559" s="5"/>
      <c r="H1559" s="5"/>
      <c r="I1559" s="5"/>
      <c r="J1559" s="88" t="s">
        <v>293</v>
      </c>
      <c r="K1559" s="44"/>
      <c r="L1559" s="5"/>
    </row>
    <row r="1561" spans="1:12" s="49" customFormat="1" x14ac:dyDescent="0.25"/>
    <row r="1564" spans="1:12" x14ac:dyDescent="0.25">
      <c r="A1564" s="120" t="s">
        <v>24</v>
      </c>
      <c r="B1564" s="120"/>
      <c r="C1564" s="120"/>
      <c r="D1564" s="120"/>
      <c r="E1564" s="120"/>
      <c r="F1564" s="120"/>
      <c r="G1564" s="120"/>
      <c r="H1564" s="120"/>
      <c r="I1564" s="120"/>
      <c r="J1564" s="120"/>
      <c r="K1564" s="120"/>
      <c r="L1564" s="120"/>
    </row>
    <row r="1565" spans="1:12" x14ac:dyDescent="0.25">
      <c r="A1565" s="120"/>
      <c r="B1565" s="120"/>
      <c r="C1565" s="120"/>
      <c r="D1565" s="120"/>
      <c r="E1565" s="120"/>
      <c r="F1565" s="120"/>
      <c r="G1565" s="120"/>
      <c r="H1565" s="120"/>
      <c r="I1565" s="120"/>
      <c r="J1565" s="120"/>
      <c r="K1565" s="120"/>
      <c r="L1565" s="120"/>
    </row>
    <row r="1566" spans="1:12" x14ac:dyDescent="0.25">
      <c r="A1566" s="1" t="s">
        <v>4</v>
      </c>
      <c r="B1566" s="2"/>
      <c r="C1566" s="90"/>
      <c r="D1566" s="2"/>
      <c r="E1566" s="2"/>
      <c r="F1566" s="2"/>
      <c r="G1566" s="3" t="s">
        <v>5</v>
      </c>
      <c r="H1566" s="3" t="s">
        <v>6</v>
      </c>
      <c r="I1566" s="4" t="s">
        <v>7</v>
      </c>
      <c r="J1566" s="5"/>
      <c r="K1566" s="5"/>
      <c r="L1566" s="5"/>
    </row>
    <row r="1567" spans="1:12" x14ac:dyDescent="0.25">
      <c r="A1567" s="91" t="s">
        <v>359</v>
      </c>
      <c r="B1567" s="92" t="s">
        <v>42</v>
      </c>
      <c r="C1567" s="64"/>
      <c r="D1567" s="66"/>
      <c r="E1567" s="2"/>
      <c r="F1567" s="2"/>
      <c r="G1567" s="91" t="s">
        <v>299</v>
      </c>
      <c r="H1567" s="66"/>
      <c r="I1567" s="33"/>
      <c r="J1567" s="6"/>
      <c r="K1567" s="33"/>
      <c r="L1567" s="6"/>
    </row>
    <row r="1568" spans="1:12" x14ac:dyDescent="0.25">
      <c r="A1568" s="7" t="s">
        <v>2</v>
      </c>
      <c r="B1568" s="5"/>
      <c r="C1568" s="5"/>
      <c r="D1568" s="5"/>
      <c r="E1568" s="5"/>
      <c r="F1568" s="5"/>
      <c r="G1568" s="8" t="s">
        <v>8</v>
      </c>
      <c r="H1568" s="93">
        <v>3</v>
      </c>
      <c r="I1568" s="5"/>
      <c r="J1568" s="5"/>
      <c r="K1568" s="5"/>
      <c r="L1568" s="5"/>
    </row>
    <row r="1569" spans="1:12" x14ac:dyDescent="0.25">
      <c r="A1569" s="7" t="s">
        <v>25</v>
      </c>
      <c r="B1569" s="5"/>
      <c r="C1569" s="7" t="s">
        <v>0</v>
      </c>
      <c r="D1569" s="5"/>
      <c r="E1569" s="5"/>
      <c r="F1569" s="5"/>
      <c r="G1569" s="7" t="s">
        <v>25</v>
      </c>
      <c r="H1569" s="5"/>
      <c r="I1569" s="7" t="s">
        <v>0</v>
      </c>
      <c r="J1569" s="5"/>
      <c r="K1569" s="5"/>
      <c r="L1569" s="5"/>
    </row>
    <row r="1570" spans="1:12" x14ac:dyDescent="0.25">
      <c r="A1570" s="42" t="s">
        <v>398</v>
      </c>
      <c r="B1570" s="6"/>
      <c r="C1570" s="31">
        <f>L1529</f>
        <v>926588</v>
      </c>
      <c r="D1570" s="5"/>
      <c r="E1570" s="5"/>
      <c r="F1570" s="5"/>
      <c r="G1570" s="42" t="s">
        <v>400</v>
      </c>
      <c r="H1570" s="6"/>
      <c r="I1570" s="9"/>
      <c r="J1570" s="5"/>
      <c r="K1570" s="5"/>
      <c r="L1570" s="5"/>
    </row>
    <row r="1571" spans="1:12" ht="16.5" thickBot="1" x14ac:dyDescent="0.3">
      <c r="A1571" s="7"/>
      <c r="B1571" s="62"/>
      <c r="C1571" s="62"/>
      <c r="D1571" s="62"/>
      <c r="E1571" s="5"/>
      <c r="F1571" s="5"/>
      <c r="G1571" s="10"/>
      <c r="H1571" s="5"/>
      <c r="I1571" s="5"/>
      <c r="J1571" s="5"/>
      <c r="K1571" s="5"/>
      <c r="L1571" s="5"/>
    </row>
    <row r="1572" spans="1:12" ht="15.75" thickBot="1" x14ac:dyDescent="0.3">
      <c r="A1572" s="121" t="s">
        <v>9</v>
      </c>
      <c r="B1572" s="122"/>
      <c r="C1572" s="123"/>
      <c r="D1572" s="5"/>
      <c r="E1572" s="5"/>
      <c r="F1572" s="5"/>
      <c r="G1572" s="121" t="s">
        <v>26</v>
      </c>
      <c r="H1572" s="122"/>
      <c r="I1572" s="123"/>
      <c r="J1572" s="5"/>
      <c r="K1572" s="5"/>
      <c r="L1572" s="5"/>
    </row>
    <row r="1573" spans="1:12" x14ac:dyDescent="0.25">
      <c r="A1573" s="30" t="s">
        <v>38</v>
      </c>
      <c r="B1573" s="11"/>
      <c r="C1573" s="11"/>
      <c r="D1573" s="11"/>
      <c r="E1573" s="6"/>
      <c r="F1573" s="5"/>
      <c r="G1573" s="30"/>
      <c r="H1573" s="11"/>
      <c r="I1573" s="11"/>
      <c r="J1573" s="11"/>
      <c r="K1573" s="11"/>
      <c r="L1573" s="6"/>
    </row>
    <row r="1574" spans="1:12" ht="15.75" thickBot="1" x14ac:dyDescent="0.3">
      <c r="A1574" s="7"/>
      <c r="B1574" s="7"/>
      <c r="C1574" s="7"/>
      <c r="D1574" s="5"/>
      <c r="E1574" s="5"/>
      <c r="F1574" s="5"/>
      <c r="G1574" s="7" t="str">
        <f>A1576</f>
        <v>CAPE TOWN</v>
      </c>
      <c r="H1574" s="7"/>
      <c r="I1574" s="7"/>
      <c r="J1574" s="5"/>
      <c r="K1574" s="5"/>
      <c r="L1574" s="5"/>
    </row>
    <row r="1575" spans="1:12" ht="15.75" thickBot="1" x14ac:dyDescent="0.3">
      <c r="A1575" s="121"/>
      <c r="B1575" s="122"/>
      <c r="C1575" s="124"/>
      <c r="D1575" s="12" t="s">
        <v>1</v>
      </c>
      <c r="E1575" s="32"/>
      <c r="F1575" s="5"/>
      <c r="G1575" s="121" t="s">
        <v>27</v>
      </c>
      <c r="H1575" s="122"/>
      <c r="I1575" s="123"/>
      <c r="J1575" s="5"/>
      <c r="K1575" s="12" t="s">
        <v>1</v>
      </c>
      <c r="L1575" s="32">
        <v>929626</v>
      </c>
    </row>
    <row r="1576" spans="1:12" x14ac:dyDescent="0.25">
      <c r="A1576" s="30" t="s">
        <v>399</v>
      </c>
      <c r="B1576" s="11"/>
      <c r="C1576" s="11"/>
      <c r="D1576" s="11"/>
      <c r="E1576" s="6"/>
      <c r="F1576" s="5"/>
      <c r="G1576" s="30" t="s">
        <v>364</v>
      </c>
      <c r="H1576" s="11"/>
      <c r="I1576" s="11"/>
      <c r="J1576" s="11"/>
      <c r="K1576" s="11"/>
      <c r="L1576" s="6"/>
    </row>
    <row r="1577" spans="1:12" x14ac:dyDescent="0.25">
      <c r="A1577" s="76"/>
      <c r="B1577" s="11"/>
      <c r="C1577" s="11"/>
      <c r="D1577" s="11"/>
      <c r="E1577" s="6"/>
      <c r="F1577" s="5"/>
      <c r="G1577" s="34"/>
      <c r="H1577" s="11"/>
      <c r="I1577" s="11"/>
      <c r="J1577" s="11"/>
      <c r="K1577" s="11"/>
      <c r="L1577" s="6"/>
    </row>
    <row r="1578" spans="1:12" x14ac:dyDescent="0.25">
      <c r="A1578" s="13"/>
      <c r="B1578" s="11"/>
      <c r="C1578" s="11"/>
      <c r="D1578" s="11"/>
      <c r="E1578" s="6"/>
      <c r="F1578" s="5"/>
      <c r="G1578" s="13"/>
      <c r="H1578" s="11"/>
      <c r="I1578" s="11"/>
      <c r="J1578" s="11"/>
      <c r="K1578" s="11"/>
      <c r="L1578" s="6"/>
    </row>
    <row r="1579" spans="1:12" x14ac:dyDescent="0.25">
      <c r="A1579" s="13"/>
      <c r="B1579" s="11"/>
      <c r="C1579" s="11"/>
      <c r="D1579" s="11"/>
      <c r="E1579" s="6"/>
      <c r="F1579" s="5"/>
      <c r="G1579" s="13"/>
      <c r="H1579" s="11"/>
      <c r="I1579" s="11"/>
      <c r="J1579" s="11"/>
      <c r="K1579" s="11"/>
      <c r="L1579" s="6"/>
    </row>
    <row r="1580" spans="1:12" ht="15.75" thickBot="1" x14ac:dyDescent="0.3">
      <c r="A1580" s="13"/>
      <c r="B1580" s="11"/>
      <c r="C1580" s="11" t="s">
        <v>29</v>
      </c>
      <c r="D1580" s="43"/>
      <c r="E1580" s="6"/>
      <c r="F1580" s="5"/>
      <c r="G1580" s="13"/>
      <c r="H1580" s="11"/>
      <c r="I1580" s="14" t="s">
        <v>28</v>
      </c>
      <c r="J1580" s="43"/>
      <c r="K1580" s="59"/>
      <c r="L1580" s="6"/>
    </row>
    <row r="1581" spans="1:12" ht="15.75" thickBot="1" x14ac:dyDescent="0.3">
      <c r="A1581" s="15" t="s">
        <v>10</v>
      </c>
      <c r="B1581" s="5"/>
      <c r="C1581" s="5"/>
      <c r="D1581" s="5"/>
      <c r="E1581" s="5"/>
      <c r="F1581" s="5"/>
      <c r="G1581" s="15" t="s">
        <v>14</v>
      </c>
      <c r="H1581" s="5"/>
      <c r="I1581" s="5"/>
      <c r="J1581" s="5"/>
      <c r="K1581" s="5"/>
      <c r="L1581" s="5"/>
    </row>
    <row r="1582" spans="1:12" ht="15.75" thickBot="1" x14ac:dyDescent="0.3">
      <c r="A1582" s="121" t="s">
        <v>11</v>
      </c>
      <c r="B1582" s="122"/>
      <c r="C1582" s="123"/>
      <c r="D1582" s="16" t="s">
        <v>12</v>
      </c>
      <c r="E1582" s="16" t="s">
        <v>13</v>
      </c>
      <c r="F1582" s="5"/>
      <c r="G1582" s="121" t="s">
        <v>15</v>
      </c>
      <c r="H1582" s="122"/>
      <c r="I1582" s="123"/>
      <c r="J1582" s="121"/>
      <c r="K1582" s="123"/>
      <c r="L1582" s="5"/>
    </row>
    <row r="1583" spans="1:12" x14ac:dyDescent="0.25">
      <c r="A1583" s="45" t="s">
        <v>403</v>
      </c>
      <c r="B1583" s="46" t="s">
        <v>401</v>
      </c>
      <c r="C1583" s="47"/>
      <c r="D1583" s="56">
        <v>283.16000000000003</v>
      </c>
      <c r="E1583" s="57">
        <v>5895.4</v>
      </c>
      <c r="F1583" s="44">
        <f>E1583/D1583</f>
        <v>20.82003107783585</v>
      </c>
      <c r="G1583" s="125" t="s">
        <v>69</v>
      </c>
      <c r="H1583" s="126"/>
      <c r="I1583" s="127"/>
      <c r="J1583" s="128">
        <v>0</v>
      </c>
      <c r="K1583" s="129"/>
      <c r="L1583" s="5"/>
    </row>
    <row r="1584" spans="1:12" x14ac:dyDescent="0.25">
      <c r="A1584" s="94" t="s">
        <v>404</v>
      </c>
      <c r="B1584" s="46" t="s">
        <v>402</v>
      </c>
      <c r="C1584" s="47"/>
      <c r="D1584" s="56">
        <v>200</v>
      </c>
      <c r="E1584" s="57">
        <v>4262</v>
      </c>
      <c r="F1584" s="44">
        <f>E1584/D1584</f>
        <v>21.31</v>
      </c>
      <c r="G1584" s="110" t="s">
        <v>59</v>
      </c>
      <c r="H1584" s="111"/>
      <c r="I1584" s="112"/>
      <c r="J1584" s="113"/>
      <c r="K1584" s="114"/>
      <c r="L1584" s="5"/>
    </row>
    <row r="1585" spans="1:12" x14ac:dyDescent="0.25">
      <c r="A1585" s="94" t="s">
        <v>404</v>
      </c>
      <c r="B1585" s="46" t="s">
        <v>401</v>
      </c>
      <c r="C1585" s="47"/>
      <c r="D1585" s="56">
        <v>569.57000000000005</v>
      </c>
      <c r="E1585" s="57">
        <v>11858.45</v>
      </c>
      <c r="F1585" s="44">
        <f>E1585/D1585</f>
        <v>20.820004564847164</v>
      </c>
      <c r="G1585" s="110" t="s">
        <v>61</v>
      </c>
      <c r="H1585" s="111"/>
      <c r="I1585" s="112"/>
      <c r="J1585" s="113"/>
      <c r="K1585" s="114"/>
      <c r="L1585" s="5"/>
    </row>
    <row r="1586" spans="1:12" x14ac:dyDescent="0.25">
      <c r="A1586" s="94" t="s">
        <v>405</v>
      </c>
      <c r="B1586" s="46" t="s">
        <v>316</v>
      </c>
      <c r="C1586" s="47"/>
      <c r="D1586" s="56">
        <v>418.18</v>
      </c>
      <c r="E1586" s="57">
        <v>8451.42</v>
      </c>
      <c r="F1586" s="44">
        <f>E1586/D1586</f>
        <v>20.210005260892437</v>
      </c>
      <c r="G1586" s="110" t="s">
        <v>51</v>
      </c>
      <c r="H1586" s="111"/>
      <c r="I1586" s="112"/>
      <c r="J1586" s="113"/>
      <c r="K1586" s="114"/>
      <c r="L1586" s="5"/>
    </row>
    <row r="1587" spans="1:12" x14ac:dyDescent="0.25">
      <c r="A1587" s="48"/>
      <c r="B1587" s="46"/>
      <c r="C1587" s="39"/>
      <c r="D1587" s="52"/>
      <c r="E1587" s="53"/>
      <c r="F1587" s="44"/>
      <c r="G1587" s="110" t="s">
        <v>58</v>
      </c>
      <c r="H1587" s="111"/>
      <c r="I1587" s="112"/>
      <c r="J1587" s="113"/>
      <c r="K1587" s="114"/>
      <c r="L1587" s="5"/>
    </row>
    <row r="1588" spans="1:12" x14ac:dyDescent="0.25">
      <c r="A1588" s="48"/>
      <c r="B1588" s="35"/>
      <c r="C1588" s="39"/>
      <c r="D1588" s="52"/>
      <c r="E1588" s="53"/>
      <c r="F1588" s="44"/>
      <c r="G1588" s="110" t="s">
        <v>51</v>
      </c>
      <c r="H1588" s="111"/>
      <c r="I1588" s="112"/>
      <c r="J1588" s="113"/>
      <c r="K1588" s="114"/>
      <c r="L1588" s="5"/>
    </row>
    <row r="1589" spans="1:12" x14ac:dyDescent="0.25">
      <c r="A1589" s="48"/>
      <c r="B1589" s="35"/>
      <c r="C1589" s="39"/>
      <c r="D1589" s="52"/>
      <c r="E1589" s="53"/>
      <c r="F1589" s="44"/>
      <c r="G1589" s="77"/>
      <c r="H1589" s="78" t="s">
        <v>69</v>
      </c>
      <c r="I1589" s="79"/>
      <c r="J1589" s="113"/>
      <c r="K1589" s="114"/>
      <c r="L1589" s="5"/>
    </row>
    <row r="1590" spans="1:12" x14ac:dyDescent="0.25">
      <c r="A1590" s="38"/>
      <c r="B1590" s="35"/>
      <c r="C1590" s="39"/>
      <c r="D1590" s="52"/>
      <c r="E1590" s="53"/>
      <c r="F1590" s="44"/>
      <c r="G1590" s="77"/>
      <c r="H1590" s="78" t="s">
        <v>72</v>
      </c>
      <c r="I1590" s="79"/>
      <c r="J1590" s="113"/>
      <c r="K1590" s="114"/>
      <c r="L1590" s="5"/>
    </row>
    <row r="1591" spans="1:12" ht="15.75" thickBot="1" x14ac:dyDescent="0.3">
      <c r="A1591" s="5"/>
      <c r="B1591" s="5"/>
      <c r="C1591" s="7" t="s">
        <v>35</v>
      </c>
      <c r="D1591" s="17">
        <f>SUM(D1583:D1590)</f>
        <v>1470.91</v>
      </c>
      <c r="E1591" s="17">
        <f>SUM(E1583:E1590)</f>
        <v>30467.269999999997</v>
      </c>
      <c r="F1591" s="89">
        <f>AVERAGE(F1583:F1587)</f>
        <v>20.790010225893866</v>
      </c>
      <c r="G1591" s="110" t="s">
        <v>73</v>
      </c>
      <c r="H1591" s="111"/>
      <c r="I1591" s="112"/>
      <c r="J1591" s="113"/>
      <c r="K1591" s="114"/>
      <c r="L1591" s="7" t="s">
        <v>36</v>
      </c>
    </row>
    <row r="1592" spans="1:12" ht="15.75" thickBot="1" x14ac:dyDescent="0.3">
      <c r="A1592" s="5"/>
      <c r="B1592" s="5"/>
      <c r="C1592" s="5"/>
      <c r="D1592" s="5"/>
      <c r="E1592" s="5"/>
      <c r="F1592" s="5"/>
      <c r="G1592" s="130"/>
      <c r="H1592" s="131"/>
      <c r="I1592" s="132"/>
      <c r="J1592" s="133"/>
      <c r="K1592" s="134"/>
      <c r="L1592" s="18">
        <f>J1583+J1584+J1585+J1586+J1587+J1588+J1589+J1590+J1591</f>
        <v>0</v>
      </c>
    </row>
    <row r="1593" spans="1:12" ht="15.75" thickBot="1" x14ac:dyDescent="0.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</row>
    <row r="1594" spans="1:12" ht="15.75" thickBot="1" x14ac:dyDescent="0.3">
      <c r="A1594" s="19"/>
      <c r="B1594" s="20"/>
      <c r="C1594" s="20"/>
      <c r="D1594" s="20"/>
      <c r="E1594" s="21" t="s">
        <v>13</v>
      </c>
      <c r="F1594" s="5"/>
      <c r="G1594" s="19"/>
      <c r="H1594" s="20"/>
      <c r="I1594" s="20"/>
      <c r="J1594" s="20"/>
      <c r="K1594" s="21" t="s">
        <v>13</v>
      </c>
      <c r="L1594" s="5"/>
    </row>
    <row r="1595" spans="1:12" x14ac:dyDescent="0.25">
      <c r="A1595" s="22" t="s">
        <v>31</v>
      </c>
      <c r="B1595" s="115">
        <v>18598</v>
      </c>
      <c r="C1595" s="116"/>
      <c r="D1595" s="116"/>
      <c r="E1595" s="117"/>
      <c r="F1595" s="5"/>
      <c r="G1595" s="22" t="s">
        <v>32</v>
      </c>
      <c r="H1595" s="115">
        <v>41517</v>
      </c>
      <c r="I1595" s="116"/>
      <c r="J1595" s="116"/>
      <c r="K1595" s="117"/>
      <c r="L1595" s="5"/>
    </row>
    <row r="1596" spans="1:12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</row>
    <row r="1597" spans="1:12" x14ac:dyDescent="0.25">
      <c r="A1597" s="7" t="s">
        <v>16</v>
      </c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</row>
    <row r="1598" spans="1:12" x14ac:dyDescent="0.25">
      <c r="A1598" s="9" t="s">
        <v>17</v>
      </c>
      <c r="B1598" s="23">
        <f>L1575-C1570</f>
        <v>3038</v>
      </c>
      <c r="C1598" s="5"/>
      <c r="D1598" s="106" t="s">
        <v>18</v>
      </c>
      <c r="E1598" s="107"/>
      <c r="F1598" s="24" t="s">
        <v>19</v>
      </c>
      <c r="G1598" s="9" t="s">
        <v>20</v>
      </c>
      <c r="H1598" s="118">
        <f>B1595+H1595</f>
        <v>60115</v>
      </c>
      <c r="I1598" s="119"/>
      <c r="J1598" s="60"/>
      <c r="K1598" s="5"/>
      <c r="L1598" s="5"/>
    </row>
    <row r="1599" spans="1:12" x14ac:dyDescent="0.25">
      <c r="A1599" s="9" t="s">
        <v>41</v>
      </c>
      <c r="B1599" s="40">
        <f>B1598/D1591</f>
        <v>2.0653880930852329</v>
      </c>
      <c r="C1599" s="5"/>
      <c r="D1599" s="102">
        <f>E1591</f>
        <v>30467.269999999997</v>
      </c>
      <c r="E1599" s="103"/>
      <c r="F1599" s="25">
        <f>H1599/B1598</f>
        <v>10.957890059249506</v>
      </c>
      <c r="G1599" s="9" t="s">
        <v>21</v>
      </c>
      <c r="H1599" s="104">
        <f>L1592+D1599+D1601+D1603+D1605+A1602</f>
        <v>33290.07</v>
      </c>
      <c r="I1599" s="105"/>
      <c r="J1599" s="5"/>
      <c r="K1599" s="5"/>
      <c r="L1599" s="5"/>
    </row>
    <row r="1600" spans="1:12" x14ac:dyDescent="0.25">
      <c r="A1600" s="9" t="s">
        <v>43</v>
      </c>
      <c r="B1600" s="23">
        <f>D1591/B1598*100</f>
        <v>48.417050691244242</v>
      </c>
      <c r="C1600" s="5"/>
      <c r="D1600" s="106" t="s">
        <v>33</v>
      </c>
      <c r="E1600" s="107"/>
      <c r="F1600" s="5"/>
      <c r="G1600" s="13" t="s">
        <v>22</v>
      </c>
      <c r="H1600" s="6"/>
      <c r="I1600" s="26">
        <f>H1598-H1599</f>
        <v>26824.93</v>
      </c>
      <c r="J1600" s="5"/>
      <c r="K1600" s="5"/>
      <c r="L1600" s="5"/>
    </row>
    <row r="1601" spans="1:12" x14ac:dyDescent="0.25">
      <c r="A1601" s="106" t="s">
        <v>40</v>
      </c>
      <c r="B1601" s="107"/>
      <c r="C1601" s="5"/>
      <c r="D1601" s="149">
        <v>1000</v>
      </c>
      <c r="E1601" s="150"/>
      <c r="F1601" s="5"/>
      <c r="G1601" s="5"/>
      <c r="H1601" s="5"/>
      <c r="I1601" s="5"/>
      <c r="J1601" s="5"/>
      <c r="K1601" s="5"/>
      <c r="L1601" s="5"/>
    </row>
    <row r="1602" spans="1:12" x14ac:dyDescent="0.25">
      <c r="A1602" s="108">
        <f>B1598*0.6</f>
        <v>1822.8</v>
      </c>
      <c r="B1602" s="109"/>
      <c r="C1602" s="5"/>
      <c r="D1602" s="106" t="s">
        <v>34</v>
      </c>
      <c r="E1602" s="107"/>
      <c r="F1602" s="5"/>
      <c r="G1602" s="145" t="s">
        <v>292</v>
      </c>
      <c r="H1602" s="146"/>
      <c r="I1602" s="23">
        <f>B1598/2.3</f>
        <v>1320.8695652173915</v>
      </c>
      <c r="J1602" s="60"/>
      <c r="K1602" s="5"/>
      <c r="L1602" s="5"/>
    </row>
    <row r="1603" spans="1:12" x14ac:dyDescent="0.25">
      <c r="A1603" s="5"/>
      <c r="B1603" s="5"/>
      <c r="C1603" s="5"/>
      <c r="D1603" s="108">
        <v>0</v>
      </c>
      <c r="E1603" s="109"/>
      <c r="F1603" s="5"/>
      <c r="G1603" s="145" t="s">
        <v>294</v>
      </c>
      <c r="H1603" s="146"/>
      <c r="I1603" s="23">
        <f>I1602-D1591</f>
        <v>-150.0404347826086</v>
      </c>
      <c r="J1603" s="5"/>
      <c r="K1603" s="5"/>
      <c r="L1603" s="5"/>
    </row>
    <row r="1604" spans="1:12" x14ac:dyDescent="0.25">
      <c r="A1604" s="5"/>
      <c r="B1604" s="5"/>
      <c r="C1604" s="5"/>
      <c r="D1604" s="106" t="s">
        <v>37</v>
      </c>
      <c r="E1604" s="107"/>
      <c r="F1604" s="5"/>
      <c r="G1604" s="147" t="s">
        <v>295</v>
      </c>
      <c r="H1604" s="148"/>
      <c r="I1604" s="86">
        <f>I1603*F1591</f>
        <v>-3119.3421734279946</v>
      </c>
      <c r="J1604" s="87">
        <f>I1600-I1604</f>
        <v>29944.272173427995</v>
      </c>
      <c r="K1604" s="5"/>
      <c r="L1604" s="5"/>
    </row>
    <row r="1605" spans="1:12" x14ac:dyDescent="0.25">
      <c r="A1605" s="5"/>
      <c r="B1605" s="5"/>
      <c r="C1605" s="5"/>
      <c r="D1605" s="108"/>
      <c r="E1605" s="109"/>
      <c r="F1605" s="5" t="s">
        <v>78</v>
      </c>
      <c r="G1605" s="5"/>
      <c r="H1605" s="5"/>
      <c r="I1605" s="5"/>
      <c r="J1605" s="88" t="s">
        <v>293</v>
      </c>
      <c r="K1605" s="44"/>
      <c r="L1605" s="5"/>
    </row>
    <row r="1607" spans="1:12" s="49" customFormat="1" x14ac:dyDescent="0.25"/>
    <row r="1610" spans="1:12" x14ac:dyDescent="0.25">
      <c r="A1610" s="120" t="s">
        <v>24</v>
      </c>
      <c r="B1610" s="120"/>
      <c r="C1610" s="120"/>
      <c r="D1610" s="120"/>
      <c r="E1610" s="120"/>
      <c r="F1610" s="120"/>
      <c r="G1610" s="120"/>
      <c r="H1610" s="120"/>
      <c r="I1610" s="120"/>
      <c r="J1610" s="120"/>
      <c r="K1610" s="120"/>
      <c r="L1610" s="120"/>
    </row>
    <row r="1611" spans="1:12" x14ac:dyDescent="0.25">
      <c r="A1611" s="120"/>
      <c r="B1611" s="120"/>
      <c r="C1611" s="120"/>
      <c r="D1611" s="120"/>
      <c r="E1611" s="120"/>
      <c r="F1611" s="120"/>
      <c r="G1611" s="120"/>
      <c r="H1611" s="120"/>
      <c r="I1611" s="120"/>
      <c r="J1611" s="120"/>
      <c r="K1611" s="120"/>
      <c r="L1611" s="120"/>
    </row>
    <row r="1612" spans="1:12" x14ac:dyDescent="0.25">
      <c r="A1612" s="1" t="s">
        <v>4</v>
      </c>
      <c r="B1612" s="2"/>
      <c r="C1612" s="90"/>
      <c r="D1612" s="2"/>
      <c r="E1612" s="2"/>
      <c r="F1612" s="2"/>
      <c r="G1612" s="3" t="s">
        <v>5</v>
      </c>
      <c r="H1612" s="3" t="s">
        <v>6</v>
      </c>
      <c r="I1612" s="4" t="s">
        <v>7</v>
      </c>
      <c r="J1612" s="5"/>
      <c r="K1612" s="5"/>
      <c r="L1612" s="5"/>
    </row>
    <row r="1613" spans="1:12" x14ac:dyDescent="0.25">
      <c r="A1613" s="91" t="s">
        <v>359</v>
      </c>
      <c r="B1613" s="92" t="s">
        <v>42</v>
      </c>
      <c r="C1613" s="64"/>
      <c r="D1613" s="66"/>
      <c r="E1613" s="2"/>
      <c r="F1613" s="2"/>
      <c r="G1613" s="91" t="s">
        <v>299</v>
      </c>
      <c r="H1613" s="66"/>
      <c r="I1613" s="33"/>
      <c r="J1613" s="6"/>
      <c r="K1613" s="33"/>
      <c r="L1613" s="6"/>
    </row>
    <row r="1614" spans="1:12" x14ac:dyDescent="0.25">
      <c r="A1614" s="7" t="s">
        <v>2</v>
      </c>
      <c r="B1614" s="5"/>
      <c r="C1614" s="5"/>
      <c r="D1614" s="5"/>
      <c r="E1614" s="5"/>
      <c r="F1614" s="5"/>
      <c r="G1614" s="8" t="s">
        <v>8</v>
      </c>
      <c r="H1614" s="93">
        <v>3</v>
      </c>
      <c r="I1614" s="5"/>
      <c r="J1614" s="5"/>
      <c r="K1614" s="5"/>
      <c r="L1614" s="5"/>
    </row>
    <row r="1615" spans="1:12" x14ac:dyDescent="0.25">
      <c r="A1615" s="7" t="s">
        <v>25</v>
      </c>
      <c r="B1615" s="5"/>
      <c r="C1615" s="7" t="s">
        <v>0</v>
      </c>
      <c r="D1615" s="5"/>
      <c r="E1615" s="5"/>
      <c r="F1615" s="5"/>
      <c r="G1615" s="7" t="s">
        <v>25</v>
      </c>
      <c r="H1615" s="5"/>
      <c r="I1615" s="7" t="s">
        <v>0</v>
      </c>
      <c r="J1615" s="5"/>
      <c r="K1615" s="5"/>
      <c r="L1615" s="5"/>
    </row>
    <row r="1616" spans="1:12" x14ac:dyDescent="0.25">
      <c r="A1616" s="42" t="s">
        <v>410</v>
      </c>
      <c r="B1616" s="6"/>
      <c r="C1616" s="31">
        <f>L1575</f>
        <v>929626</v>
      </c>
      <c r="D1616" s="5"/>
      <c r="E1616" s="5"/>
      <c r="F1616" s="5"/>
      <c r="G1616" s="42" t="s">
        <v>409</v>
      </c>
      <c r="H1616" s="6"/>
      <c r="I1616" s="9"/>
      <c r="J1616" s="5"/>
      <c r="K1616" s="5"/>
      <c r="L1616" s="5"/>
    </row>
    <row r="1617" spans="1:12" ht="16.5" thickBot="1" x14ac:dyDescent="0.3">
      <c r="A1617" s="7"/>
      <c r="B1617" s="62"/>
      <c r="C1617" s="62"/>
      <c r="D1617" s="62"/>
      <c r="E1617" s="5"/>
      <c r="F1617" s="5"/>
      <c r="G1617" s="10"/>
      <c r="H1617" s="5"/>
      <c r="I1617" s="5"/>
      <c r="J1617" s="5"/>
      <c r="K1617" s="5"/>
      <c r="L1617" s="5"/>
    </row>
    <row r="1618" spans="1:12" ht="15.75" thickBot="1" x14ac:dyDescent="0.3">
      <c r="A1618" s="121" t="s">
        <v>9</v>
      </c>
      <c r="B1618" s="122"/>
      <c r="C1618" s="123"/>
      <c r="D1618" s="5"/>
      <c r="E1618" s="5"/>
      <c r="F1618" s="5"/>
      <c r="G1618" s="121" t="s">
        <v>26</v>
      </c>
      <c r="H1618" s="122"/>
      <c r="I1618" s="123"/>
      <c r="J1618" s="5"/>
      <c r="K1618" s="5"/>
      <c r="L1618" s="5"/>
    </row>
    <row r="1619" spans="1:12" x14ac:dyDescent="0.25">
      <c r="A1619" s="30" t="s">
        <v>38</v>
      </c>
      <c r="B1619" s="11"/>
      <c r="C1619" s="11"/>
      <c r="D1619" s="11"/>
      <c r="E1619" s="6"/>
      <c r="F1619" s="5"/>
      <c r="G1619" s="30"/>
      <c r="H1619" s="11"/>
      <c r="I1619" s="11"/>
      <c r="J1619" s="11"/>
      <c r="K1619" s="11"/>
      <c r="L1619" s="6"/>
    </row>
    <row r="1620" spans="1:12" ht="15.75" thickBot="1" x14ac:dyDescent="0.3">
      <c r="A1620" s="7"/>
      <c r="B1620" s="7"/>
      <c r="C1620" s="7"/>
      <c r="D1620" s="5"/>
      <c r="E1620" s="5"/>
      <c r="F1620" s="5"/>
      <c r="G1620" s="7" t="str">
        <f>A1622</f>
        <v>CAPE TOWN</v>
      </c>
      <c r="H1620" s="7"/>
      <c r="I1620" s="7"/>
      <c r="J1620" s="5"/>
      <c r="K1620" s="5"/>
      <c r="L1620" s="5"/>
    </row>
    <row r="1621" spans="1:12" ht="15.75" thickBot="1" x14ac:dyDescent="0.3">
      <c r="A1621" s="121"/>
      <c r="B1621" s="122"/>
      <c r="C1621" s="124"/>
      <c r="D1621" s="12" t="s">
        <v>1</v>
      </c>
      <c r="E1621" s="32"/>
      <c r="F1621" s="5"/>
      <c r="G1621" s="121" t="s">
        <v>27</v>
      </c>
      <c r="H1621" s="122"/>
      <c r="I1621" s="123"/>
      <c r="J1621" s="5"/>
      <c r="K1621" s="12" t="s">
        <v>1</v>
      </c>
      <c r="L1621" s="32">
        <v>932657</v>
      </c>
    </row>
    <row r="1622" spans="1:12" x14ac:dyDescent="0.25">
      <c r="A1622" s="30" t="s">
        <v>399</v>
      </c>
      <c r="B1622" s="11"/>
      <c r="C1622" s="11"/>
      <c r="D1622" s="11"/>
      <c r="E1622" s="6"/>
      <c r="F1622" s="5"/>
      <c r="G1622" s="30" t="s">
        <v>364</v>
      </c>
      <c r="H1622" s="11"/>
      <c r="I1622" s="11"/>
      <c r="J1622" s="11"/>
      <c r="K1622" s="11"/>
      <c r="L1622" s="6"/>
    </row>
    <row r="1623" spans="1:12" x14ac:dyDescent="0.25">
      <c r="A1623" s="76"/>
      <c r="B1623" s="11"/>
      <c r="C1623" s="11"/>
      <c r="D1623" s="11"/>
      <c r="E1623" s="6"/>
      <c r="F1623" s="5"/>
      <c r="G1623" s="34"/>
      <c r="H1623" s="11"/>
      <c r="I1623" s="11"/>
      <c r="J1623" s="11"/>
      <c r="K1623" s="11"/>
      <c r="L1623" s="6"/>
    </row>
    <row r="1624" spans="1:12" x14ac:dyDescent="0.25">
      <c r="A1624" s="13"/>
      <c r="B1624" s="11"/>
      <c r="C1624" s="11"/>
      <c r="D1624" s="11"/>
      <c r="E1624" s="6"/>
      <c r="F1624" s="5"/>
      <c r="G1624" s="13"/>
      <c r="H1624" s="11"/>
      <c r="I1624" s="11"/>
      <c r="J1624" s="11"/>
      <c r="K1624" s="11"/>
      <c r="L1624" s="6"/>
    </row>
    <row r="1625" spans="1:12" x14ac:dyDescent="0.25">
      <c r="A1625" s="13"/>
      <c r="B1625" s="11"/>
      <c r="C1625" s="11"/>
      <c r="D1625" s="11"/>
      <c r="E1625" s="6"/>
      <c r="F1625" s="5"/>
      <c r="G1625" s="13"/>
      <c r="H1625" s="11"/>
      <c r="I1625" s="11"/>
      <c r="J1625" s="11"/>
      <c r="K1625" s="11"/>
      <c r="L1625" s="6"/>
    </row>
    <row r="1626" spans="1:12" ht="15.75" thickBot="1" x14ac:dyDescent="0.3">
      <c r="A1626" s="13"/>
      <c r="B1626" s="11"/>
      <c r="C1626" s="11" t="s">
        <v>29</v>
      </c>
      <c r="D1626" s="43"/>
      <c r="E1626" s="6"/>
      <c r="F1626" s="5"/>
      <c r="G1626" s="13"/>
      <c r="H1626" s="11"/>
      <c r="I1626" s="14" t="s">
        <v>28</v>
      </c>
      <c r="J1626" s="43"/>
      <c r="K1626" s="59"/>
      <c r="L1626" s="6"/>
    </row>
    <row r="1627" spans="1:12" ht="15.75" thickBot="1" x14ac:dyDescent="0.3">
      <c r="A1627" s="15" t="s">
        <v>10</v>
      </c>
      <c r="B1627" s="5"/>
      <c r="C1627" s="5"/>
      <c r="D1627" s="5"/>
      <c r="E1627" s="5"/>
      <c r="F1627" s="5"/>
      <c r="G1627" s="15" t="s">
        <v>14</v>
      </c>
      <c r="H1627" s="5"/>
      <c r="I1627" s="5"/>
      <c r="J1627" s="5"/>
      <c r="K1627" s="5"/>
      <c r="L1627" s="5"/>
    </row>
    <row r="1628" spans="1:12" ht="15.75" thickBot="1" x14ac:dyDescent="0.3">
      <c r="A1628" s="121" t="s">
        <v>11</v>
      </c>
      <c r="B1628" s="122"/>
      <c r="C1628" s="123"/>
      <c r="D1628" s="16" t="s">
        <v>12</v>
      </c>
      <c r="E1628" s="16" t="s">
        <v>13</v>
      </c>
      <c r="F1628" s="5"/>
      <c r="G1628" s="121" t="s">
        <v>15</v>
      </c>
      <c r="H1628" s="122"/>
      <c r="I1628" s="123"/>
      <c r="J1628" s="121"/>
      <c r="K1628" s="123"/>
      <c r="L1628" s="5"/>
    </row>
    <row r="1629" spans="1:12" x14ac:dyDescent="0.25">
      <c r="A1629" s="45" t="s">
        <v>406</v>
      </c>
      <c r="B1629" s="46" t="s">
        <v>401</v>
      </c>
      <c r="C1629" s="47"/>
      <c r="D1629" s="56">
        <v>263.39999999999998</v>
      </c>
      <c r="E1629" s="57">
        <v>5484</v>
      </c>
      <c r="F1629" s="44">
        <f>E1629/D1629</f>
        <v>20.820045558086562</v>
      </c>
      <c r="G1629" s="125" t="s">
        <v>69</v>
      </c>
      <c r="H1629" s="126"/>
      <c r="I1629" s="127"/>
      <c r="J1629" s="128">
        <v>0</v>
      </c>
      <c r="K1629" s="129"/>
      <c r="L1629" s="5"/>
    </row>
    <row r="1630" spans="1:12" x14ac:dyDescent="0.25">
      <c r="A1630" s="94" t="s">
        <v>408</v>
      </c>
      <c r="B1630" s="46" t="s">
        <v>402</v>
      </c>
      <c r="C1630" s="47"/>
      <c r="D1630" s="56">
        <v>200</v>
      </c>
      <c r="E1630" s="57">
        <v>4262</v>
      </c>
      <c r="F1630" s="44">
        <f>E1630/D1630</f>
        <v>21.31</v>
      </c>
      <c r="G1630" s="110" t="s">
        <v>59</v>
      </c>
      <c r="H1630" s="111"/>
      <c r="I1630" s="112"/>
      <c r="J1630" s="113"/>
      <c r="K1630" s="114"/>
      <c r="L1630" s="5"/>
    </row>
    <row r="1631" spans="1:12" x14ac:dyDescent="0.25">
      <c r="A1631" s="94" t="s">
        <v>408</v>
      </c>
      <c r="B1631" s="46" t="s">
        <v>401</v>
      </c>
      <c r="C1631" s="47"/>
      <c r="D1631" s="56">
        <v>526.84</v>
      </c>
      <c r="E1631" s="57">
        <v>10968.8</v>
      </c>
      <c r="F1631" s="44">
        <f>E1631/D1631</f>
        <v>20.819983296636547</v>
      </c>
      <c r="G1631" s="110" t="s">
        <v>61</v>
      </c>
      <c r="H1631" s="111"/>
      <c r="I1631" s="112"/>
      <c r="J1631" s="113"/>
      <c r="K1631" s="114"/>
      <c r="L1631" s="5"/>
    </row>
    <row r="1632" spans="1:12" x14ac:dyDescent="0.25">
      <c r="A1632" s="94" t="s">
        <v>407</v>
      </c>
      <c r="B1632" s="46" t="s">
        <v>316</v>
      </c>
      <c r="C1632" s="47"/>
      <c r="D1632" s="56">
        <f>193.425+174.55+42.01</f>
        <v>409.98500000000001</v>
      </c>
      <c r="E1632" s="57">
        <v>8285.7000000000007</v>
      </c>
      <c r="F1632" s="44">
        <f>E1632/D1632</f>
        <v>20.209763771845314</v>
      </c>
      <c r="G1632" s="110" t="s">
        <v>51</v>
      </c>
      <c r="H1632" s="111"/>
      <c r="I1632" s="112"/>
      <c r="J1632" s="113"/>
      <c r="K1632" s="114"/>
      <c r="L1632" s="5"/>
    </row>
    <row r="1633" spans="1:12" x14ac:dyDescent="0.25">
      <c r="A1633" s="48"/>
      <c r="B1633" s="46"/>
      <c r="C1633" s="39"/>
      <c r="D1633" s="52"/>
      <c r="E1633" s="53"/>
      <c r="F1633" s="44"/>
      <c r="G1633" s="110" t="s">
        <v>58</v>
      </c>
      <c r="H1633" s="111"/>
      <c r="I1633" s="112"/>
      <c r="J1633" s="113"/>
      <c r="K1633" s="114"/>
      <c r="L1633" s="5"/>
    </row>
    <row r="1634" spans="1:12" x14ac:dyDescent="0.25">
      <c r="A1634" s="48"/>
      <c r="B1634" s="35"/>
      <c r="C1634" s="39"/>
      <c r="D1634" s="52"/>
      <c r="E1634" s="53"/>
      <c r="F1634" s="44"/>
      <c r="G1634" s="110" t="s">
        <v>51</v>
      </c>
      <c r="H1634" s="111"/>
      <c r="I1634" s="112"/>
      <c r="J1634" s="113"/>
      <c r="K1634" s="114"/>
      <c r="L1634" s="5"/>
    </row>
    <row r="1635" spans="1:12" x14ac:dyDescent="0.25">
      <c r="A1635" s="48"/>
      <c r="B1635" s="35"/>
      <c r="C1635" s="39"/>
      <c r="D1635" s="52"/>
      <c r="E1635" s="53"/>
      <c r="F1635" s="44"/>
      <c r="G1635" s="77"/>
      <c r="H1635" s="78" t="s">
        <v>69</v>
      </c>
      <c r="I1635" s="79"/>
      <c r="J1635" s="113"/>
      <c r="K1635" s="114"/>
      <c r="L1635" s="5"/>
    </row>
    <row r="1636" spans="1:12" x14ac:dyDescent="0.25">
      <c r="A1636" s="38"/>
      <c r="B1636" s="35"/>
      <c r="C1636" s="39"/>
      <c r="D1636" s="52"/>
      <c r="E1636" s="53"/>
      <c r="F1636" s="44"/>
      <c r="G1636" s="77"/>
      <c r="H1636" s="78" t="s">
        <v>72</v>
      </c>
      <c r="I1636" s="79"/>
      <c r="J1636" s="113"/>
      <c r="K1636" s="114"/>
      <c r="L1636" s="5"/>
    </row>
    <row r="1637" spans="1:12" ht="15.75" thickBot="1" x14ac:dyDescent="0.3">
      <c r="A1637" s="5"/>
      <c r="B1637" s="5"/>
      <c r="C1637" s="7" t="s">
        <v>35</v>
      </c>
      <c r="D1637" s="17">
        <f>SUM(D1629:D1636)</f>
        <v>1400.2249999999999</v>
      </c>
      <c r="E1637" s="17">
        <f>SUM(E1629:E1636)</f>
        <v>29000.5</v>
      </c>
      <c r="F1637" s="89">
        <f>AVERAGE(F1629:F1633)</f>
        <v>20.789948156642108</v>
      </c>
      <c r="G1637" s="110" t="s">
        <v>73</v>
      </c>
      <c r="H1637" s="111"/>
      <c r="I1637" s="112"/>
      <c r="J1637" s="113"/>
      <c r="K1637" s="114"/>
      <c r="L1637" s="7" t="s">
        <v>36</v>
      </c>
    </row>
    <row r="1638" spans="1:12" ht="15.75" thickBot="1" x14ac:dyDescent="0.3">
      <c r="A1638" s="5"/>
      <c r="B1638" s="5"/>
      <c r="C1638" s="5"/>
      <c r="D1638" s="5"/>
      <c r="E1638" s="5"/>
      <c r="F1638" s="5"/>
      <c r="G1638" s="130"/>
      <c r="H1638" s="131"/>
      <c r="I1638" s="132"/>
      <c r="J1638" s="133"/>
      <c r="K1638" s="134"/>
      <c r="L1638" s="18">
        <f>J1629+J1630+J1631+J1632+J1633+J1634+J1635+J1636+J1637</f>
        <v>0</v>
      </c>
    </row>
    <row r="1639" spans="1:12" ht="15.75" thickBot="1" x14ac:dyDescent="0.3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</row>
    <row r="1640" spans="1:12" ht="15.75" thickBot="1" x14ac:dyDescent="0.3">
      <c r="A1640" s="19"/>
      <c r="B1640" s="20"/>
      <c r="C1640" s="20"/>
      <c r="D1640" s="20"/>
      <c r="E1640" s="21" t="s">
        <v>13</v>
      </c>
      <c r="F1640" s="5"/>
      <c r="G1640" s="19"/>
      <c r="H1640" s="20"/>
      <c r="I1640" s="20"/>
      <c r="J1640" s="20"/>
      <c r="K1640" s="21" t="s">
        <v>13</v>
      </c>
      <c r="L1640" s="5"/>
    </row>
    <row r="1641" spans="1:12" x14ac:dyDescent="0.25">
      <c r="A1641" s="22" t="s">
        <v>31</v>
      </c>
      <c r="B1641" s="115">
        <v>18598</v>
      </c>
      <c r="C1641" s="116"/>
      <c r="D1641" s="116"/>
      <c r="E1641" s="117"/>
      <c r="F1641" s="5"/>
      <c r="G1641" s="22" t="s">
        <v>32</v>
      </c>
      <c r="H1641" s="115">
        <v>42067</v>
      </c>
      <c r="I1641" s="116"/>
      <c r="J1641" s="116"/>
      <c r="K1641" s="117"/>
      <c r="L1641" s="5"/>
    </row>
    <row r="1642" spans="1:12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</row>
    <row r="1643" spans="1:12" x14ac:dyDescent="0.25">
      <c r="A1643" s="7" t="s">
        <v>16</v>
      </c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</row>
    <row r="1644" spans="1:12" x14ac:dyDescent="0.25">
      <c r="A1644" s="9" t="s">
        <v>17</v>
      </c>
      <c r="B1644" s="23">
        <f>L1621-C1616</f>
        <v>3031</v>
      </c>
      <c r="C1644" s="5"/>
      <c r="D1644" s="106" t="s">
        <v>18</v>
      </c>
      <c r="E1644" s="107"/>
      <c r="F1644" s="24" t="s">
        <v>19</v>
      </c>
      <c r="G1644" s="9" t="s">
        <v>20</v>
      </c>
      <c r="H1644" s="118">
        <f>B1641+H1641</f>
        <v>60665</v>
      </c>
      <c r="I1644" s="119"/>
      <c r="J1644" s="60"/>
      <c r="K1644" s="5"/>
      <c r="L1644" s="5"/>
    </row>
    <row r="1645" spans="1:12" x14ac:dyDescent="0.25">
      <c r="A1645" s="9" t="s">
        <v>41</v>
      </c>
      <c r="B1645" s="40">
        <f>B1644/D1637</f>
        <v>2.1646521094824047</v>
      </c>
      <c r="C1645" s="5"/>
      <c r="D1645" s="102">
        <f>E1637</f>
        <v>29000.5</v>
      </c>
      <c r="E1645" s="103"/>
      <c r="F1645" s="25">
        <f>H1645/B1644</f>
        <v>10.4978884856483</v>
      </c>
      <c r="G1645" s="9" t="s">
        <v>21</v>
      </c>
      <c r="H1645" s="104">
        <f>L1638+D1645+D1647+D1649+D1651+A1648</f>
        <v>31819.1</v>
      </c>
      <c r="I1645" s="105"/>
      <c r="J1645" s="5"/>
      <c r="K1645" s="5"/>
      <c r="L1645" s="5"/>
    </row>
    <row r="1646" spans="1:12" x14ac:dyDescent="0.25">
      <c r="A1646" s="9" t="s">
        <v>43</v>
      </c>
      <c r="B1646" s="23">
        <f>D1637/B1644*100</f>
        <v>46.196799736060697</v>
      </c>
      <c r="C1646" s="5"/>
      <c r="D1646" s="106" t="s">
        <v>33</v>
      </c>
      <c r="E1646" s="107"/>
      <c r="F1646" s="5"/>
      <c r="G1646" s="13" t="s">
        <v>22</v>
      </c>
      <c r="H1646" s="6"/>
      <c r="I1646" s="26">
        <f>H1644-H1645</f>
        <v>28845.9</v>
      </c>
      <c r="J1646" s="5"/>
      <c r="K1646" s="5"/>
      <c r="L1646" s="5"/>
    </row>
    <row r="1647" spans="1:12" x14ac:dyDescent="0.25">
      <c r="A1647" s="106" t="s">
        <v>40</v>
      </c>
      <c r="B1647" s="107"/>
      <c r="C1647" s="5"/>
      <c r="D1647" s="149">
        <v>1000</v>
      </c>
      <c r="E1647" s="150"/>
      <c r="F1647" s="5"/>
      <c r="G1647" s="5"/>
      <c r="H1647" s="5"/>
      <c r="I1647" s="5"/>
      <c r="J1647" s="5"/>
      <c r="K1647" s="5"/>
      <c r="L1647" s="5"/>
    </row>
    <row r="1648" spans="1:12" x14ac:dyDescent="0.25">
      <c r="A1648" s="108">
        <f>B1644*0.6</f>
        <v>1818.6</v>
      </c>
      <c r="B1648" s="109"/>
      <c r="C1648" s="5"/>
      <c r="D1648" s="106" t="s">
        <v>34</v>
      </c>
      <c r="E1648" s="107"/>
      <c r="F1648" s="5"/>
      <c r="G1648" s="145" t="s">
        <v>292</v>
      </c>
      <c r="H1648" s="146"/>
      <c r="I1648" s="23">
        <f>B1644/2.3</f>
        <v>1317.8260869565217</v>
      </c>
      <c r="J1648" s="60"/>
      <c r="K1648" s="5"/>
      <c r="L1648" s="5"/>
    </row>
    <row r="1649" spans="1:12" x14ac:dyDescent="0.25">
      <c r="A1649" s="5"/>
      <c r="B1649" s="5"/>
      <c r="C1649" s="5"/>
      <c r="D1649" s="108">
        <v>0</v>
      </c>
      <c r="E1649" s="109"/>
      <c r="F1649" s="5"/>
      <c r="G1649" s="145" t="s">
        <v>294</v>
      </c>
      <c r="H1649" s="146"/>
      <c r="I1649" s="23">
        <f>I1648-D1637</f>
        <v>-82.39891304347816</v>
      </c>
      <c r="J1649" s="5"/>
      <c r="K1649" s="5"/>
      <c r="L1649" s="5"/>
    </row>
    <row r="1650" spans="1:12" x14ac:dyDescent="0.25">
      <c r="A1650" s="5"/>
      <c r="B1650" s="5"/>
      <c r="C1650" s="5"/>
      <c r="D1650" s="106" t="s">
        <v>37</v>
      </c>
      <c r="E1650" s="107"/>
      <c r="F1650" s="5"/>
      <c r="G1650" s="147" t="s">
        <v>295</v>
      </c>
      <c r="H1650" s="148"/>
      <c r="I1650" s="86">
        <f>I1649*F1637</f>
        <v>-1713.0691303375722</v>
      </c>
      <c r="J1650" s="87">
        <f>I1646-I1650</f>
        <v>30558.969130337573</v>
      </c>
      <c r="K1650" s="5"/>
      <c r="L1650" s="5"/>
    </row>
    <row r="1651" spans="1:12" x14ac:dyDescent="0.25">
      <c r="A1651" s="5"/>
      <c r="B1651" s="5"/>
      <c r="C1651" s="5"/>
      <c r="D1651" s="108"/>
      <c r="E1651" s="109"/>
      <c r="F1651" s="5" t="s">
        <v>78</v>
      </c>
      <c r="G1651" s="5"/>
      <c r="H1651" s="5"/>
      <c r="I1651" s="5"/>
      <c r="J1651" s="88" t="s">
        <v>293</v>
      </c>
      <c r="K1651" s="44"/>
      <c r="L1651" s="5"/>
    </row>
    <row r="1653" spans="1:12" s="49" customFormat="1" x14ac:dyDescent="0.25"/>
    <row r="1656" spans="1:12" x14ac:dyDescent="0.25">
      <c r="A1656" s="120" t="s">
        <v>24</v>
      </c>
      <c r="B1656" s="120"/>
      <c r="C1656" s="120"/>
      <c r="D1656" s="120"/>
      <c r="E1656" s="120"/>
      <c r="F1656" s="120"/>
      <c r="G1656" s="120"/>
      <c r="H1656" s="120"/>
      <c r="I1656" s="120"/>
      <c r="J1656" s="120"/>
      <c r="K1656" s="120"/>
      <c r="L1656" s="120"/>
    </row>
    <row r="1657" spans="1:12" x14ac:dyDescent="0.25">
      <c r="A1657" s="120"/>
      <c r="B1657" s="120"/>
      <c r="C1657" s="120"/>
      <c r="D1657" s="120"/>
      <c r="E1657" s="120"/>
      <c r="F1657" s="120"/>
      <c r="G1657" s="120"/>
      <c r="H1657" s="120"/>
      <c r="I1657" s="120"/>
      <c r="J1657" s="120"/>
      <c r="K1657" s="120"/>
      <c r="L1657" s="120"/>
    </row>
    <row r="1658" spans="1:12" x14ac:dyDescent="0.25">
      <c r="A1658" s="1" t="s">
        <v>4</v>
      </c>
      <c r="B1658" s="2"/>
      <c r="C1658" s="90"/>
      <c r="D1658" s="2"/>
      <c r="E1658" s="2"/>
      <c r="F1658" s="2"/>
      <c r="G1658" s="3" t="s">
        <v>5</v>
      </c>
      <c r="H1658" s="3" t="s">
        <v>6</v>
      </c>
      <c r="I1658" s="4" t="s">
        <v>7</v>
      </c>
      <c r="J1658" s="5"/>
      <c r="K1658" s="5"/>
      <c r="L1658" s="5"/>
    </row>
    <row r="1659" spans="1:12" x14ac:dyDescent="0.25">
      <c r="A1659" s="91" t="s">
        <v>359</v>
      </c>
      <c r="B1659" s="92" t="s">
        <v>42</v>
      </c>
      <c r="C1659" s="64"/>
      <c r="D1659" s="66"/>
      <c r="E1659" s="2"/>
      <c r="F1659" s="2"/>
      <c r="G1659" s="91" t="s">
        <v>299</v>
      </c>
      <c r="H1659" s="66"/>
      <c r="I1659" s="33"/>
      <c r="J1659" s="6"/>
      <c r="K1659" s="33"/>
      <c r="L1659" s="6"/>
    </row>
    <row r="1660" spans="1:12" x14ac:dyDescent="0.25">
      <c r="A1660" s="7" t="s">
        <v>2</v>
      </c>
      <c r="B1660" s="5"/>
      <c r="C1660" s="5"/>
      <c r="D1660" s="5"/>
      <c r="E1660" s="5"/>
      <c r="F1660" s="5"/>
      <c r="G1660" s="8" t="s">
        <v>8</v>
      </c>
      <c r="H1660" s="93">
        <v>3</v>
      </c>
      <c r="I1660" s="5"/>
      <c r="J1660" s="5"/>
      <c r="K1660" s="5"/>
      <c r="L1660" s="5"/>
    </row>
    <row r="1661" spans="1:12" x14ac:dyDescent="0.25">
      <c r="A1661" s="7" t="s">
        <v>25</v>
      </c>
      <c r="B1661" s="5"/>
      <c r="C1661" s="7" t="s">
        <v>0</v>
      </c>
      <c r="D1661" s="5"/>
      <c r="E1661" s="5"/>
      <c r="F1661" s="5"/>
      <c r="G1661" s="7" t="s">
        <v>25</v>
      </c>
      <c r="H1661" s="5"/>
      <c r="I1661" s="7" t="s">
        <v>0</v>
      </c>
      <c r="J1661" s="5"/>
      <c r="K1661" s="5"/>
      <c r="L1661" s="5"/>
    </row>
    <row r="1662" spans="1:12" x14ac:dyDescent="0.25">
      <c r="A1662" s="42" t="s">
        <v>407</v>
      </c>
      <c r="B1662" s="6"/>
      <c r="C1662" s="31">
        <f>L1621</f>
        <v>932657</v>
      </c>
      <c r="D1662" s="5"/>
      <c r="E1662" s="5"/>
      <c r="F1662" s="5"/>
      <c r="G1662" s="42" t="s">
        <v>409</v>
      </c>
      <c r="H1662" s="6"/>
      <c r="I1662" s="9"/>
      <c r="J1662" s="5"/>
      <c r="K1662" s="5"/>
      <c r="L1662" s="5"/>
    </row>
    <row r="1663" spans="1:12" ht="16.5" thickBot="1" x14ac:dyDescent="0.3">
      <c r="A1663" s="7"/>
      <c r="B1663" s="62"/>
      <c r="C1663" s="62"/>
      <c r="D1663" s="62"/>
      <c r="E1663" s="5"/>
      <c r="F1663" s="5"/>
      <c r="G1663" s="10"/>
      <c r="H1663" s="5"/>
      <c r="I1663" s="5"/>
      <c r="J1663" s="5"/>
      <c r="K1663" s="5"/>
      <c r="L1663" s="5"/>
    </row>
    <row r="1664" spans="1:12" ht="15.75" thickBot="1" x14ac:dyDescent="0.3">
      <c r="A1664" s="121" t="s">
        <v>9</v>
      </c>
      <c r="B1664" s="122"/>
      <c r="C1664" s="123"/>
      <c r="D1664" s="5"/>
      <c r="E1664" s="5"/>
      <c r="F1664" s="5"/>
      <c r="G1664" s="121" t="s">
        <v>26</v>
      </c>
      <c r="H1664" s="122"/>
      <c r="I1664" s="123"/>
      <c r="J1664" s="5"/>
      <c r="K1664" s="5"/>
      <c r="L1664" s="5"/>
    </row>
    <row r="1665" spans="1:12" x14ac:dyDescent="0.25">
      <c r="A1665" s="30" t="s">
        <v>38</v>
      </c>
      <c r="B1665" s="11"/>
      <c r="C1665" s="11"/>
      <c r="D1665" s="11"/>
      <c r="E1665" s="6"/>
      <c r="F1665" s="5"/>
      <c r="G1665" s="30"/>
      <c r="H1665" s="11"/>
      <c r="I1665" s="11"/>
      <c r="J1665" s="11"/>
      <c r="K1665" s="11"/>
      <c r="L1665" s="6"/>
    </row>
    <row r="1666" spans="1:12" ht="15.75" thickBot="1" x14ac:dyDescent="0.3">
      <c r="A1666" s="7"/>
      <c r="B1666" s="7"/>
      <c r="C1666" s="7"/>
      <c r="D1666" s="5"/>
      <c r="E1666" s="5"/>
      <c r="F1666" s="5"/>
      <c r="G1666" s="7" t="str">
        <f>A1668</f>
        <v>CAPE TOWN</v>
      </c>
      <c r="H1666" s="7"/>
      <c r="I1666" s="7"/>
      <c r="J1666" s="5"/>
      <c r="K1666" s="5"/>
      <c r="L1666" s="5"/>
    </row>
    <row r="1667" spans="1:12" ht="15.75" thickBot="1" x14ac:dyDescent="0.3">
      <c r="A1667" s="121"/>
      <c r="B1667" s="122"/>
      <c r="C1667" s="124"/>
      <c r="D1667" s="12" t="s">
        <v>1</v>
      </c>
      <c r="E1667" s="32"/>
      <c r="F1667" s="5"/>
      <c r="G1667" s="121" t="s">
        <v>27</v>
      </c>
      <c r="H1667" s="122"/>
      <c r="I1667" s="123"/>
      <c r="J1667" s="5"/>
      <c r="K1667" s="12" t="s">
        <v>1</v>
      </c>
      <c r="L1667" s="32">
        <v>935697</v>
      </c>
    </row>
    <row r="1668" spans="1:12" x14ac:dyDescent="0.25">
      <c r="A1668" s="30" t="s">
        <v>399</v>
      </c>
      <c r="B1668" s="11"/>
      <c r="C1668" s="11"/>
      <c r="D1668" s="11"/>
      <c r="E1668" s="6"/>
      <c r="F1668" s="5"/>
      <c r="G1668" s="30" t="s">
        <v>364</v>
      </c>
      <c r="H1668" s="11"/>
      <c r="I1668" s="11"/>
      <c r="J1668" s="11"/>
      <c r="K1668" s="11"/>
      <c r="L1668" s="6"/>
    </row>
    <row r="1669" spans="1:12" x14ac:dyDescent="0.25">
      <c r="A1669" s="76"/>
      <c r="B1669" s="11"/>
      <c r="C1669" s="11"/>
      <c r="D1669" s="11"/>
      <c r="E1669" s="6"/>
      <c r="F1669" s="5"/>
      <c r="G1669" s="34"/>
      <c r="H1669" s="11"/>
      <c r="I1669" s="11"/>
      <c r="J1669" s="11"/>
      <c r="K1669" s="11"/>
      <c r="L1669" s="6"/>
    </row>
    <row r="1670" spans="1:12" x14ac:dyDescent="0.25">
      <c r="A1670" s="13"/>
      <c r="B1670" s="11"/>
      <c r="C1670" s="11"/>
      <c r="D1670" s="11"/>
      <c r="E1670" s="6"/>
      <c r="F1670" s="5"/>
      <c r="G1670" s="13"/>
      <c r="H1670" s="11"/>
      <c r="I1670" s="11"/>
      <c r="J1670" s="11"/>
      <c r="K1670" s="11"/>
      <c r="L1670" s="6"/>
    </row>
    <row r="1671" spans="1:12" x14ac:dyDescent="0.25">
      <c r="A1671" s="13"/>
      <c r="B1671" s="11"/>
      <c r="C1671" s="11"/>
      <c r="D1671" s="11"/>
      <c r="E1671" s="6"/>
      <c r="F1671" s="5"/>
      <c r="G1671" s="13"/>
      <c r="H1671" s="11"/>
      <c r="I1671" s="11"/>
      <c r="J1671" s="11"/>
      <c r="K1671" s="11"/>
      <c r="L1671" s="6"/>
    </row>
    <row r="1672" spans="1:12" ht="15.75" thickBot="1" x14ac:dyDescent="0.3">
      <c r="A1672" s="13"/>
      <c r="B1672" s="11"/>
      <c r="C1672" s="11" t="s">
        <v>29</v>
      </c>
      <c r="D1672" s="43"/>
      <c r="E1672" s="6"/>
      <c r="F1672" s="5"/>
      <c r="G1672" s="13"/>
      <c r="H1672" s="11"/>
      <c r="I1672" s="14" t="s">
        <v>28</v>
      </c>
      <c r="J1672" s="43"/>
      <c r="K1672" s="59"/>
      <c r="L1672" s="6"/>
    </row>
    <row r="1673" spans="1:12" ht="15.75" thickBot="1" x14ac:dyDescent="0.3">
      <c r="A1673" s="15" t="s">
        <v>10</v>
      </c>
      <c r="B1673" s="5"/>
      <c r="C1673" s="5"/>
      <c r="D1673" s="5"/>
      <c r="E1673" s="5"/>
      <c r="F1673" s="5"/>
      <c r="G1673" s="15" t="s">
        <v>14</v>
      </c>
      <c r="H1673" s="5"/>
      <c r="I1673" s="5"/>
      <c r="J1673" s="5"/>
      <c r="K1673" s="5"/>
      <c r="L1673" s="5"/>
    </row>
    <row r="1674" spans="1:12" ht="15.75" thickBot="1" x14ac:dyDescent="0.3">
      <c r="A1674" s="121" t="s">
        <v>11</v>
      </c>
      <c r="B1674" s="122"/>
      <c r="C1674" s="123"/>
      <c r="D1674" s="16" t="s">
        <v>12</v>
      </c>
      <c r="E1674" s="16" t="s">
        <v>13</v>
      </c>
      <c r="F1674" s="5"/>
      <c r="G1674" s="121" t="s">
        <v>15</v>
      </c>
      <c r="H1674" s="122"/>
      <c r="I1674" s="123"/>
      <c r="J1674" s="121"/>
      <c r="K1674" s="123"/>
      <c r="L1674" s="5"/>
    </row>
    <row r="1675" spans="1:12" x14ac:dyDescent="0.25">
      <c r="A1675" s="45" t="s">
        <v>411</v>
      </c>
      <c r="B1675" s="46" t="s">
        <v>401</v>
      </c>
      <c r="C1675" s="47"/>
      <c r="D1675" s="56">
        <v>364.95</v>
      </c>
      <c r="E1675" s="57">
        <v>7598.25</v>
      </c>
      <c r="F1675" s="44">
        <f>E1675/D1675</f>
        <v>20.819975339087549</v>
      </c>
      <c r="G1675" s="125" t="s">
        <v>69</v>
      </c>
      <c r="H1675" s="126"/>
      <c r="I1675" s="127"/>
      <c r="J1675" s="128">
        <v>0</v>
      </c>
      <c r="K1675" s="129"/>
      <c r="L1675" s="5"/>
    </row>
    <row r="1676" spans="1:12" x14ac:dyDescent="0.25">
      <c r="A1676" s="94" t="s">
        <v>412</v>
      </c>
      <c r="B1676" s="46" t="s">
        <v>402</v>
      </c>
      <c r="C1676" s="47"/>
      <c r="D1676" s="56">
        <v>200</v>
      </c>
      <c r="E1676" s="57">
        <v>4262</v>
      </c>
      <c r="F1676" s="44">
        <f>E1676/D1676</f>
        <v>21.31</v>
      </c>
      <c r="G1676" s="110" t="s">
        <v>59</v>
      </c>
      <c r="H1676" s="111"/>
      <c r="I1676" s="112"/>
      <c r="J1676" s="113"/>
      <c r="K1676" s="114"/>
      <c r="L1676" s="5"/>
    </row>
    <row r="1677" spans="1:12" x14ac:dyDescent="0.25">
      <c r="A1677" s="94" t="s">
        <v>412</v>
      </c>
      <c r="B1677" s="46" t="s">
        <v>401</v>
      </c>
      <c r="C1677" s="47"/>
      <c r="D1677" s="56">
        <v>593.76</v>
      </c>
      <c r="E1677" s="57">
        <v>12362.05</v>
      </c>
      <c r="F1677" s="44">
        <f>E1677/D1677</f>
        <v>20.819944085152247</v>
      </c>
      <c r="G1677" s="110" t="s">
        <v>61</v>
      </c>
      <c r="H1677" s="111"/>
      <c r="I1677" s="112"/>
      <c r="J1677" s="113"/>
      <c r="K1677" s="114"/>
      <c r="L1677" s="5"/>
    </row>
    <row r="1678" spans="1:12" x14ac:dyDescent="0.25">
      <c r="A1678" s="94" t="s">
        <v>413</v>
      </c>
      <c r="B1678" s="46" t="s">
        <v>316</v>
      </c>
      <c r="C1678" s="47"/>
      <c r="D1678" s="56">
        <v>417.11</v>
      </c>
      <c r="E1678" s="57">
        <v>8429.59</v>
      </c>
      <c r="F1678" s="44">
        <f>E1678/D1678</f>
        <v>20.209513078084917</v>
      </c>
      <c r="G1678" s="110" t="s">
        <v>51</v>
      </c>
      <c r="H1678" s="111"/>
      <c r="I1678" s="112"/>
      <c r="J1678" s="113"/>
      <c r="K1678" s="114"/>
      <c r="L1678" s="5"/>
    </row>
    <row r="1679" spans="1:12" x14ac:dyDescent="0.25">
      <c r="A1679" s="48"/>
      <c r="B1679" s="46"/>
      <c r="C1679" s="39"/>
      <c r="D1679" s="52"/>
      <c r="E1679" s="53"/>
      <c r="F1679" s="44"/>
      <c r="G1679" s="110" t="s">
        <v>58</v>
      </c>
      <c r="H1679" s="111"/>
      <c r="I1679" s="112"/>
      <c r="J1679" s="113"/>
      <c r="K1679" s="114"/>
      <c r="L1679" s="5"/>
    </row>
    <row r="1680" spans="1:12" x14ac:dyDescent="0.25">
      <c r="A1680" s="48"/>
      <c r="B1680" s="35"/>
      <c r="C1680" s="39"/>
      <c r="D1680" s="52"/>
      <c r="E1680" s="53"/>
      <c r="F1680" s="44"/>
      <c r="G1680" s="110" t="s">
        <v>51</v>
      </c>
      <c r="H1680" s="111"/>
      <c r="I1680" s="112"/>
      <c r="J1680" s="113"/>
      <c r="K1680" s="114"/>
      <c r="L1680" s="5"/>
    </row>
    <row r="1681" spans="1:12" x14ac:dyDescent="0.25">
      <c r="A1681" s="48"/>
      <c r="B1681" s="35"/>
      <c r="C1681" s="39"/>
      <c r="D1681" s="52"/>
      <c r="E1681" s="53"/>
      <c r="F1681" s="44"/>
      <c r="G1681" s="77"/>
      <c r="H1681" s="78" t="s">
        <v>69</v>
      </c>
      <c r="I1681" s="79"/>
      <c r="J1681" s="113"/>
      <c r="K1681" s="114"/>
      <c r="L1681" s="5"/>
    </row>
    <row r="1682" spans="1:12" x14ac:dyDescent="0.25">
      <c r="A1682" s="38"/>
      <c r="B1682" s="35"/>
      <c r="C1682" s="39"/>
      <c r="D1682" s="52"/>
      <c r="E1682" s="53"/>
      <c r="F1682" s="44"/>
      <c r="G1682" s="77"/>
      <c r="H1682" s="78" t="s">
        <v>72</v>
      </c>
      <c r="I1682" s="79"/>
      <c r="J1682" s="113"/>
      <c r="K1682" s="114"/>
      <c r="L1682" s="5"/>
    </row>
    <row r="1683" spans="1:12" ht="15.75" thickBot="1" x14ac:dyDescent="0.3">
      <c r="A1683" s="5"/>
      <c r="B1683" s="5"/>
      <c r="C1683" s="7" t="s">
        <v>35</v>
      </c>
      <c r="D1683" s="17">
        <f>SUM(D1675:D1682)</f>
        <v>1575.8200000000002</v>
      </c>
      <c r="E1683" s="17">
        <f>SUM(E1675:E1682)</f>
        <v>32651.89</v>
      </c>
      <c r="F1683" s="89">
        <f>AVERAGE(F1675:F1679)</f>
        <v>20.789858125581176</v>
      </c>
      <c r="G1683" s="110" t="s">
        <v>73</v>
      </c>
      <c r="H1683" s="111"/>
      <c r="I1683" s="112"/>
      <c r="J1683" s="113"/>
      <c r="K1683" s="114"/>
      <c r="L1683" s="7" t="s">
        <v>36</v>
      </c>
    </row>
    <row r="1684" spans="1:12" ht="15.75" thickBot="1" x14ac:dyDescent="0.3">
      <c r="A1684" s="5"/>
      <c r="B1684" s="5"/>
      <c r="C1684" s="5"/>
      <c r="D1684" s="5"/>
      <c r="E1684" s="5"/>
      <c r="F1684" s="5"/>
      <c r="G1684" s="130"/>
      <c r="H1684" s="131"/>
      <c r="I1684" s="132"/>
      <c r="J1684" s="133"/>
      <c r="K1684" s="134"/>
      <c r="L1684" s="18">
        <f>J1675+J1676+J1677+J1678+J1679+J1680+J1681+J1682+J1683</f>
        <v>0</v>
      </c>
    </row>
    <row r="1685" spans="1:12" ht="15.75" thickBot="1" x14ac:dyDescent="0.3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</row>
    <row r="1686" spans="1:12" ht="15.75" thickBot="1" x14ac:dyDescent="0.3">
      <c r="A1686" s="19"/>
      <c r="B1686" s="20"/>
      <c r="C1686" s="20"/>
      <c r="D1686" s="20"/>
      <c r="E1686" s="21" t="s">
        <v>13</v>
      </c>
      <c r="F1686" s="5"/>
      <c r="G1686" s="19"/>
      <c r="H1686" s="20"/>
      <c r="I1686" s="20"/>
      <c r="J1686" s="20"/>
      <c r="K1686" s="21" t="s">
        <v>13</v>
      </c>
      <c r="L1686" s="5"/>
    </row>
    <row r="1687" spans="1:12" x14ac:dyDescent="0.25">
      <c r="A1687" s="22" t="s">
        <v>31</v>
      </c>
      <c r="B1687" s="115">
        <v>18598</v>
      </c>
      <c r="C1687" s="116"/>
      <c r="D1687" s="116"/>
      <c r="E1687" s="117"/>
      <c r="F1687" s="5"/>
      <c r="G1687" s="22" t="s">
        <v>32</v>
      </c>
      <c r="H1687" s="115">
        <v>42067</v>
      </c>
      <c r="I1687" s="116"/>
      <c r="J1687" s="116"/>
      <c r="K1687" s="117"/>
      <c r="L1687" s="5"/>
    </row>
    <row r="1688" spans="1:12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</row>
    <row r="1689" spans="1:12" x14ac:dyDescent="0.25">
      <c r="A1689" s="7" t="s">
        <v>16</v>
      </c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</row>
    <row r="1690" spans="1:12" x14ac:dyDescent="0.25">
      <c r="A1690" s="9" t="s">
        <v>17</v>
      </c>
      <c r="B1690" s="23">
        <f>L1667-C1662</f>
        <v>3040</v>
      </c>
      <c r="C1690" s="5"/>
      <c r="D1690" s="106" t="s">
        <v>18</v>
      </c>
      <c r="E1690" s="107"/>
      <c r="F1690" s="24" t="s">
        <v>19</v>
      </c>
      <c r="G1690" s="9" t="s">
        <v>20</v>
      </c>
      <c r="H1690" s="118">
        <f>B1687+H1687</f>
        <v>60665</v>
      </c>
      <c r="I1690" s="119"/>
      <c r="J1690" s="60"/>
      <c r="K1690" s="5"/>
      <c r="L1690" s="5"/>
    </row>
    <row r="1691" spans="1:12" x14ac:dyDescent="0.25">
      <c r="A1691" s="9" t="s">
        <v>41</v>
      </c>
      <c r="B1691" s="40">
        <f>B1690/D1683</f>
        <v>1.9291543450394077</v>
      </c>
      <c r="C1691" s="5"/>
      <c r="D1691" s="102">
        <f>E1683</f>
        <v>32651.89</v>
      </c>
      <c r="E1691" s="103"/>
      <c r="F1691" s="25">
        <f>H1691/B1690</f>
        <v>11.669700657894737</v>
      </c>
      <c r="G1691" s="9" t="s">
        <v>21</v>
      </c>
      <c r="H1691" s="104">
        <f>L1684+D1691+D1693+D1695+D1697+A1694</f>
        <v>35475.89</v>
      </c>
      <c r="I1691" s="105"/>
      <c r="J1691" s="5"/>
      <c r="K1691" s="5"/>
      <c r="L1691" s="5"/>
    </row>
    <row r="1692" spans="1:12" x14ac:dyDescent="0.25">
      <c r="A1692" s="9" t="s">
        <v>43</v>
      </c>
      <c r="B1692" s="23">
        <f>D1683/B1690*100</f>
        <v>51.836184210526326</v>
      </c>
      <c r="C1692" s="5"/>
      <c r="D1692" s="106" t="s">
        <v>33</v>
      </c>
      <c r="E1692" s="107"/>
      <c r="F1692" s="5"/>
      <c r="G1692" s="13" t="s">
        <v>22</v>
      </c>
      <c r="H1692" s="6"/>
      <c r="I1692" s="26">
        <f>H1690-H1691</f>
        <v>25189.11</v>
      </c>
      <c r="J1692" s="5"/>
      <c r="K1692" s="5"/>
      <c r="L1692" s="5"/>
    </row>
    <row r="1693" spans="1:12" x14ac:dyDescent="0.25">
      <c r="A1693" s="106" t="s">
        <v>40</v>
      </c>
      <c r="B1693" s="107"/>
      <c r="C1693" s="5"/>
      <c r="D1693" s="149">
        <v>1000</v>
      </c>
      <c r="E1693" s="150"/>
      <c r="F1693" s="5"/>
      <c r="G1693" s="5"/>
      <c r="H1693" s="5"/>
      <c r="I1693" s="5"/>
      <c r="J1693" s="5"/>
      <c r="K1693" s="5"/>
      <c r="L1693" s="5"/>
    </row>
    <row r="1694" spans="1:12" x14ac:dyDescent="0.25">
      <c r="A1694" s="108">
        <f>B1690*0.6</f>
        <v>1824</v>
      </c>
      <c r="B1694" s="109"/>
      <c r="C1694" s="5"/>
      <c r="D1694" s="106" t="s">
        <v>34</v>
      </c>
      <c r="E1694" s="107"/>
      <c r="F1694" s="5"/>
      <c r="G1694" s="145" t="s">
        <v>292</v>
      </c>
      <c r="H1694" s="146"/>
      <c r="I1694" s="23">
        <f>B1690/2.3</f>
        <v>1321.7391304347827</v>
      </c>
      <c r="J1694" s="60"/>
      <c r="K1694" s="5"/>
      <c r="L1694" s="5"/>
    </row>
    <row r="1695" spans="1:12" x14ac:dyDescent="0.25">
      <c r="A1695" s="5"/>
      <c r="B1695" s="5"/>
      <c r="C1695" s="5"/>
      <c r="D1695" s="108">
        <v>0</v>
      </c>
      <c r="E1695" s="109"/>
      <c r="F1695" s="5"/>
      <c r="G1695" s="145" t="s">
        <v>294</v>
      </c>
      <c r="H1695" s="146"/>
      <c r="I1695" s="23">
        <f>I1694-D1683</f>
        <v>-254.08086956521743</v>
      </c>
      <c r="J1695" s="5"/>
      <c r="K1695" s="5"/>
      <c r="L1695" s="5"/>
    </row>
    <row r="1696" spans="1:12" x14ac:dyDescent="0.25">
      <c r="A1696" s="5"/>
      <c r="B1696" s="5"/>
      <c r="C1696" s="5"/>
      <c r="D1696" s="106" t="s">
        <v>37</v>
      </c>
      <c r="E1696" s="107"/>
      <c r="F1696" s="5"/>
      <c r="G1696" s="147" t="s">
        <v>295</v>
      </c>
      <c r="H1696" s="148"/>
      <c r="I1696" s="86">
        <f>I1695*F1683</f>
        <v>-5282.3052306851669</v>
      </c>
      <c r="J1696" s="87">
        <f>I1692-I1696</f>
        <v>30471.415230685168</v>
      </c>
      <c r="K1696" s="5"/>
      <c r="L1696" s="5"/>
    </row>
    <row r="1697" spans="1:12" x14ac:dyDescent="0.25">
      <c r="A1697" s="5"/>
      <c r="B1697" s="5"/>
      <c r="C1697" s="5"/>
      <c r="D1697" s="108"/>
      <c r="E1697" s="109"/>
      <c r="F1697" s="5" t="s">
        <v>78</v>
      </c>
      <c r="G1697" s="5"/>
      <c r="H1697" s="5"/>
      <c r="I1697" s="5"/>
      <c r="J1697" s="88" t="s">
        <v>293</v>
      </c>
      <c r="K1697" s="44"/>
      <c r="L1697" s="5"/>
    </row>
    <row r="1699" spans="1:12" s="49" customFormat="1" x14ac:dyDescent="0.25"/>
    <row r="1702" spans="1:12" x14ac:dyDescent="0.25">
      <c r="A1702" s="120" t="s">
        <v>24</v>
      </c>
      <c r="B1702" s="120"/>
      <c r="C1702" s="120"/>
      <c r="D1702" s="120"/>
      <c r="E1702" s="120"/>
      <c r="F1702" s="120"/>
      <c r="G1702" s="120"/>
      <c r="H1702" s="120"/>
      <c r="I1702" s="120"/>
      <c r="J1702" s="120"/>
      <c r="K1702" s="120"/>
      <c r="L1702" s="120"/>
    </row>
    <row r="1703" spans="1:12" x14ac:dyDescent="0.25">
      <c r="A1703" s="120"/>
      <c r="B1703" s="120"/>
      <c r="C1703" s="120"/>
      <c r="D1703" s="120"/>
      <c r="E1703" s="120"/>
      <c r="F1703" s="120"/>
      <c r="G1703" s="120"/>
      <c r="H1703" s="120"/>
      <c r="I1703" s="120"/>
      <c r="J1703" s="120"/>
      <c r="K1703" s="120"/>
      <c r="L1703" s="120"/>
    </row>
    <row r="1704" spans="1:12" x14ac:dyDescent="0.25">
      <c r="A1704" s="1" t="s">
        <v>4</v>
      </c>
      <c r="B1704" s="2"/>
      <c r="C1704" s="90"/>
      <c r="D1704" s="2"/>
      <c r="E1704" s="2"/>
      <c r="F1704" s="2"/>
      <c r="G1704" s="3" t="s">
        <v>5</v>
      </c>
      <c r="H1704" s="3" t="s">
        <v>6</v>
      </c>
      <c r="I1704" s="4" t="s">
        <v>7</v>
      </c>
      <c r="J1704" s="5"/>
      <c r="K1704" s="5"/>
      <c r="L1704" s="5"/>
    </row>
    <row r="1705" spans="1:12" x14ac:dyDescent="0.25">
      <c r="A1705" s="91" t="s">
        <v>359</v>
      </c>
      <c r="B1705" s="92" t="s">
        <v>42</v>
      </c>
      <c r="C1705" s="64"/>
      <c r="D1705" s="66"/>
      <c r="E1705" s="2"/>
      <c r="F1705" s="2"/>
      <c r="G1705" s="91" t="s">
        <v>299</v>
      </c>
      <c r="H1705" s="66"/>
      <c r="I1705" s="33"/>
      <c r="J1705" s="6"/>
      <c r="K1705" s="33"/>
      <c r="L1705" s="6"/>
    </row>
    <row r="1706" spans="1:12" x14ac:dyDescent="0.25">
      <c r="A1706" s="7" t="s">
        <v>2</v>
      </c>
      <c r="B1706" s="5"/>
      <c r="C1706" s="5"/>
      <c r="D1706" s="5"/>
      <c r="E1706" s="5"/>
      <c r="F1706" s="5"/>
      <c r="G1706" s="8" t="s">
        <v>8</v>
      </c>
      <c r="H1706" s="93">
        <v>3</v>
      </c>
      <c r="I1706" s="5"/>
      <c r="J1706" s="5"/>
      <c r="K1706" s="5"/>
      <c r="L1706" s="5"/>
    </row>
    <row r="1707" spans="1:12" x14ac:dyDescent="0.25">
      <c r="A1707" s="7" t="s">
        <v>25</v>
      </c>
      <c r="B1707" s="5"/>
      <c r="C1707" s="7" t="s">
        <v>0</v>
      </c>
      <c r="D1707" s="5"/>
      <c r="E1707" s="5"/>
      <c r="F1707" s="5"/>
      <c r="G1707" s="7" t="s">
        <v>25</v>
      </c>
      <c r="H1707" s="5"/>
      <c r="I1707" s="7" t="s">
        <v>0</v>
      </c>
      <c r="J1707" s="5"/>
      <c r="K1707" s="5"/>
      <c r="L1707" s="5"/>
    </row>
    <row r="1708" spans="1:12" x14ac:dyDescent="0.25">
      <c r="A1708" s="42" t="s">
        <v>413</v>
      </c>
      <c r="B1708" s="6"/>
      <c r="C1708" s="31">
        <f>L1667</f>
        <v>935697</v>
      </c>
      <c r="D1708" s="5"/>
      <c r="E1708" s="5"/>
      <c r="F1708" s="5"/>
      <c r="G1708" s="42" t="s">
        <v>414</v>
      </c>
      <c r="H1708" s="6"/>
      <c r="I1708" s="9"/>
      <c r="J1708" s="5"/>
      <c r="K1708" s="5"/>
      <c r="L1708" s="5"/>
    </row>
    <row r="1709" spans="1:12" ht="16.5" thickBot="1" x14ac:dyDescent="0.3">
      <c r="A1709" s="7"/>
      <c r="B1709" s="62"/>
      <c r="C1709" s="62"/>
      <c r="D1709" s="62"/>
      <c r="E1709" s="5"/>
      <c r="F1709" s="5"/>
      <c r="G1709" s="10"/>
      <c r="H1709" s="5"/>
      <c r="I1709" s="5"/>
      <c r="J1709" s="5"/>
      <c r="K1709" s="5"/>
      <c r="L1709" s="5"/>
    </row>
    <row r="1710" spans="1:12" ht="15.75" thickBot="1" x14ac:dyDescent="0.3">
      <c r="A1710" s="121" t="s">
        <v>9</v>
      </c>
      <c r="B1710" s="122"/>
      <c r="C1710" s="123"/>
      <c r="D1710" s="5"/>
      <c r="E1710" s="5"/>
      <c r="F1710" s="5"/>
      <c r="G1710" s="121" t="s">
        <v>26</v>
      </c>
      <c r="H1710" s="122"/>
      <c r="I1710" s="123"/>
      <c r="J1710" s="5"/>
      <c r="K1710" s="5"/>
      <c r="L1710" s="5"/>
    </row>
    <row r="1711" spans="1:12" x14ac:dyDescent="0.25">
      <c r="A1711" s="30" t="s">
        <v>38</v>
      </c>
      <c r="B1711" s="11"/>
      <c r="C1711" s="11"/>
      <c r="D1711" s="11"/>
      <c r="E1711" s="6"/>
      <c r="F1711" s="5"/>
      <c r="G1711" s="30"/>
      <c r="H1711" s="11"/>
      <c r="I1711" s="11"/>
      <c r="J1711" s="11"/>
      <c r="K1711" s="11"/>
      <c r="L1711" s="6"/>
    </row>
    <row r="1712" spans="1:12" ht="15.75" thickBot="1" x14ac:dyDescent="0.3">
      <c r="A1712" s="7"/>
      <c r="B1712" s="7"/>
      <c r="C1712" s="7"/>
      <c r="D1712" s="5"/>
      <c r="E1712" s="5"/>
      <c r="F1712" s="5"/>
      <c r="G1712" s="7" t="str">
        <f>A1714</f>
        <v>CAPE TOWN</v>
      </c>
      <c r="H1712" s="7"/>
      <c r="I1712" s="7"/>
      <c r="J1712" s="5"/>
      <c r="K1712" s="5"/>
      <c r="L1712" s="5"/>
    </row>
    <row r="1713" spans="1:12" ht="15.75" thickBot="1" x14ac:dyDescent="0.3">
      <c r="A1713" s="121"/>
      <c r="B1713" s="122"/>
      <c r="C1713" s="124"/>
      <c r="D1713" s="12" t="s">
        <v>1</v>
      </c>
      <c r="E1713" s="32"/>
      <c r="F1713" s="5"/>
      <c r="G1713" s="121" t="s">
        <v>27</v>
      </c>
      <c r="H1713" s="122"/>
      <c r="I1713" s="123"/>
      <c r="J1713" s="5"/>
      <c r="K1713" s="12" t="s">
        <v>1</v>
      </c>
      <c r="L1713" s="32">
        <v>938738</v>
      </c>
    </row>
    <row r="1714" spans="1:12" x14ac:dyDescent="0.25">
      <c r="A1714" s="30" t="s">
        <v>399</v>
      </c>
      <c r="B1714" s="11"/>
      <c r="C1714" s="11"/>
      <c r="D1714" s="11"/>
      <c r="E1714" s="6"/>
      <c r="F1714" s="5"/>
      <c r="G1714" s="30" t="s">
        <v>364</v>
      </c>
      <c r="H1714" s="11"/>
      <c r="I1714" s="11"/>
      <c r="J1714" s="11"/>
      <c r="K1714" s="11"/>
      <c r="L1714" s="6"/>
    </row>
    <row r="1715" spans="1:12" x14ac:dyDescent="0.25">
      <c r="A1715" s="76"/>
      <c r="B1715" s="11"/>
      <c r="C1715" s="11"/>
      <c r="D1715" s="11"/>
      <c r="E1715" s="6"/>
      <c r="F1715" s="5"/>
      <c r="G1715" s="34"/>
      <c r="H1715" s="11"/>
      <c r="I1715" s="11"/>
      <c r="J1715" s="11"/>
      <c r="K1715" s="11"/>
      <c r="L1715" s="6"/>
    </row>
    <row r="1716" spans="1:12" x14ac:dyDescent="0.25">
      <c r="A1716" s="13"/>
      <c r="B1716" s="11"/>
      <c r="C1716" s="11"/>
      <c r="D1716" s="11"/>
      <c r="E1716" s="6"/>
      <c r="F1716" s="5"/>
      <c r="G1716" s="13"/>
      <c r="H1716" s="11"/>
      <c r="I1716" s="11"/>
      <c r="J1716" s="11"/>
      <c r="K1716" s="11"/>
      <c r="L1716" s="6"/>
    </row>
    <row r="1717" spans="1:12" x14ac:dyDescent="0.25">
      <c r="A1717" s="13"/>
      <c r="B1717" s="11"/>
      <c r="C1717" s="11"/>
      <c r="D1717" s="11"/>
      <c r="E1717" s="6"/>
      <c r="F1717" s="5"/>
      <c r="G1717" s="13"/>
      <c r="H1717" s="11"/>
      <c r="I1717" s="11"/>
      <c r="J1717" s="11"/>
      <c r="K1717" s="11"/>
      <c r="L1717" s="6"/>
    </row>
    <row r="1718" spans="1:12" ht="15.75" thickBot="1" x14ac:dyDescent="0.3">
      <c r="A1718" s="13"/>
      <c r="B1718" s="11"/>
      <c r="C1718" s="11" t="s">
        <v>29</v>
      </c>
      <c r="D1718" s="43"/>
      <c r="E1718" s="6"/>
      <c r="F1718" s="5"/>
      <c r="G1718" s="13"/>
      <c r="H1718" s="11"/>
      <c r="I1718" s="14" t="s">
        <v>28</v>
      </c>
      <c r="J1718" s="43"/>
      <c r="K1718" s="59"/>
      <c r="L1718" s="6"/>
    </row>
    <row r="1719" spans="1:12" ht="15.75" thickBot="1" x14ac:dyDescent="0.3">
      <c r="A1719" s="15" t="s">
        <v>10</v>
      </c>
      <c r="B1719" s="5"/>
      <c r="C1719" s="5"/>
      <c r="D1719" s="5"/>
      <c r="E1719" s="5"/>
      <c r="F1719" s="5"/>
      <c r="G1719" s="15" t="s">
        <v>14</v>
      </c>
      <c r="H1719" s="5"/>
      <c r="I1719" s="5"/>
      <c r="J1719" s="5"/>
      <c r="K1719" s="5"/>
      <c r="L1719" s="5"/>
    </row>
    <row r="1720" spans="1:12" ht="15.75" thickBot="1" x14ac:dyDescent="0.3">
      <c r="A1720" s="121" t="s">
        <v>11</v>
      </c>
      <c r="B1720" s="122"/>
      <c r="C1720" s="123"/>
      <c r="D1720" s="16" t="s">
        <v>12</v>
      </c>
      <c r="E1720" s="16" t="s">
        <v>13</v>
      </c>
      <c r="F1720" s="5"/>
      <c r="G1720" s="121" t="s">
        <v>15</v>
      </c>
      <c r="H1720" s="122"/>
      <c r="I1720" s="123"/>
      <c r="J1720" s="121"/>
      <c r="K1720" s="123"/>
      <c r="L1720" s="5"/>
    </row>
    <row r="1721" spans="1:12" x14ac:dyDescent="0.25">
      <c r="A1721" s="45" t="s">
        <v>419</v>
      </c>
      <c r="B1721" s="46" t="s">
        <v>401</v>
      </c>
      <c r="C1721" s="47"/>
      <c r="D1721" s="56">
        <v>269.20999999999998</v>
      </c>
      <c r="E1721" s="57">
        <v>5604.95</v>
      </c>
      <c r="F1721" s="44">
        <f>E1721/D1721</f>
        <v>20.819991827941013</v>
      </c>
      <c r="G1721" s="125" t="s">
        <v>69</v>
      </c>
      <c r="H1721" s="126"/>
      <c r="I1721" s="127"/>
      <c r="J1721" s="128">
        <v>0</v>
      </c>
      <c r="K1721" s="129"/>
      <c r="L1721" s="5"/>
    </row>
    <row r="1722" spans="1:12" x14ac:dyDescent="0.25">
      <c r="A1722" s="94" t="s">
        <v>421</v>
      </c>
      <c r="B1722" s="46" t="s">
        <v>401</v>
      </c>
      <c r="C1722" s="47"/>
      <c r="D1722" s="56">
        <v>741.28</v>
      </c>
      <c r="E1722" s="57">
        <v>15433.45</v>
      </c>
      <c r="F1722" s="44">
        <f>E1722/D1722</f>
        <v>20.820000539607168</v>
      </c>
      <c r="G1722" s="110" t="s">
        <v>59</v>
      </c>
      <c r="H1722" s="111"/>
      <c r="I1722" s="112"/>
      <c r="J1722" s="113"/>
      <c r="K1722" s="114"/>
      <c r="L1722" s="5"/>
    </row>
    <row r="1723" spans="1:12" x14ac:dyDescent="0.25">
      <c r="A1723" s="94">
        <v>45718</v>
      </c>
      <c r="B1723" s="46" t="s">
        <v>316</v>
      </c>
      <c r="C1723" s="47"/>
      <c r="D1723" s="56">
        <v>422.94</v>
      </c>
      <c r="E1723" s="57">
        <v>8547.6200000000008</v>
      </c>
      <c r="F1723" s="44">
        <f>E1723/D1723</f>
        <v>20.210006147444084</v>
      </c>
      <c r="G1723" s="110" t="s">
        <v>61</v>
      </c>
      <c r="H1723" s="111"/>
      <c r="I1723" s="112"/>
      <c r="J1723" s="113"/>
      <c r="K1723" s="114"/>
      <c r="L1723" s="5"/>
    </row>
    <row r="1724" spans="1:12" x14ac:dyDescent="0.25">
      <c r="A1724" s="94"/>
      <c r="B1724" s="46"/>
      <c r="C1724" s="47"/>
      <c r="D1724" s="56"/>
      <c r="E1724" s="57"/>
      <c r="F1724" s="44"/>
      <c r="G1724" s="110" t="s">
        <v>51</v>
      </c>
      <c r="H1724" s="111"/>
      <c r="I1724" s="112"/>
      <c r="J1724" s="113"/>
      <c r="K1724" s="114"/>
      <c r="L1724" s="5"/>
    </row>
    <row r="1725" spans="1:12" x14ac:dyDescent="0.25">
      <c r="A1725" s="48"/>
      <c r="B1725" s="46"/>
      <c r="C1725" s="39"/>
      <c r="D1725" s="52"/>
      <c r="E1725" s="53"/>
      <c r="F1725" s="44"/>
      <c r="G1725" s="110" t="s">
        <v>58</v>
      </c>
      <c r="H1725" s="111"/>
      <c r="I1725" s="112"/>
      <c r="J1725" s="113"/>
      <c r="K1725" s="114"/>
      <c r="L1725" s="5"/>
    </row>
    <row r="1726" spans="1:12" x14ac:dyDescent="0.25">
      <c r="A1726" s="48"/>
      <c r="B1726" s="35"/>
      <c r="C1726" s="39"/>
      <c r="D1726" s="52"/>
      <c r="E1726" s="53"/>
      <c r="F1726" s="44"/>
      <c r="G1726" s="110" t="s">
        <v>51</v>
      </c>
      <c r="H1726" s="111"/>
      <c r="I1726" s="112"/>
      <c r="J1726" s="113"/>
      <c r="K1726" s="114"/>
      <c r="L1726" s="5"/>
    </row>
    <row r="1727" spans="1:12" x14ac:dyDescent="0.25">
      <c r="A1727" s="48"/>
      <c r="B1727" s="35"/>
      <c r="C1727" s="39"/>
      <c r="D1727" s="52"/>
      <c r="E1727" s="53"/>
      <c r="F1727" s="44"/>
      <c r="G1727" s="77"/>
      <c r="H1727" s="78" t="s">
        <v>69</v>
      </c>
      <c r="I1727" s="79"/>
      <c r="J1727" s="113"/>
      <c r="K1727" s="114"/>
      <c r="L1727" s="5"/>
    </row>
    <row r="1728" spans="1:12" x14ac:dyDescent="0.25">
      <c r="A1728" s="38"/>
      <c r="B1728" s="35"/>
      <c r="C1728" s="39"/>
      <c r="D1728" s="52"/>
      <c r="E1728" s="53"/>
      <c r="F1728" s="44"/>
      <c r="G1728" s="77"/>
      <c r="H1728" s="78" t="s">
        <v>72</v>
      </c>
      <c r="I1728" s="79"/>
      <c r="J1728" s="113"/>
      <c r="K1728" s="114"/>
      <c r="L1728" s="5"/>
    </row>
    <row r="1729" spans="1:12" ht="15.75" thickBot="1" x14ac:dyDescent="0.3">
      <c r="A1729" s="5"/>
      <c r="B1729" s="5"/>
      <c r="C1729" s="7" t="s">
        <v>35</v>
      </c>
      <c r="D1729" s="17">
        <f>SUM(D1721:D1728)</f>
        <v>1433.43</v>
      </c>
      <c r="E1729" s="17">
        <f>SUM(E1721:E1728)</f>
        <v>29586.020000000004</v>
      </c>
      <c r="F1729" s="89">
        <f>AVERAGE(F1721:F1725)</f>
        <v>20.61666617166409</v>
      </c>
      <c r="G1729" s="110" t="s">
        <v>73</v>
      </c>
      <c r="H1729" s="111"/>
      <c r="I1729" s="112"/>
      <c r="J1729" s="113"/>
      <c r="K1729" s="114"/>
      <c r="L1729" s="7" t="s">
        <v>36</v>
      </c>
    </row>
    <row r="1730" spans="1:12" ht="15.75" thickBot="1" x14ac:dyDescent="0.3">
      <c r="A1730" s="5"/>
      <c r="B1730" s="5"/>
      <c r="C1730" s="5"/>
      <c r="D1730" s="5"/>
      <c r="E1730" s="5"/>
      <c r="F1730" s="5"/>
      <c r="G1730" s="130"/>
      <c r="H1730" s="131"/>
      <c r="I1730" s="132"/>
      <c r="J1730" s="133"/>
      <c r="K1730" s="134"/>
      <c r="L1730" s="18">
        <f>J1721+J1722+J1723+J1724+J1725+J1726+J1727+J1728+J1729</f>
        <v>0</v>
      </c>
    </row>
    <row r="1731" spans="1:12" ht="15.75" thickBot="1" x14ac:dyDescent="0.3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</row>
    <row r="1732" spans="1:12" ht="15.75" thickBot="1" x14ac:dyDescent="0.3">
      <c r="A1732" s="19"/>
      <c r="B1732" s="20"/>
      <c r="C1732" s="20"/>
      <c r="D1732" s="20"/>
      <c r="E1732" s="21" t="s">
        <v>13</v>
      </c>
      <c r="F1732" s="5"/>
      <c r="G1732" s="19"/>
      <c r="H1732" s="20"/>
      <c r="I1732" s="20"/>
      <c r="J1732" s="20"/>
      <c r="K1732" s="21" t="s">
        <v>13</v>
      </c>
      <c r="L1732" s="5"/>
    </row>
    <row r="1733" spans="1:12" x14ac:dyDescent="0.25">
      <c r="A1733" s="22" t="s">
        <v>31</v>
      </c>
      <c r="B1733" s="115">
        <v>18598</v>
      </c>
      <c r="C1733" s="116"/>
      <c r="D1733" s="116"/>
      <c r="E1733" s="117"/>
      <c r="F1733" s="5"/>
      <c r="G1733" s="22" t="s">
        <v>32</v>
      </c>
      <c r="H1733" s="115">
        <v>42067</v>
      </c>
      <c r="I1733" s="116"/>
      <c r="J1733" s="116"/>
      <c r="K1733" s="117"/>
      <c r="L1733" s="5"/>
    </row>
    <row r="1734" spans="1:12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</row>
    <row r="1735" spans="1:12" x14ac:dyDescent="0.25">
      <c r="A1735" s="7" t="s">
        <v>16</v>
      </c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</row>
    <row r="1736" spans="1:12" x14ac:dyDescent="0.25">
      <c r="A1736" s="9" t="s">
        <v>17</v>
      </c>
      <c r="B1736" s="23">
        <f>L1713-C1708</f>
        <v>3041</v>
      </c>
      <c r="C1736" s="5"/>
      <c r="D1736" s="106" t="s">
        <v>18</v>
      </c>
      <c r="E1736" s="107"/>
      <c r="F1736" s="24" t="s">
        <v>19</v>
      </c>
      <c r="G1736" s="9" t="s">
        <v>20</v>
      </c>
      <c r="H1736" s="118">
        <f>B1733+H1733</f>
        <v>60665</v>
      </c>
      <c r="I1736" s="119"/>
      <c r="J1736" s="60"/>
      <c r="K1736" s="5"/>
      <c r="L1736" s="5"/>
    </row>
    <row r="1737" spans="1:12" x14ac:dyDescent="0.25">
      <c r="A1737" s="9" t="s">
        <v>41</v>
      </c>
      <c r="B1737" s="40">
        <f>B1736/D1729</f>
        <v>2.1214848300928542</v>
      </c>
      <c r="C1737" s="5"/>
      <c r="D1737" s="102">
        <f>E1729</f>
        <v>29586.020000000004</v>
      </c>
      <c r="E1737" s="103"/>
      <c r="F1737" s="25">
        <f>H1737/B1736</f>
        <v>10.657882275567248</v>
      </c>
      <c r="G1737" s="9" t="s">
        <v>21</v>
      </c>
      <c r="H1737" s="104">
        <f>L1730+D1737+D1739+D1741+D1743+A1740</f>
        <v>32410.620000000003</v>
      </c>
      <c r="I1737" s="105"/>
      <c r="J1737" s="5"/>
      <c r="K1737" s="5"/>
      <c r="L1737" s="5"/>
    </row>
    <row r="1738" spans="1:12" x14ac:dyDescent="0.25">
      <c r="A1738" s="9" t="s">
        <v>43</v>
      </c>
      <c r="B1738" s="23">
        <f>D1729/B1736*100</f>
        <v>47.136797106215063</v>
      </c>
      <c r="C1738" s="5"/>
      <c r="D1738" s="106" t="s">
        <v>33</v>
      </c>
      <c r="E1738" s="107"/>
      <c r="F1738" s="5"/>
      <c r="G1738" s="13" t="s">
        <v>22</v>
      </c>
      <c r="H1738" s="6"/>
      <c r="I1738" s="26">
        <f>H1736-H1737</f>
        <v>28254.379999999997</v>
      </c>
      <c r="J1738" s="5"/>
      <c r="K1738" s="5"/>
      <c r="L1738" s="5"/>
    </row>
    <row r="1739" spans="1:12" x14ac:dyDescent="0.25">
      <c r="A1739" s="106" t="s">
        <v>40</v>
      </c>
      <c r="B1739" s="107"/>
      <c r="C1739" s="5"/>
      <c r="D1739" s="149">
        <v>1000</v>
      </c>
      <c r="E1739" s="150"/>
      <c r="F1739" s="5"/>
      <c r="G1739" s="5"/>
      <c r="H1739" s="5"/>
      <c r="I1739" s="5"/>
      <c r="J1739" s="5"/>
      <c r="K1739" s="5"/>
      <c r="L1739" s="5"/>
    </row>
    <row r="1740" spans="1:12" x14ac:dyDescent="0.25">
      <c r="A1740" s="108">
        <f>B1736*0.6</f>
        <v>1824.6</v>
      </c>
      <c r="B1740" s="109"/>
      <c r="C1740" s="5"/>
      <c r="D1740" s="106" t="s">
        <v>34</v>
      </c>
      <c r="E1740" s="107"/>
      <c r="F1740" s="5"/>
      <c r="G1740" s="145" t="s">
        <v>292</v>
      </c>
      <c r="H1740" s="146"/>
      <c r="I1740" s="23">
        <f>B1736/2.3</f>
        <v>1322.1739130434783</v>
      </c>
      <c r="J1740" s="60"/>
      <c r="K1740" s="5"/>
      <c r="L1740" s="5"/>
    </row>
    <row r="1741" spans="1:12" x14ac:dyDescent="0.25">
      <c r="A1741" s="5"/>
      <c r="B1741" s="5"/>
      <c r="C1741" s="5"/>
      <c r="D1741" s="108">
        <v>0</v>
      </c>
      <c r="E1741" s="109"/>
      <c r="F1741" s="5"/>
      <c r="G1741" s="145" t="s">
        <v>294</v>
      </c>
      <c r="H1741" s="146"/>
      <c r="I1741" s="23">
        <f>I1740-D1729</f>
        <v>-111.25608695652181</v>
      </c>
      <c r="J1741" s="5"/>
      <c r="K1741" s="5"/>
      <c r="L1741" s="5"/>
    </row>
    <row r="1742" spans="1:12" x14ac:dyDescent="0.25">
      <c r="A1742" s="5"/>
      <c r="B1742" s="5"/>
      <c r="C1742" s="5"/>
      <c r="D1742" s="106" t="s">
        <v>37</v>
      </c>
      <c r="E1742" s="107"/>
      <c r="F1742" s="5"/>
      <c r="G1742" s="147" t="s">
        <v>295</v>
      </c>
      <c r="H1742" s="148"/>
      <c r="I1742" s="86">
        <f>I1741*F1729</f>
        <v>-2293.7296043482415</v>
      </c>
      <c r="J1742" s="87">
        <f>I1738-I1742</f>
        <v>30548.109604348239</v>
      </c>
      <c r="K1742" s="5"/>
      <c r="L1742" s="5"/>
    </row>
    <row r="1743" spans="1:12" x14ac:dyDescent="0.25">
      <c r="A1743" s="5"/>
      <c r="B1743" s="5"/>
      <c r="C1743" s="5"/>
      <c r="D1743" s="108"/>
      <c r="E1743" s="109"/>
      <c r="F1743" s="5" t="s">
        <v>78</v>
      </c>
      <c r="G1743" s="5"/>
      <c r="H1743" s="5"/>
      <c r="I1743" s="5"/>
      <c r="J1743" s="88" t="s">
        <v>293</v>
      </c>
      <c r="K1743" s="44"/>
      <c r="L1743" s="5"/>
    </row>
    <row r="1745" spans="1:12" s="99" customFormat="1" x14ac:dyDescent="0.25"/>
    <row r="1748" spans="1:12" x14ac:dyDescent="0.25">
      <c r="A1748" s="120" t="s">
        <v>24</v>
      </c>
      <c r="B1748" s="120"/>
      <c r="C1748" s="120"/>
      <c r="D1748" s="120"/>
      <c r="E1748" s="120"/>
      <c r="F1748" s="120"/>
      <c r="G1748" s="120"/>
      <c r="H1748" s="120"/>
      <c r="I1748" s="120"/>
      <c r="J1748" s="120"/>
      <c r="K1748" s="120"/>
      <c r="L1748" s="120"/>
    </row>
    <row r="1749" spans="1:12" x14ac:dyDescent="0.25">
      <c r="A1749" s="120"/>
      <c r="B1749" s="120"/>
      <c r="C1749" s="120"/>
      <c r="D1749" s="120"/>
      <c r="E1749" s="120"/>
      <c r="F1749" s="120"/>
      <c r="G1749" s="120"/>
      <c r="H1749" s="120"/>
      <c r="I1749" s="120"/>
      <c r="J1749" s="120"/>
      <c r="K1749" s="120"/>
      <c r="L1749" s="120"/>
    </row>
    <row r="1750" spans="1:12" x14ac:dyDescent="0.25">
      <c r="A1750" s="1" t="s">
        <v>4</v>
      </c>
      <c r="B1750" s="2"/>
      <c r="C1750" s="90"/>
      <c r="D1750" s="2"/>
      <c r="E1750" s="2"/>
      <c r="F1750" s="2"/>
      <c r="G1750" s="3" t="s">
        <v>5</v>
      </c>
      <c r="H1750" s="3" t="s">
        <v>6</v>
      </c>
      <c r="I1750" s="4" t="s">
        <v>7</v>
      </c>
      <c r="J1750" s="5"/>
      <c r="K1750" s="5"/>
      <c r="L1750" s="5"/>
    </row>
    <row r="1751" spans="1:12" x14ac:dyDescent="0.25">
      <c r="A1751" s="91" t="s">
        <v>359</v>
      </c>
      <c r="B1751" s="92" t="s">
        <v>42</v>
      </c>
      <c r="C1751" s="64"/>
      <c r="D1751" s="66"/>
      <c r="E1751" s="2"/>
      <c r="F1751" s="2"/>
      <c r="G1751" s="91" t="s">
        <v>299</v>
      </c>
      <c r="H1751" s="66"/>
      <c r="I1751" s="33"/>
      <c r="J1751" s="6"/>
      <c r="K1751" s="33"/>
      <c r="L1751" s="6"/>
    </row>
    <row r="1752" spans="1:12" x14ac:dyDescent="0.25">
      <c r="A1752" s="7" t="s">
        <v>2</v>
      </c>
      <c r="B1752" s="5"/>
      <c r="C1752" s="5"/>
      <c r="D1752" s="5"/>
      <c r="E1752" s="5"/>
      <c r="F1752" s="5"/>
      <c r="G1752" s="8" t="s">
        <v>8</v>
      </c>
      <c r="H1752" s="93">
        <v>3</v>
      </c>
      <c r="I1752" s="5"/>
      <c r="J1752" s="5"/>
      <c r="K1752" s="5"/>
      <c r="L1752" s="5"/>
    </row>
    <row r="1753" spans="1:12" x14ac:dyDescent="0.25">
      <c r="A1753" s="7" t="s">
        <v>25</v>
      </c>
      <c r="B1753" s="5"/>
      <c r="C1753" s="7" t="s">
        <v>0</v>
      </c>
      <c r="D1753" s="5"/>
      <c r="E1753" s="5"/>
      <c r="F1753" s="5"/>
      <c r="G1753" s="7" t="s">
        <v>25</v>
      </c>
      <c r="H1753" s="5"/>
      <c r="I1753" s="7" t="s">
        <v>0</v>
      </c>
      <c r="J1753" s="5"/>
      <c r="K1753" s="5"/>
      <c r="L1753" s="5"/>
    </row>
    <row r="1754" spans="1:12" x14ac:dyDescent="0.25">
      <c r="A1754" s="42">
        <v>45718</v>
      </c>
      <c r="B1754" s="6"/>
      <c r="C1754" s="31">
        <f>L1713</f>
        <v>938738</v>
      </c>
      <c r="D1754" s="5"/>
      <c r="E1754" s="5"/>
      <c r="F1754" s="5"/>
      <c r="G1754" s="42">
        <v>45779</v>
      </c>
      <c r="H1754" s="6"/>
      <c r="I1754" s="9"/>
      <c r="J1754" s="5"/>
      <c r="K1754" s="5"/>
      <c r="L1754" s="5"/>
    </row>
    <row r="1755" spans="1:12" ht="16.5" thickBot="1" x14ac:dyDescent="0.3">
      <c r="A1755" s="7"/>
      <c r="B1755" s="62"/>
      <c r="C1755" s="62"/>
      <c r="D1755" s="62"/>
      <c r="E1755" s="5"/>
      <c r="F1755" s="5"/>
      <c r="G1755" s="10"/>
      <c r="H1755" s="5"/>
      <c r="I1755" s="5"/>
      <c r="J1755" s="5"/>
      <c r="K1755" s="5"/>
      <c r="L1755" s="5"/>
    </row>
    <row r="1756" spans="1:12" ht="15.75" thickBot="1" x14ac:dyDescent="0.3">
      <c r="A1756" s="121" t="s">
        <v>9</v>
      </c>
      <c r="B1756" s="122"/>
      <c r="C1756" s="123"/>
      <c r="D1756" s="5"/>
      <c r="E1756" s="5"/>
      <c r="F1756" s="5"/>
      <c r="G1756" s="121" t="s">
        <v>26</v>
      </c>
      <c r="H1756" s="122"/>
      <c r="I1756" s="123"/>
      <c r="J1756" s="5"/>
      <c r="K1756" s="5"/>
      <c r="L1756" s="5"/>
    </row>
    <row r="1757" spans="1:12" x14ac:dyDescent="0.25">
      <c r="A1757" s="30" t="s">
        <v>38</v>
      </c>
      <c r="B1757" s="11"/>
      <c r="C1757" s="11"/>
      <c r="D1757" s="11"/>
      <c r="E1757" s="6"/>
      <c r="F1757" s="5"/>
      <c r="G1757" s="30"/>
      <c r="H1757" s="11"/>
      <c r="I1757" s="11"/>
      <c r="J1757" s="11"/>
      <c r="K1757" s="11"/>
      <c r="L1757" s="6"/>
    </row>
    <row r="1758" spans="1:12" ht="15.75" thickBot="1" x14ac:dyDescent="0.3">
      <c r="A1758" s="7"/>
      <c r="B1758" s="7"/>
      <c r="C1758" s="7"/>
      <c r="D1758" s="5"/>
      <c r="E1758" s="5"/>
      <c r="F1758" s="5"/>
      <c r="G1758" s="7" t="str">
        <f>A1760</f>
        <v>CAPE TOWN</v>
      </c>
      <c r="H1758" s="7"/>
      <c r="I1758" s="7"/>
      <c r="J1758" s="5"/>
      <c r="K1758" s="5"/>
      <c r="L1758" s="5"/>
    </row>
    <row r="1759" spans="1:12" ht="15.75" thickBot="1" x14ac:dyDescent="0.3">
      <c r="A1759" s="121"/>
      <c r="B1759" s="122"/>
      <c r="C1759" s="124"/>
      <c r="D1759" s="12" t="s">
        <v>1</v>
      </c>
      <c r="E1759" s="32"/>
      <c r="F1759" s="5"/>
      <c r="G1759" s="121" t="s">
        <v>27</v>
      </c>
      <c r="H1759" s="122"/>
      <c r="I1759" s="123"/>
      <c r="J1759" s="5"/>
      <c r="K1759" s="12" t="s">
        <v>1</v>
      </c>
      <c r="L1759" s="32">
        <v>941965</v>
      </c>
    </row>
    <row r="1760" spans="1:12" x14ac:dyDescent="0.25">
      <c r="A1760" s="30" t="s">
        <v>399</v>
      </c>
      <c r="B1760" s="11"/>
      <c r="C1760" s="11"/>
      <c r="D1760" s="11"/>
      <c r="E1760" s="6"/>
      <c r="F1760" s="5"/>
      <c r="G1760" s="30" t="s">
        <v>364</v>
      </c>
      <c r="H1760" s="11"/>
      <c r="I1760" s="11"/>
      <c r="J1760" s="11"/>
      <c r="K1760" s="11"/>
      <c r="L1760" s="6"/>
    </row>
    <row r="1761" spans="1:12" x14ac:dyDescent="0.25">
      <c r="A1761" s="76"/>
      <c r="B1761" s="11"/>
      <c r="C1761" s="11"/>
      <c r="D1761" s="11"/>
      <c r="E1761" s="6"/>
      <c r="F1761" s="5"/>
      <c r="G1761" s="34"/>
      <c r="H1761" s="11"/>
      <c r="I1761" s="11"/>
      <c r="J1761" s="11"/>
      <c r="K1761" s="11"/>
      <c r="L1761" s="6"/>
    </row>
    <row r="1762" spans="1:12" x14ac:dyDescent="0.25">
      <c r="A1762" s="13"/>
      <c r="B1762" s="11"/>
      <c r="C1762" s="11"/>
      <c r="D1762" s="11"/>
      <c r="E1762" s="6"/>
      <c r="F1762" s="5"/>
      <c r="G1762" s="13"/>
      <c r="H1762" s="11"/>
      <c r="I1762" s="11"/>
      <c r="J1762" s="11"/>
      <c r="K1762" s="11"/>
      <c r="L1762" s="6"/>
    </row>
    <row r="1763" spans="1:12" x14ac:dyDescent="0.25">
      <c r="A1763" s="13"/>
      <c r="B1763" s="11"/>
      <c r="C1763" s="11"/>
      <c r="D1763" s="11"/>
      <c r="E1763" s="6"/>
      <c r="F1763" s="5"/>
      <c r="G1763" s="13"/>
      <c r="H1763" s="11"/>
      <c r="I1763" s="11"/>
      <c r="J1763" s="11"/>
      <c r="K1763" s="11"/>
      <c r="L1763" s="6"/>
    </row>
    <row r="1764" spans="1:12" ht="15.75" thickBot="1" x14ac:dyDescent="0.3">
      <c r="A1764" s="13"/>
      <c r="B1764" s="11"/>
      <c r="C1764" s="11" t="s">
        <v>29</v>
      </c>
      <c r="D1764" s="43"/>
      <c r="E1764" s="6"/>
      <c r="F1764" s="5"/>
      <c r="G1764" s="13"/>
      <c r="H1764" s="11"/>
      <c r="I1764" s="14" t="s">
        <v>28</v>
      </c>
      <c r="J1764" s="43"/>
      <c r="K1764" s="59"/>
      <c r="L1764" s="6"/>
    </row>
    <row r="1765" spans="1:12" ht="15.75" thickBot="1" x14ac:dyDescent="0.3">
      <c r="A1765" s="15" t="s">
        <v>10</v>
      </c>
      <c r="B1765" s="5"/>
      <c r="C1765" s="5"/>
      <c r="D1765" s="5"/>
      <c r="E1765" s="5"/>
      <c r="F1765" s="5"/>
      <c r="G1765" s="15" t="s">
        <v>14</v>
      </c>
      <c r="H1765" s="5"/>
      <c r="I1765" s="5"/>
      <c r="J1765" s="5"/>
      <c r="K1765" s="5"/>
      <c r="L1765" s="5"/>
    </row>
    <row r="1766" spans="1:12" ht="15.75" thickBot="1" x14ac:dyDescent="0.3">
      <c r="A1766" s="121" t="s">
        <v>11</v>
      </c>
      <c r="B1766" s="122"/>
      <c r="C1766" s="123"/>
      <c r="D1766" s="16" t="s">
        <v>12</v>
      </c>
      <c r="E1766" s="16" t="s">
        <v>13</v>
      </c>
      <c r="F1766" s="5"/>
      <c r="G1766" s="121" t="s">
        <v>15</v>
      </c>
      <c r="H1766" s="122"/>
      <c r="I1766" s="123"/>
      <c r="J1766" s="121"/>
      <c r="K1766" s="123"/>
      <c r="L1766" s="5"/>
    </row>
    <row r="1767" spans="1:12" x14ac:dyDescent="0.25">
      <c r="A1767" s="45">
        <v>45749</v>
      </c>
      <c r="B1767" s="46" t="s">
        <v>401</v>
      </c>
      <c r="C1767" s="47"/>
      <c r="D1767" s="56">
        <v>271.29000000000002</v>
      </c>
      <c r="E1767" s="57">
        <v>5648.25</v>
      </c>
      <c r="F1767" s="44">
        <f>E1767/D1767</f>
        <v>20.819971248479487</v>
      </c>
      <c r="G1767" s="125" t="s">
        <v>69</v>
      </c>
      <c r="H1767" s="126"/>
      <c r="I1767" s="127"/>
      <c r="J1767" s="128">
        <v>0</v>
      </c>
      <c r="K1767" s="129"/>
      <c r="L1767" s="5"/>
    </row>
    <row r="1768" spans="1:12" x14ac:dyDescent="0.25">
      <c r="A1768" s="94">
        <v>45810</v>
      </c>
      <c r="B1768" s="46" t="s">
        <v>402</v>
      </c>
      <c r="C1768" s="47"/>
      <c r="D1768" s="56">
        <v>200</v>
      </c>
      <c r="E1768" s="57">
        <v>4464</v>
      </c>
      <c r="F1768" s="44">
        <f>E1768/D1768</f>
        <v>22.32</v>
      </c>
      <c r="G1768" s="110" t="s">
        <v>59</v>
      </c>
      <c r="H1768" s="111"/>
      <c r="I1768" s="112"/>
      <c r="J1768" s="113"/>
      <c r="K1768" s="114"/>
      <c r="L1768" s="5"/>
    </row>
    <row r="1769" spans="1:12" x14ac:dyDescent="0.25">
      <c r="A1769" s="94">
        <v>45810</v>
      </c>
      <c r="B1769" s="46" t="s">
        <v>401</v>
      </c>
      <c r="C1769" s="47"/>
      <c r="D1769" s="56">
        <v>555</v>
      </c>
      <c r="E1769" s="57">
        <v>12221.1</v>
      </c>
      <c r="F1769" s="44">
        <f>E1769/D1769</f>
        <v>22.02</v>
      </c>
      <c r="G1769" s="110" t="s">
        <v>61</v>
      </c>
      <c r="H1769" s="111"/>
      <c r="I1769" s="112"/>
      <c r="J1769" s="113"/>
      <c r="K1769" s="114"/>
      <c r="L1769" s="5"/>
    </row>
    <row r="1770" spans="1:12" x14ac:dyDescent="0.25">
      <c r="A1770" s="94">
        <v>45932</v>
      </c>
      <c r="B1770" s="46" t="s">
        <v>316</v>
      </c>
      <c r="C1770" s="47"/>
      <c r="D1770" s="56">
        <f>467+56.7</f>
        <v>523.70000000000005</v>
      </c>
      <c r="E1770" s="57">
        <v>11213.16</v>
      </c>
      <c r="F1770" s="44">
        <f>E1770/D1770</f>
        <v>21.41141875119343</v>
      </c>
      <c r="G1770" s="110" t="s">
        <v>51</v>
      </c>
      <c r="H1770" s="111"/>
      <c r="I1770" s="112"/>
      <c r="J1770" s="113"/>
      <c r="K1770" s="114"/>
      <c r="L1770" s="5"/>
    </row>
    <row r="1771" spans="1:12" x14ac:dyDescent="0.25">
      <c r="A1771" s="48"/>
      <c r="B1771" s="46"/>
      <c r="C1771" s="39"/>
      <c r="D1771" s="52"/>
      <c r="E1771" s="53"/>
      <c r="F1771" s="44"/>
      <c r="G1771" s="110" t="s">
        <v>58</v>
      </c>
      <c r="H1771" s="111"/>
      <c r="I1771" s="112"/>
      <c r="J1771" s="113"/>
      <c r="K1771" s="114"/>
      <c r="L1771" s="5"/>
    </row>
    <row r="1772" spans="1:12" x14ac:dyDescent="0.25">
      <c r="A1772" s="48"/>
      <c r="B1772" s="35"/>
      <c r="C1772" s="39"/>
      <c r="D1772" s="52"/>
      <c r="E1772" s="53"/>
      <c r="F1772" s="44"/>
      <c r="G1772" s="110" t="s">
        <v>51</v>
      </c>
      <c r="H1772" s="111"/>
      <c r="I1772" s="112"/>
      <c r="J1772" s="113"/>
      <c r="K1772" s="114"/>
      <c r="L1772" s="5"/>
    </row>
    <row r="1773" spans="1:12" x14ac:dyDescent="0.25">
      <c r="A1773" s="48"/>
      <c r="B1773" s="35"/>
      <c r="C1773" s="39"/>
      <c r="D1773" s="52"/>
      <c r="E1773" s="53"/>
      <c r="F1773" s="44"/>
      <c r="G1773" s="77"/>
      <c r="H1773" s="78" t="s">
        <v>69</v>
      </c>
      <c r="I1773" s="79"/>
      <c r="J1773" s="113"/>
      <c r="K1773" s="114"/>
      <c r="L1773" s="5"/>
    </row>
    <row r="1774" spans="1:12" x14ac:dyDescent="0.25">
      <c r="A1774" s="38"/>
      <c r="B1774" s="35"/>
      <c r="C1774" s="39"/>
      <c r="D1774" s="52"/>
      <c r="E1774" s="53"/>
      <c r="F1774" s="44"/>
      <c r="G1774" s="77"/>
      <c r="H1774" s="78" t="s">
        <v>72</v>
      </c>
      <c r="I1774" s="79"/>
      <c r="J1774" s="113"/>
      <c r="K1774" s="114"/>
      <c r="L1774" s="5"/>
    </row>
    <row r="1775" spans="1:12" ht="15.75" thickBot="1" x14ac:dyDescent="0.3">
      <c r="A1775" s="5"/>
      <c r="B1775" s="5"/>
      <c r="C1775" s="7" t="s">
        <v>35</v>
      </c>
      <c r="D1775" s="17">
        <f>SUM(D1767:D1774)</f>
        <v>1549.99</v>
      </c>
      <c r="E1775" s="17">
        <f>SUM(E1767:E1774)</f>
        <v>33546.509999999995</v>
      </c>
      <c r="F1775" s="89">
        <f>AVERAGE(F1767:F1771)</f>
        <v>21.642847499918226</v>
      </c>
      <c r="G1775" s="110" t="s">
        <v>73</v>
      </c>
      <c r="H1775" s="111"/>
      <c r="I1775" s="112"/>
      <c r="J1775" s="113"/>
      <c r="K1775" s="114"/>
      <c r="L1775" s="7" t="s">
        <v>36</v>
      </c>
    </row>
    <row r="1776" spans="1:12" ht="15.75" thickBot="1" x14ac:dyDescent="0.3">
      <c r="A1776" s="5"/>
      <c r="B1776" s="5"/>
      <c r="C1776" s="5"/>
      <c r="D1776" s="5"/>
      <c r="E1776" s="5"/>
      <c r="F1776" s="5"/>
      <c r="G1776" s="130"/>
      <c r="H1776" s="131"/>
      <c r="I1776" s="132"/>
      <c r="J1776" s="133"/>
      <c r="K1776" s="134"/>
      <c r="L1776" s="18">
        <f>J1767+J1768+J1769+J1770+J1771+J1772+J1773+J1774+J1775</f>
        <v>0</v>
      </c>
    </row>
    <row r="1777" spans="1:12" ht="15.75" thickBot="1" x14ac:dyDescent="0.3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</row>
    <row r="1778" spans="1:12" ht="15.75" thickBot="1" x14ac:dyDescent="0.3">
      <c r="A1778" s="19"/>
      <c r="B1778" s="20"/>
      <c r="C1778" s="20"/>
      <c r="D1778" s="20"/>
      <c r="E1778" s="21" t="s">
        <v>13</v>
      </c>
      <c r="F1778" s="5"/>
      <c r="G1778" s="19"/>
      <c r="H1778" s="20"/>
      <c r="I1778" s="20"/>
      <c r="J1778" s="20"/>
      <c r="K1778" s="21" t="s">
        <v>13</v>
      </c>
      <c r="L1778" s="5"/>
    </row>
    <row r="1779" spans="1:12" x14ac:dyDescent="0.25">
      <c r="A1779" s="22" t="s">
        <v>31</v>
      </c>
      <c r="B1779" s="115">
        <v>18598</v>
      </c>
      <c r="C1779" s="116"/>
      <c r="D1779" s="116"/>
      <c r="E1779" s="117"/>
      <c r="F1779" s="5"/>
      <c r="G1779" s="22" t="s">
        <v>32</v>
      </c>
      <c r="H1779" s="115">
        <v>42067</v>
      </c>
      <c r="I1779" s="116"/>
      <c r="J1779" s="116"/>
      <c r="K1779" s="117"/>
      <c r="L1779" s="5"/>
    </row>
    <row r="1780" spans="1:12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</row>
    <row r="1781" spans="1:12" x14ac:dyDescent="0.25">
      <c r="A1781" s="7" t="s">
        <v>16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</row>
    <row r="1782" spans="1:12" x14ac:dyDescent="0.25">
      <c r="A1782" s="9" t="s">
        <v>17</v>
      </c>
      <c r="B1782" s="23">
        <f>L1759-C1754</f>
        <v>3227</v>
      </c>
      <c r="C1782" s="5"/>
      <c r="D1782" s="106" t="s">
        <v>18</v>
      </c>
      <c r="E1782" s="107"/>
      <c r="F1782" s="24" t="s">
        <v>19</v>
      </c>
      <c r="G1782" s="9" t="s">
        <v>20</v>
      </c>
      <c r="H1782" s="118">
        <f>B1779+H1779</f>
        <v>60665</v>
      </c>
      <c r="I1782" s="119"/>
      <c r="J1782" s="60"/>
      <c r="K1782" s="5"/>
      <c r="L1782" s="5"/>
    </row>
    <row r="1783" spans="1:12" x14ac:dyDescent="0.25">
      <c r="A1783" s="9" t="s">
        <v>41</v>
      </c>
      <c r="B1783" s="40">
        <f>B1782/D1775</f>
        <v>2.0819489157994568</v>
      </c>
      <c r="C1783" s="5"/>
      <c r="D1783" s="102">
        <f>E1775</f>
        <v>33546.509999999995</v>
      </c>
      <c r="E1783" s="103"/>
      <c r="F1783" s="25">
        <f>H1783/B1782</f>
        <v>11.305457080880071</v>
      </c>
      <c r="G1783" s="9" t="s">
        <v>21</v>
      </c>
      <c r="H1783" s="104">
        <f>L1776+D1783+D1785+D1787+D1789+A1786</f>
        <v>36482.709999999992</v>
      </c>
      <c r="I1783" s="105"/>
      <c r="J1783" s="5"/>
      <c r="K1783" s="5"/>
      <c r="L1783" s="5"/>
    </row>
    <row r="1784" spans="1:12" x14ac:dyDescent="0.25">
      <c r="A1784" s="9" t="s">
        <v>43</v>
      </c>
      <c r="B1784" s="23">
        <f>D1775/B1782*100</f>
        <v>48.0319181902696</v>
      </c>
      <c r="C1784" s="5"/>
      <c r="D1784" s="106" t="s">
        <v>33</v>
      </c>
      <c r="E1784" s="107"/>
      <c r="F1784" s="5"/>
      <c r="G1784" s="13" t="s">
        <v>22</v>
      </c>
      <c r="H1784" s="6"/>
      <c r="I1784" s="26">
        <f>H1782-H1783</f>
        <v>24182.290000000008</v>
      </c>
      <c r="J1784" s="5"/>
      <c r="K1784" s="5"/>
      <c r="L1784" s="5"/>
    </row>
    <row r="1785" spans="1:12" x14ac:dyDescent="0.25">
      <c r="A1785" s="106" t="s">
        <v>40</v>
      </c>
      <c r="B1785" s="107"/>
      <c r="C1785" s="5"/>
      <c r="D1785" s="149">
        <v>1000</v>
      </c>
      <c r="E1785" s="150"/>
      <c r="F1785" s="5"/>
      <c r="G1785" s="5"/>
      <c r="H1785" s="5"/>
      <c r="I1785" s="5"/>
      <c r="J1785" s="5"/>
      <c r="K1785" s="5"/>
      <c r="L1785" s="5"/>
    </row>
    <row r="1786" spans="1:12" x14ac:dyDescent="0.25">
      <c r="A1786" s="108">
        <f>B1782*0.6</f>
        <v>1936.1999999999998</v>
      </c>
      <c r="B1786" s="109"/>
      <c r="C1786" s="5"/>
      <c r="D1786" s="106" t="s">
        <v>34</v>
      </c>
      <c r="E1786" s="107"/>
      <c r="F1786" s="5"/>
      <c r="G1786" s="145" t="s">
        <v>292</v>
      </c>
      <c r="H1786" s="146"/>
      <c r="I1786" s="23">
        <f>B1782/2.3</f>
        <v>1403.0434782608697</v>
      </c>
      <c r="J1786" s="60"/>
      <c r="K1786" s="5"/>
      <c r="L1786" s="5"/>
    </row>
    <row r="1787" spans="1:12" x14ac:dyDescent="0.25">
      <c r="A1787" s="5"/>
      <c r="B1787" s="5"/>
      <c r="C1787" s="5"/>
      <c r="D1787" s="108">
        <v>0</v>
      </c>
      <c r="E1787" s="109"/>
      <c r="F1787" s="5"/>
      <c r="G1787" s="145" t="s">
        <v>294</v>
      </c>
      <c r="H1787" s="146"/>
      <c r="I1787" s="23">
        <f>I1786-D1775</f>
        <v>-146.94652173913028</v>
      </c>
      <c r="J1787" s="5"/>
      <c r="K1787" s="5"/>
      <c r="L1787" s="5"/>
    </row>
    <row r="1788" spans="1:12" x14ac:dyDescent="0.25">
      <c r="A1788" s="5"/>
      <c r="B1788" s="5"/>
      <c r="C1788" s="5"/>
      <c r="D1788" s="106" t="s">
        <v>37</v>
      </c>
      <c r="E1788" s="107"/>
      <c r="F1788" s="5"/>
      <c r="G1788" s="147" t="s">
        <v>295</v>
      </c>
      <c r="H1788" s="148"/>
      <c r="I1788" s="86">
        <f>I1787*F1775</f>
        <v>-3180.3411606434147</v>
      </c>
      <c r="J1788" s="87">
        <f>I1784-I1788</f>
        <v>27362.631160643425</v>
      </c>
      <c r="K1788" s="5"/>
      <c r="L1788" s="5"/>
    </row>
    <row r="1789" spans="1:12" x14ac:dyDescent="0.25">
      <c r="A1789" s="5"/>
      <c r="B1789" s="5"/>
      <c r="C1789" s="5"/>
      <c r="D1789" s="108"/>
      <c r="E1789" s="109"/>
      <c r="F1789" s="5" t="s">
        <v>78</v>
      </c>
      <c r="G1789" s="5"/>
      <c r="H1789" s="5"/>
      <c r="I1789" s="5"/>
      <c r="J1789" s="88" t="s">
        <v>293</v>
      </c>
      <c r="K1789" s="44"/>
      <c r="L1789" s="5"/>
    </row>
    <row r="1791" spans="1:12" s="99" customFormat="1" x14ac:dyDescent="0.25"/>
    <row r="1794" spans="1:12" x14ac:dyDescent="0.25">
      <c r="A1794" s="120" t="s">
        <v>24</v>
      </c>
      <c r="B1794" s="120"/>
      <c r="C1794" s="120"/>
      <c r="D1794" s="120"/>
      <c r="E1794" s="120"/>
      <c r="F1794" s="120"/>
      <c r="G1794" s="120"/>
      <c r="H1794" s="120"/>
      <c r="I1794" s="120"/>
      <c r="J1794" s="120"/>
      <c r="K1794" s="120"/>
      <c r="L1794" s="120"/>
    </row>
    <row r="1795" spans="1:12" x14ac:dyDescent="0.25">
      <c r="A1795" s="120"/>
      <c r="B1795" s="120"/>
      <c r="C1795" s="120"/>
      <c r="D1795" s="120"/>
      <c r="E1795" s="120"/>
      <c r="F1795" s="120"/>
      <c r="G1795" s="120"/>
      <c r="H1795" s="120"/>
      <c r="I1795" s="120"/>
      <c r="J1795" s="120"/>
      <c r="K1795" s="120"/>
      <c r="L1795" s="120"/>
    </row>
    <row r="1796" spans="1:12" x14ac:dyDescent="0.25">
      <c r="A1796" s="1" t="s">
        <v>4</v>
      </c>
      <c r="B1796" s="2"/>
      <c r="C1796" s="90"/>
      <c r="D1796" s="2"/>
      <c r="E1796" s="2"/>
      <c r="F1796" s="2"/>
      <c r="G1796" s="3" t="s">
        <v>5</v>
      </c>
      <c r="H1796" s="3" t="s">
        <v>6</v>
      </c>
      <c r="I1796" s="4" t="s">
        <v>7</v>
      </c>
      <c r="J1796" s="5"/>
      <c r="K1796" s="5"/>
      <c r="L1796" s="5"/>
    </row>
    <row r="1797" spans="1:12" x14ac:dyDescent="0.25">
      <c r="A1797" s="91" t="s">
        <v>359</v>
      </c>
      <c r="B1797" s="92" t="s">
        <v>42</v>
      </c>
      <c r="C1797" s="64"/>
      <c r="D1797" s="66"/>
      <c r="E1797" s="2"/>
      <c r="F1797" s="2"/>
      <c r="G1797" s="91" t="s">
        <v>299</v>
      </c>
      <c r="H1797" s="66"/>
      <c r="I1797" s="33"/>
      <c r="J1797" s="6"/>
      <c r="K1797" s="33"/>
      <c r="L1797" s="6"/>
    </row>
    <row r="1798" spans="1:12" x14ac:dyDescent="0.25">
      <c r="A1798" s="7" t="s">
        <v>2</v>
      </c>
      <c r="B1798" s="5"/>
      <c r="C1798" s="5"/>
      <c r="D1798" s="5"/>
      <c r="E1798" s="5"/>
      <c r="F1798" s="5"/>
      <c r="G1798" s="8" t="s">
        <v>8</v>
      </c>
      <c r="H1798" s="93">
        <v>3</v>
      </c>
      <c r="I1798" s="5"/>
      <c r="J1798" s="5"/>
      <c r="K1798" s="5"/>
      <c r="L1798" s="5"/>
    </row>
    <row r="1799" spans="1:12" x14ac:dyDescent="0.25">
      <c r="A1799" s="7" t="s">
        <v>25</v>
      </c>
      <c r="B1799" s="5"/>
      <c r="C1799" s="7" t="s">
        <v>0</v>
      </c>
      <c r="D1799" s="5"/>
      <c r="E1799" s="5"/>
      <c r="F1799" s="5"/>
      <c r="G1799" s="7" t="s">
        <v>25</v>
      </c>
      <c r="H1799" s="5"/>
      <c r="I1799" s="7" t="s">
        <v>0</v>
      </c>
      <c r="J1799" s="5"/>
      <c r="K1799" s="5"/>
      <c r="L1799" s="5"/>
    </row>
    <row r="1800" spans="1:12" x14ac:dyDescent="0.25">
      <c r="A1800" s="42">
        <v>45932</v>
      </c>
      <c r="B1800" s="6"/>
      <c r="C1800" s="31">
        <f>L1759</f>
        <v>941965</v>
      </c>
      <c r="D1800" s="5"/>
      <c r="E1800" s="5"/>
      <c r="F1800" s="5"/>
      <c r="G1800" s="42">
        <v>45628</v>
      </c>
      <c r="H1800" s="6"/>
      <c r="I1800" s="9"/>
      <c r="J1800" s="5"/>
      <c r="K1800" s="5"/>
      <c r="L1800" s="5"/>
    </row>
    <row r="1801" spans="1:12" ht="16.5" thickBot="1" x14ac:dyDescent="0.3">
      <c r="A1801" s="7"/>
      <c r="B1801" s="62"/>
      <c r="C1801" s="62"/>
      <c r="D1801" s="62"/>
      <c r="E1801" s="5"/>
      <c r="F1801" s="5"/>
      <c r="G1801" s="10"/>
      <c r="H1801" s="5"/>
      <c r="I1801" s="5"/>
      <c r="J1801" s="5"/>
      <c r="K1801" s="5"/>
      <c r="L1801" s="5"/>
    </row>
    <row r="1802" spans="1:12" ht="15.75" thickBot="1" x14ac:dyDescent="0.3">
      <c r="A1802" s="121" t="s">
        <v>9</v>
      </c>
      <c r="B1802" s="122"/>
      <c r="C1802" s="123"/>
      <c r="D1802" s="5"/>
      <c r="E1802" s="5"/>
      <c r="F1802" s="5"/>
      <c r="G1802" s="121" t="s">
        <v>26</v>
      </c>
      <c r="H1802" s="122"/>
      <c r="I1802" s="123"/>
      <c r="J1802" s="5"/>
      <c r="K1802" s="5"/>
      <c r="L1802" s="5"/>
    </row>
    <row r="1803" spans="1:12" x14ac:dyDescent="0.25">
      <c r="A1803" s="30" t="s">
        <v>38</v>
      </c>
      <c r="B1803" s="11"/>
      <c r="C1803" s="11"/>
      <c r="D1803" s="11"/>
      <c r="E1803" s="6"/>
      <c r="F1803" s="5"/>
      <c r="G1803" s="30"/>
      <c r="H1803" s="11"/>
      <c r="I1803" s="11"/>
      <c r="J1803" s="11"/>
      <c r="K1803" s="11"/>
      <c r="L1803" s="6"/>
    </row>
    <row r="1804" spans="1:12" ht="15.75" thickBot="1" x14ac:dyDescent="0.3">
      <c r="A1804" s="7"/>
      <c r="B1804" s="7"/>
      <c r="C1804" s="7"/>
      <c r="D1804" s="5"/>
      <c r="E1804" s="5"/>
      <c r="F1804" s="5"/>
      <c r="G1804" s="7" t="str">
        <f>A1806</f>
        <v>CAPE TOWN</v>
      </c>
      <c r="H1804" s="7"/>
      <c r="I1804" s="7"/>
      <c r="J1804" s="5"/>
      <c r="K1804" s="5"/>
      <c r="L1804" s="5"/>
    </row>
    <row r="1805" spans="1:12" ht="15.75" thickBot="1" x14ac:dyDescent="0.3">
      <c r="A1805" s="121"/>
      <c r="B1805" s="122"/>
      <c r="C1805" s="124"/>
      <c r="D1805" s="12" t="s">
        <v>1</v>
      </c>
      <c r="E1805" s="32"/>
      <c r="F1805" s="5"/>
      <c r="G1805" s="121" t="s">
        <v>27</v>
      </c>
      <c r="H1805" s="122"/>
      <c r="I1805" s="123"/>
      <c r="J1805" s="5"/>
      <c r="K1805" s="12" t="s">
        <v>1</v>
      </c>
      <c r="L1805" s="32">
        <v>944999</v>
      </c>
    </row>
    <row r="1806" spans="1:12" x14ac:dyDescent="0.25">
      <c r="A1806" s="30" t="s">
        <v>399</v>
      </c>
      <c r="B1806" s="11"/>
      <c r="C1806" s="11"/>
      <c r="D1806" s="11"/>
      <c r="E1806" s="6"/>
      <c r="F1806" s="5"/>
      <c r="G1806" s="30" t="s">
        <v>364</v>
      </c>
      <c r="H1806" s="11"/>
      <c r="I1806" s="11"/>
      <c r="J1806" s="11"/>
      <c r="K1806" s="11"/>
      <c r="L1806" s="6"/>
    </row>
    <row r="1807" spans="1:12" x14ac:dyDescent="0.25">
      <c r="A1807" s="76"/>
      <c r="B1807" s="11"/>
      <c r="C1807" s="11"/>
      <c r="D1807" s="11"/>
      <c r="E1807" s="6"/>
      <c r="F1807" s="5"/>
      <c r="G1807" s="34"/>
      <c r="H1807" s="11"/>
      <c r="I1807" s="11"/>
      <c r="J1807" s="11"/>
      <c r="K1807" s="11"/>
      <c r="L1807" s="6"/>
    </row>
    <row r="1808" spans="1:12" x14ac:dyDescent="0.25">
      <c r="A1808" s="13"/>
      <c r="B1808" s="11"/>
      <c r="C1808" s="11"/>
      <c r="D1808" s="11"/>
      <c r="E1808" s="6"/>
      <c r="F1808" s="5"/>
      <c r="G1808" s="13"/>
      <c r="H1808" s="11"/>
      <c r="I1808" s="11"/>
      <c r="J1808" s="11"/>
      <c r="K1808" s="11"/>
      <c r="L1808" s="6"/>
    </row>
    <row r="1809" spans="1:12" x14ac:dyDescent="0.25">
      <c r="A1809" s="13"/>
      <c r="B1809" s="11"/>
      <c r="C1809" s="11"/>
      <c r="D1809" s="11"/>
      <c r="E1809" s="6"/>
      <c r="F1809" s="5"/>
      <c r="G1809" s="13"/>
      <c r="H1809" s="11"/>
      <c r="I1809" s="11"/>
      <c r="J1809" s="11"/>
      <c r="K1809" s="11"/>
      <c r="L1809" s="6"/>
    </row>
    <row r="1810" spans="1:12" ht="15.75" thickBot="1" x14ac:dyDescent="0.3">
      <c r="A1810" s="13"/>
      <c r="B1810" s="11"/>
      <c r="C1810" s="11" t="s">
        <v>29</v>
      </c>
      <c r="D1810" s="43"/>
      <c r="E1810" s="6"/>
      <c r="F1810" s="5"/>
      <c r="G1810" s="13"/>
      <c r="H1810" s="11"/>
      <c r="I1810" s="14" t="s">
        <v>28</v>
      </c>
      <c r="J1810" s="43"/>
      <c r="K1810" s="59"/>
      <c r="L1810" s="6"/>
    </row>
    <row r="1811" spans="1:12" ht="15.75" thickBot="1" x14ac:dyDescent="0.3">
      <c r="A1811" s="15" t="s">
        <v>10</v>
      </c>
      <c r="B1811" s="5"/>
      <c r="C1811" s="5"/>
      <c r="D1811" s="5"/>
      <c r="E1811" s="5"/>
      <c r="F1811" s="5"/>
      <c r="G1811" s="15" t="s">
        <v>14</v>
      </c>
      <c r="H1811" s="5"/>
      <c r="I1811" s="5"/>
      <c r="J1811" s="5"/>
      <c r="K1811" s="5"/>
      <c r="L1811" s="5"/>
    </row>
    <row r="1812" spans="1:12" ht="15.75" thickBot="1" x14ac:dyDescent="0.3">
      <c r="A1812" s="121" t="s">
        <v>11</v>
      </c>
      <c r="B1812" s="122"/>
      <c r="C1812" s="123"/>
      <c r="D1812" s="16" t="s">
        <v>12</v>
      </c>
      <c r="E1812" s="16" t="s">
        <v>13</v>
      </c>
      <c r="F1812" s="5"/>
      <c r="G1812" s="121" t="s">
        <v>15</v>
      </c>
      <c r="H1812" s="122"/>
      <c r="I1812" s="123"/>
      <c r="J1812" s="121"/>
      <c r="K1812" s="123"/>
      <c r="L1812" s="5"/>
    </row>
    <row r="1813" spans="1:12" x14ac:dyDescent="0.25">
      <c r="A1813" s="45">
        <v>45963</v>
      </c>
      <c r="B1813" s="46" t="s">
        <v>401</v>
      </c>
      <c r="C1813" s="47"/>
      <c r="D1813" s="56">
        <v>285</v>
      </c>
      <c r="E1813" s="57">
        <v>6275.7</v>
      </c>
      <c r="F1813" s="44">
        <f>E1813/D1813</f>
        <v>22.02</v>
      </c>
      <c r="G1813" s="125" t="s">
        <v>69</v>
      </c>
      <c r="H1813" s="126"/>
      <c r="I1813" s="127"/>
      <c r="J1813" s="128">
        <v>0</v>
      </c>
      <c r="K1813" s="129"/>
      <c r="L1813" s="5"/>
    </row>
    <row r="1814" spans="1:12" x14ac:dyDescent="0.25">
      <c r="A1814" s="94" t="s">
        <v>417</v>
      </c>
      <c r="B1814" s="46" t="s">
        <v>402</v>
      </c>
      <c r="C1814" s="47"/>
      <c r="D1814" s="56">
        <v>200</v>
      </c>
      <c r="E1814" s="57">
        <v>4464</v>
      </c>
      <c r="F1814" s="44">
        <f>E1814/D1814</f>
        <v>22.32</v>
      </c>
      <c r="G1814" s="110" t="s">
        <v>59</v>
      </c>
      <c r="H1814" s="111"/>
      <c r="I1814" s="112"/>
      <c r="J1814" s="113"/>
      <c r="K1814" s="114"/>
      <c r="L1814" s="5"/>
    </row>
    <row r="1815" spans="1:12" x14ac:dyDescent="0.25">
      <c r="A1815" s="94" t="s">
        <v>417</v>
      </c>
      <c r="B1815" s="46" t="s">
        <v>401</v>
      </c>
      <c r="C1815" s="47"/>
      <c r="D1815" s="56">
        <v>509.58</v>
      </c>
      <c r="E1815" s="57">
        <v>11221</v>
      </c>
      <c r="F1815" s="44">
        <f>E1815/D1815</f>
        <v>22.020094980179756</v>
      </c>
      <c r="G1815" s="110" t="s">
        <v>61</v>
      </c>
      <c r="H1815" s="111"/>
      <c r="I1815" s="112"/>
      <c r="J1815" s="113"/>
      <c r="K1815" s="114"/>
      <c r="L1815" s="5"/>
    </row>
    <row r="1816" spans="1:12" x14ac:dyDescent="0.25">
      <c r="A1816" s="94" t="s">
        <v>415</v>
      </c>
      <c r="B1816" s="46" t="s">
        <v>316</v>
      </c>
      <c r="C1816" s="47"/>
      <c r="D1816" s="56">
        <v>432</v>
      </c>
      <c r="E1816" s="57">
        <v>9249.5499999999993</v>
      </c>
      <c r="F1816" s="44">
        <f>E1816/D1816</f>
        <v>21.410995370370369</v>
      </c>
      <c r="G1816" s="110" t="s">
        <v>51</v>
      </c>
      <c r="H1816" s="111"/>
      <c r="I1816" s="112"/>
      <c r="J1816" s="113"/>
      <c r="K1816" s="114"/>
      <c r="L1816" s="5"/>
    </row>
    <row r="1817" spans="1:12" x14ac:dyDescent="0.25">
      <c r="A1817" s="48"/>
      <c r="B1817" s="46"/>
      <c r="C1817" s="39"/>
      <c r="D1817" s="52"/>
      <c r="E1817" s="53"/>
      <c r="F1817" s="44"/>
      <c r="G1817" s="110" t="s">
        <v>58</v>
      </c>
      <c r="H1817" s="111"/>
      <c r="I1817" s="112"/>
      <c r="J1817" s="113"/>
      <c r="K1817" s="114"/>
      <c r="L1817" s="5"/>
    </row>
    <row r="1818" spans="1:12" x14ac:dyDescent="0.25">
      <c r="A1818" s="48"/>
      <c r="B1818" s="35"/>
      <c r="C1818" s="39"/>
      <c r="D1818" s="52"/>
      <c r="E1818" s="53"/>
      <c r="F1818" s="44"/>
      <c r="G1818" s="110" t="s">
        <v>51</v>
      </c>
      <c r="H1818" s="111"/>
      <c r="I1818" s="112"/>
      <c r="J1818" s="113"/>
      <c r="K1818" s="114"/>
      <c r="L1818" s="5"/>
    </row>
    <row r="1819" spans="1:12" x14ac:dyDescent="0.25">
      <c r="A1819" s="48"/>
      <c r="B1819" s="35"/>
      <c r="C1819" s="39"/>
      <c r="D1819" s="52"/>
      <c r="E1819" s="53"/>
      <c r="F1819" s="44"/>
      <c r="G1819" s="77"/>
      <c r="H1819" s="78" t="s">
        <v>69</v>
      </c>
      <c r="I1819" s="79"/>
      <c r="J1819" s="113"/>
      <c r="K1819" s="114"/>
      <c r="L1819" s="5"/>
    </row>
    <row r="1820" spans="1:12" x14ac:dyDescent="0.25">
      <c r="A1820" s="38"/>
      <c r="B1820" s="35"/>
      <c r="C1820" s="39"/>
      <c r="D1820" s="52"/>
      <c r="E1820" s="53"/>
      <c r="F1820" s="44"/>
      <c r="G1820" s="77"/>
      <c r="H1820" s="78" t="s">
        <v>72</v>
      </c>
      <c r="I1820" s="79"/>
      <c r="J1820" s="113"/>
      <c r="K1820" s="114"/>
      <c r="L1820" s="5"/>
    </row>
    <row r="1821" spans="1:12" ht="15.75" thickBot="1" x14ac:dyDescent="0.3">
      <c r="A1821" s="5"/>
      <c r="B1821" s="5"/>
      <c r="C1821" s="7" t="s">
        <v>35</v>
      </c>
      <c r="D1821" s="17">
        <f>SUM(D1813:D1820)</f>
        <v>1426.58</v>
      </c>
      <c r="E1821" s="17">
        <f>SUM(E1813:E1820)</f>
        <v>31210.25</v>
      </c>
      <c r="F1821" s="89">
        <f>AVERAGE(F1813:F1817)</f>
        <v>21.942772587637531</v>
      </c>
      <c r="G1821" s="110" t="s">
        <v>73</v>
      </c>
      <c r="H1821" s="111"/>
      <c r="I1821" s="112"/>
      <c r="J1821" s="113"/>
      <c r="K1821" s="114"/>
      <c r="L1821" s="7" t="s">
        <v>36</v>
      </c>
    </row>
    <row r="1822" spans="1:12" ht="15.75" thickBot="1" x14ac:dyDescent="0.3">
      <c r="A1822" s="5"/>
      <c r="B1822" s="5"/>
      <c r="C1822" s="5"/>
      <c r="D1822" s="5"/>
      <c r="E1822" s="5"/>
      <c r="F1822" s="5"/>
      <c r="G1822" s="130"/>
      <c r="H1822" s="131"/>
      <c r="I1822" s="132"/>
      <c r="J1822" s="133"/>
      <c r="K1822" s="134"/>
      <c r="L1822" s="18">
        <f>J1813+J1814+J1815+J1816+J1817+J1818+J1819+J1820+J1821</f>
        <v>0</v>
      </c>
    </row>
    <row r="1823" spans="1:12" ht="15.75" thickBot="1" x14ac:dyDescent="0.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</row>
    <row r="1824" spans="1:12" ht="15.75" thickBot="1" x14ac:dyDescent="0.3">
      <c r="A1824" s="19"/>
      <c r="B1824" s="20"/>
      <c r="C1824" s="20"/>
      <c r="D1824" s="20"/>
      <c r="E1824" s="21" t="s">
        <v>13</v>
      </c>
      <c r="F1824" s="5"/>
      <c r="G1824" s="19"/>
      <c r="H1824" s="20"/>
      <c r="I1824" s="20"/>
      <c r="J1824" s="20"/>
      <c r="K1824" s="21" t="s">
        <v>13</v>
      </c>
      <c r="L1824" s="5"/>
    </row>
    <row r="1825" spans="1:12" x14ac:dyDescent="0.25">
      <c r="A1825" s="22" t="s">
        <v>31</v>
      </c>
      <c r="B1825" s="115">
        <v>18598</v>
      </c>
      <c r="C1825" s="116"/>
      <c r="D1825" s="116"/>
      <c r="E1825" s="117"/>
      <c r="F1825" s="5"/>
      <c r="G1825" s="22" t="s">
        <v>32</v>
      </c>
      <c r="H1825" s="115">
        <v>42067</v>
      </c>
      <c r="I1825" s="116"/>
      <c r="J1825" s="116"/>
      <c r="K1825" s="117"/>
      <c r="L1825" s="5"/>
    </row>
    <row r="1826" spans="1:12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</row>
    <row r="1827" spans="1:12" x14ac:dyDescent="0.25">
      <c r="A1827" s="7" t="s">
        <v>16</v>
      </c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</row>
    <row r="1828" spans="1:12" x14ac:dyDescent="0.25">
      <c r="A1828" s="9" t="s">
        <v>17</v>
      </c>
      <c r="B1828" s="23">
        <f>L1805-C1800</f>
        <v>3034</v>
      </c>
      <c r="C1828" s="5"/>
      <c r="D1828" s="106" t="s">
        <v>18</v>
      </c>
      <c r="E1828" s="107"/>
      <c r="F1828" s="24" t="s">
        <v>19</v>
      </c>
      <c r="G1828" s="9" t="s">
        <v>20</v>
      </c>
      <c r="H1828" s="118">
        <f>B1825+H1825</f>
        <v>60665</v>
      </c>
      <c r="I1828" s="119"/>
      <c r="J1828" s="60"/>
      <c r="K1828" s="5"/>
      <c r="L1828" s="5"/>
    </row>
    <row r="1829" spans="1:12" x14ac:dyDescent="0.25">
      <c r="A1829" s="9" t="s">
        <v>41</v>
      </c>
      <c r="B1829" s="40">
        <f>B1828/D1821</f>
        <v>2.1267647100057481</v>
      </c>
      <c r="C1829" s="5"/>
      <c r="D1829" s="102">
        <f>E1821</f>
        <v>31210.25</v>
      </c>
      <c r="E1829" s="103"/>
      <c r="F1829" s="25">
        <f>H1829/B1828</f>
        <v>11.216430454845089</v>
      </c>
      <c r="G1829" s="9" t="s">
        <v>21</v>
      </c>
      <c r="H1829" s="104">
        <f>L1822+D1829+D1831+D1833+D1835+A1832</f>
        <v>34030.65</v>
      </c>
      <c r="I1829" s="105"/>
      <c r="J1829" s="5"/>
      <c r="K1829" s="5"/>
      <c r="L1829" s="5"/>
    </row>
    <row r="1830" spans="1:12" x14ac:dyDescent="0.25">
      <c r="A1830" s="9" t="s">
        <v>43</v>
      </c>
      <c r="B1830" s="23">
        <f>D1821/B1828*100</f>
        <v>47.019775873434405</v>
      </c>
      <c r="C1830" s="5"/>
      <c r="D1830" s="106" t="s">
        <v>33</v>
      </c>
      <c r="E1830" s="107"/>
      <c r="F1830" s="5"/>
      <c r="G1830" s="13" t="s">
        <v>22</v>
      </c>
      <c r="H1830" s="6"/>
      <c r="I1830" s="26">
        <f>H1828-H1829</f>
        <v>26634.35</v>
      </c>
      <c r="J1830" s="5"/>
      <c r="K1830" s="5"/>
      <c r="L1830" s="5"/>
    </row>
    <row r="1831" spans="1:12" x14ac:dyDescent="0.25">
      <c r="A1831" s="106" t="s">
        <v>40</v>
      </c>
      <c r="B1831" s="107"/>
      <c r="C1831" s="5"/>
      <c r="D1831" s="149">
        <v>1000</v>
      </c>
      <c r="E1831" s="150"/>
      <c r="F1831" s="5"/>
      <c r="G1831" s="5"/>
      <c r="H1831" s="5"/>
      <c r="I1831" s="5"/>
      <c r="J1831" s="5"/>
      <c r="K1831" s="5"/>
      <c r="L1831" s="5"/>
    </row>
    <row r="1832" spans="1:12" x14ac:dyDescent="0.25">
      <c r="A1832" s="108">
        <f>B1828*0.6</f>
        <v>1820.3999999999999</v>
      </c>
      <c r="B1832" s="109"/>
      <c r="C1832" s="5"/>
      <c r="D1832" s="106" t="s">
        <v>34</v>
      </c>
      <c r="E1832" s="107"/>
      <c r="F1832" s="5"/>
      <c r="G1832" s="145" t="s">
        <v>292</v>
      </c>
      <c r="H1832" s="146"/>
      <c r="I1832" s="23">
        <f>B1828/2.3</f>
        <v>1319.1304347826087</v>
      </c>
      <c r="J1832" s="60"/>
      <c r="K1832" s="5"/>
      <c r="L1832" s="5"/>
    </row>
    <row r="1833" spans="1:12" x14ac:dyDescent="0.25">
      <c r="A1833" s="5"/>
      <c r="B1833" s="5"/>
      <c r="C1833" s="5"/>
      <c r="D1833" s="108">
        <v>0</v>
      </c>
      <c r="E1833" s="109"/>
      <c r="F1833" s="5"/>
      <c r="G1833" s="145" t="s">
        <v>294</v>
      </c>
      <c r="H1833" s="146"/>
      <c r="I1833" s="23">
        <f>I1832-D1821</f>
        <v>-107.44956521739118</v>
      </c>
      <c r="J1833" s="5"/>
      <c r="K1833" s="5"/>
      <c r="L1833" s="5"/>
    </row>
    <row r="1834" spans="1:12" x14ac:dyDescent="0.25">
      <c r="A1834" s="5"/>
      <c r="B1834" s="5"/>
      <c r="C1834" s="5"/>
      <c r="D1834" s="106" t="s">
        <v>37</v>
      </c>
      <c r="E1834" s="107"/>
      <c r="F1834" s="5"/>
      <c r="G1834" s="147" t="s">
        <v>295</v>
      </c>
      <c r="H1834" s="148"/>
      <c r="I1834" s="86">
        <f>I1833*F1821</f>
        <v>-2357.7413742057424</v>
      </c>
      <c r="J1834" s="87">
        <f>I1830-I1834</f>
        <v>28992.091374205742</v>
      </c>
      <c r="K1834" s="5"/>
      <c r="L1834" s="5"/>
    </row>
    <row r="1835" spans="1:12" x14ac:dyDescent="0.25">
      <c r="A1835" s="5"/>
      <c r="B1835" s="5"/>
      <c r="C1835" s="5"/>
      <c r="D1835" s="108"/>
      <c r="E1835" s="109"/>
      <c r="F1835" s="5" t="s">
        <v>78</v>
      </c>
      <c r="G1835" s="5"/>
      <c r="H1835" s="5"/>
      <c r="I1835" s="5"/>
      <c r="J1835" s="88" t="s">
        <v>293</v>
      </c>
      <c r="K1835" s="44"/>
      <c r="L1835" s="5"/>
    </row>
    <row r="1838" spans="1:12" s="99" customFormat="1" x14ac:dyDescent="0.25"/>
    <row r="1841" spans="1:12" x14ac:dyDescent="0.25">
      <c r="A1841" s="120" t="s">
        <v>24</v>
      </c>
      <c r="B1841" s="120"/>
      <c r="C1841" s="120"/>
      <c r="D1841" s="120"/>
      <c r="E1841" s="120"/>
      <c r="F1841" s="120"/>
      <c r="G1841" s="120"/>
      <c r="H1841" s="120"/>
      <c r="I1841" s="120"/>
      <c r="J1841" s="120"/>
      <c r="K1841" s="120"/>
      <c r="L1841" s="120"/>
    </row>
    <row r="1842" spans="1:12" x14ac:dyDescent="0.25">
      <c r="A1842" s="120"/>
      <c r="B1842" s="120"/>
      <c r="C1842" s="120"/>
      <c r="D1842" s="120"/>
      <c r="E1842" s="120"/>
      <c r="F1842" s="120"/>
      <c r="G1842" s="120"/>
      <c r="H1842" s="120"/>
      <c r="I1842" s="120"/>
      <c r="J1842" s="120"/>
      <c r="K1842" s="120"/>
      <c r="L1842" s="120"/>
    </row>
    <row r="1843" spans="1:12" x14ac:dyDescent="0.25">
      <c r="A1843" s="1" t="s">
        <v>4</v>
      </c>
      <c r="B1843" s="2"/>
      <c r="C1843" s="90"/>
      <c r="D1843" s="2"/>
      <c r="E1843" s="2"/>
      <c r="F1843" s="2"/>
      <c r="G1843" s="3" t="s">
        <v>5</v>
      </c>
      <c r="H1843" s="3" t="s">
        <v>6</v>
      </c>
      <c r="I1843" s="4" t="s">
        <v>7</v>
      </c>
      <c r="J1843" s="5"/>
      <c r="K1843" s="5"/>
      <c r="L1843" s="5"/>
    </row>
    <row r="1844" spans="1:12" x14ac:dyDescent="0.25">
      <c r="A1844" s="91" t="s">
        <v>359</v>
      </c>
      <c r="B1844" s="92" t="s">
        <v>42</v>
      </c>
      <c r="C1844" s="64"/>
      <c r="D1844" s="66"/>
      <c r="E1844" s="2"/>
      <c r="F1844" s="2"/>
      <c r="G1844" s="91" t="s">
        <v>299</v>
      </c>
      <c r="H1844" s="66"/>
      <c r="I1844" s="33"/>
      <c r="J1844" s="6"/>
      <c r="K1844" s="33"/>
      <c r="L1844" s="6"/>
    </row>
    <row r="1845" spans="1:12" x14ac:dyDescent="0.25">
      <c r="A1845" s="7" t="s">
        <v>2</v>
      </c>
      <c r="B1845" s="5"/>
      <c r="C1845" s="5"/>
      <c r="D1845" s="5"/>
      <c r="E1845" s="5"/>
      <c r="F1845" s="5"/>
      <c r="G1845" s="8" t="s">
        <v>8</v>
      </c>
      <c r="H1845" s="93">
        <v>3</v>
      </c>
      <c r="I1845" s="5"/>
      <c r="J1845" s="5"/>
      <c r="K1845" s="5"/>
      <c r="L1845" s="5"/>
    </row>
    <row r="1846" spans="1:12" x14ac:dyDescent="0.25">
      <c r="A1846" s="7" t="s">
        <v>25</v>
      </c>
      <c r="B1846" s="5"/>
      <c r="C1846" s="7" t="s">
        <v>0</v>
      </c>
      <c r="D1846" s="5"/>
      <c r="E1846" s="5"/>
      <c r="F1846" s="5"/>
      <c r="G1846" s="7" t="s">
        <v>25</v>
      </c>
      <c r="H1846" s="5"/>
      <c r="I1846" s="7" t="s">
        <v>0</v>
      </c>
      <c r="J1846" s="5"/>
      <c r="K1846" s="5"/>
      <c r="L1846" s="5"/>
    </row>
    <row r="1847" spans="1:12" x14ac:dyDescent="0.25">
      <c r="A1847" s="42" t="s">
        <v>415</v>
      </c>
      <c r="B1847" s="6"/>
      <c r="C1847" s="31">
        <f>L1805</f>
        <v>944999</v>
      </c>
      <c r="D1847" s="5"/>
      <c r="E1847" s="5"/>
      <c r="F1847" s="5"/>
      <c r="G1847" s="42" t="s">
        <v>416</v>
      </c>
      <c r="H1847" s="6"/>
      <c r="I1847" s="9"/>
      <c r="J1847" s="5"/>
      <c r="K1847" s="5"/>
      <c r="L1847" s="5"/>
    </row>
    <row r="1848" spans="1:12" ht="16.5" thickBot="1" x14ac:dyDescent="0.3">
      <c r="A1848" s="7"/>
      <c r="B1848" s="62"/>
      <c r="C1848" s="62"/>
      <c r="D1848" s="62"/>
      <c r="E1848" s="5"/>
      <c r="F1848" s="5"/>
      <c r="G1848" s="10"/>
      <c r="H1848" s="5"/>
      <c r="I1848" s="5"/>
      <c r="J1848" s="5"/>
      <c r="K1848" s="5"/>
      <c r="L1848" s="5"/>
    </row>
    <row r="1849" spans="1:12" ht="15.75" thickBot="1" x14ac:dyDescent="0.3">
      <c r="A1849" s="121" t="s">
        <v>9</v>
      </c>
      <c r="B1849" s="122"/>
      <c r="C1849" s="123"/>
      <c r="D1849" s="5"/>
      <c r="E1849" s="5"/>
      <c r="F1849" s="5"/>
      <c r="G1849" s="121" t="s">
        <v>26</v>
      </c>
      <c r="H1849" s="122"/>
      <c r="I1849" s="123"/>
      <c r="J1849" s="5"/>
      <c r="K1849" s="5"/>
      <c r="L1849" s="5"/>
    </row>
    <row r="1850" spans="1:12" x14ac:dyDescent="0.25">
      <c r="A1850" s="30" t="s">
        <v>38</v>
      </c>
      <c r="B1850" s="11"/>
      <c r="C1850" s="11"/>
      <c r="D1850" s="11"/>
      <c r="E1850" s="6"/>
      <c r="F1850" s="5"/>
      <c r="G1850" s="30"/>
      <c r="H1850" s="11"/>
      <c r="I1850" s="11"/>
      <c r="J1850" s="11"/>
      <c r="K1850" s="11"/>
      <c r="L1850" s="6"/>
    </row>
    <row r="1851" spans="1:12" ht="15.75" thickBot="1" x14ac:dyDescent="0.3">
      <c r="A1851" s="7"/>
      <c r="B1851" s="7"/>
      <c r="C1851" s="7"/>
      <c r="D1851" s="5"/>
      <c r="E1851" s="5"/>
      <c r="F1851" s="5"/>
      <c r="G1851" s="7" t="str">
        <f>A1853</f>
        <v>CAPE TOWN</v>
      </c>
      <c r="H1851" s="7"/>
      <c r="I1851" s="7"/>
      <c r="J1851" s="5"/>
      <c r="K1851" s="5"/>
      <c r="L1851" s="5"/>
    </row>
    <row r="1852" spans="1:12" ht="15.75" thickBot="1" x14ac:dyDescent="0.3">
      <c r="A1852" s="121"/>
      <c r="B1852" s="122"/>
      <c r="C1852" s="124"/>
      <c r="D1852" s="12" t="s">
        <v>1</v>
      </c>
      <c r="E1852" s="32"/>
      <c r="F1852" s="5"/>
      <c r="G1852" s="121" t="s">
        <v>27</v>
      </c>
      <c r="H1852" s="122"/>
      <c r="I1852" s="123"/>
      <c r="J1852" s="5"/>
      <c r="K1852" s="12" t="s">
        <v>1</v>
      </c>
      <c r="L1852" s="32">
        <v>948852</v>
      </c>
    </row>
    <row r="1853" spans="1:12" x14ac:dyDescent="0.25">
      <c r="A1853" s="30" t="s">
        <v>399</v>
      </c>
      <c r="B1853" s="11"/>
      <c r="C1853" s="11"/>
      <c r="D1853" s="11"/>
      <c r="E1853" s="6"/>
      <c r="F1853" s="5"/>
      <c r="G1853" s="30" t="s">
        <v>364</v>
      </c>
      <c r="H1853" s="11"/>
      <c r="I1853" s="11"/>
      <c r="J1853" s="11"/>
      <c r="K1853" s="11"/>
      <c r="L1853" s="6"/>
    </row>
    <row r="1854" spans="1:12" x14ac:dyDescent="0.25">
      <c r="A1854" s="76" t="s">
        <v>425</v>
      </c>
      <c r="B1854" s="11" t="s">
        <v>427</v>
      </c>
      <c r="C1854" s="11"/>
      <c r="D1854" s="11"/>
      <c r="E1854" s="6"/>
      <c r="F1854" s="5"/>
      <c r="G1854" s="34"/>
      <c r="H1854" s="11"/>
      <c r="I1854" s="11"/>
      <c r="J1854" s="11"/>
      <c r="K1854" s="11"/>
      <c r="L1854" s="6"/>
    </row>
    <row r="1855" spans="1:12" x14ac:dyDescent="0.25">
      <c r="A1855" s="13"/>
      <c r="B1855" s="11"/>
      <c r="C1855" s="11"/>
      <c r="D1855" s="11"/>
      <c r="E1855" s="6"/>
      <c r="F1855" s="5"/>
      <c r="G1855" s="13"/>
      <c r="H1855" s="11"/>
      <c r="I1855" s="11"/>
      <c r="J1855" s="11"/>
      <c r="K1855" s="11"/>
      <c r="L1855" s="6"/>
    </row>
    <row r="1856" spans="1:12" x14ac:dyDescent="0.25">
      <c r="A1856" s="13"/>
      <c r="B1856" s="11"/>
      <c r="C1856" s="11"/>
      <c r="D1856" s="11"/>
      <c r="E1856" s="6"/>
      <c r="F1856" s="5"/>
      <c r="G1856" s="13"/>
      <c r="H1856" s="11"/>
      <c r="I1856" s="11"/>
      <c r="J1856" s="11"/>
      <c r="K1856" s="11"/>
      <c r="L1856" s="6"/>
    </row>
    <row r="1857" spans="1:12" ht="15.75" thickBot="1" x14ac:dyDescent="0.3">
      <c r="A1857" s="13"/>
      <c r="B1857" s="11"/>
      <c r="C1857" s="11" t="s">
        <v>29</v>
      </c>
      <c r="D1857" s="43"/>
      <c r="E1857" s="6"/>
      <c r="F1857" s="5"/>
      <c r="G1857" s="13"/>
      <c r="H1857" s="11"/>
      <c r="I1857" s="14" t="s">
        <v>28</v>
      </c>
      <c r="J1857" s="43"/>
      <c r="K1857" s="59"/>
      <c r="L1857" s="6"/>
    </row>
    <row r="1858" spans="1:12" ht="15.75" thickBot="1" x14ac:dyDescent="0.3">
      <c r="A1858" s="15" t="s">
        <v>10</v>
      </c>
      <c r="B1858" s="5"/>
      <c r="C1858" s="5"/>
      <c r="D1858" s="5"/>
      <c r="E1858" s="5"/>
      <c r="F1858" s="5"/>
      <c r="G1858" s="15" t="s">
        <v>14</v>
      </c>
      <c r="H1858" s="5"/>
      <c r="I1858" s="5"/>
      <c r="J1858" s="5"/>
      <c r="K1858" s="5"/>
      <c r="L1858" s="5"/>
    </row>
    <row r="1859" spans="1:12" ht="15.75" thickBot="1" x14ac:dyDescent="0.3">
      <c r="A1859" s="121" t="s">
        <v>11</v>
      </c>
      <c r="B1859" s="122"/>
      <c r="C1859" s="123"/>
      <c r="D1859" s="16" t="s">
        <v>12</v>
      </c>
      <c r="E1859" s="16" t="s">
        <v>13</v>
      </c>
      <c r="F1859" s="5"/>
      <c r="G1859" s="121" t="s">
        <v>15</v>
      </c>
      <c r="H1859" s="122"/>
      <c r="I1859" s="123"/>
      <c r="J1859" s="121"/>
      <c r="K1859" s="123"/>
      <c r="L1859" s="5"/>
    </row>
    <row r="1860" spans="1:12" x14ac:dyDescent="0.25">
      <c r="A1860" s="45" t="s">
        <v>418</v>
      </c>
      <c r="B1860" s="46" t="s">
        <v>401</v>
      </c>
      <c r="C1860" s="47"/>
      <c r="D1860" s="56">
        <v>308.27</v>
      </c>
      <c r="E1860" s="57">
        <v>6788.1</v>
      </c>
      <c r="F1860" s="44">
        <f>E1860/D1860</f>
        <v>22.019982482888381</v>
      </c>
      <c r="G1860" s="125" t="s">
        <v>69</v>
      </c>
      <c r="H1860" s="126"/>
      <c r="I1860" s="127"/>
      <c r="J1860" s="128">
        <v>0</v>
      </c>
      <c r="K1860" s="129"/>
      <c r="L1860" s="5"/>
    </row>
    <row r="1861" spans="1:12" x14ac:dyDescent="0.25">
      <c r="A1861" s="94" t="s">
        <v>422</v>
      </c>
      <c r="B1861" s="46" t="s">
        <v>402</v>
      </c>
      <c r="C1861" s="47"/>
      <c r="D1861" s="56">
        <v>200</v>
      </c>
      <c r="E1861" s="57">
        <v>4464</v>
      </c>
      <c r="F1861" s="44">
        <f>E1861/D1861</f>
        <v>22.32</v>
      </c>
      <c r="G1861" s="110" t="s">
        <v>59</v>
      </c>
      <c r="H1861" s="111"/>
      <c r="I1861" s="112"/>
      <c r="J1861" s="113"/>
      <c r="K1861" s="114"/>
      <c r="L1861" s="5"/>
    </row>
    <row r="1862" spans="1:12" x14ac:dyDescent="0.25">
      <c r="A1862" s="94" t="s">
        <v>422</v>
      </c>
      <c r="B1862" s="46" t="s">
        <v>401</v>
      </c>
      <c r="C1862" s="47"/>
      <c r="D1862" s="56">
        <v>544.24</v>
      </c>
      <c r="E1862" s="57">
        <v>11984.15</v>
      </c>
      <c r="F1862" s="44">
        <f>E1862/D1862</f>
        <v>22.01997280611495</v>
      </c>
      <c r="G1862" s="110" t="s">
        <v>61</v>
      </c>
      <c r="H1862" s="111"/>
      <c r="I1862" s="112"/>
      <c r="J1862" s="113"/>
      <c r="K1862" s="114"/>
      <c r="L1862" s="5"/>
    </row>
    <row r="1863" spans="1:12" x14ac:dyDescent="0.25">
      <c r="A1863" s="94" t="s">
        <v>424</v>
      </c>
      <c r="B1863" s="46" t="s">
        <v>53</v>
      </c>
      <c r="C1863" s="47"/>
      <c r="D1863" s="56">
        <v>596.66</v>
      </c>
      <c r="E1863" s="57">
        <v>12482.15</v>
      </c>
      <c r="F1863" s="44">
        <f>E1863/D1863</f>
        <v>20.920038212717461</v>
      </c>
      <c r="G1863" s="110" t="s">
        <v>51</v>
      </c>
      <c r="H1863" s="111"/>
      <c r="I1863" s="112"/>
      <c r="J1863" s="113"/>
      <c r="K1863" s="114"/>
      <c r="L1863" s="5"/>
    </row>
    <row r="1864" spans="1:12" x14ac:dyDescent="0.25">
      <c r="A1864" s="48" t="s">
        <v>428</v>
      </c>
      <c r="B1864" s="46" t="s">
        <v>47</v>
      </c>
      <c r="C1864" s="39"/>
      <c r="D1864" s="52">
        <v>214.3</v>
      </c>
      <c r="E1864" s="53">
        <v>4589.66</v>
      </c>
      <c r="F1864" s="44">
        <f>E1864/D1864</f>
        <v>21.416985534297712</v>
      </c>
      <c r="G1864" s="110" t="s">
        <v>58</v>
      </c>
      <c r="H1864" s="111"/>
      <c r="I1864" s="112"/>
      <c r="J1864" s="113"/>
      <c r="K1864" s="114"/>
      <c r="L1864" s="5"/>
    </row>
    <row r="1865" spans="1:12" x14ac:dyDescent="0.25">
      <c r="A1865" s="48"/>
      <c r="B1865" s="35"/>
      <c r="C1865" s="39"/>
      <c r="D1865" s="52"/>
      <c r="E1865" s="53"/>
      <c r="F1865" s="44"/>
      <c r="G1865" s="110" t="s">
        <v>51</v>
      </c>
      <c r="H1865" s="111"/>
      <c r="I1865" s="112"/>
      <c r="J1865" s="113"/>
      <c r="K1865" s="114"/>
      <c r="L1865" s="5"/>
    </row>
    <row r="1866" spans="1:12" x14ac:dyDescent="0.25">
      <c r="A1866" s="48"/>
      <c r="B1866" s="35"/>
      <c r="C1866" s="39"/>
      <c r="D1866" s="52"/>
      <c r="E1866" s="53"/>
      <c r="F1866" s="44"/>
      <c r="G1866" s="77"/>
      <c r="H1866" s="78" t="s">
        <v>69</v>
      </c>
      <c r="I1866" s="79"/>
      <c r="J1866" s="113"/>
      <c r="K1866" s="114"/>
      <c r="L1866" s="5"/>
    </row>
    <row r="1867" spans="1:12" x14ac:dyDescent="0.25">
      <c r="A1867" s="38"/>
      <c r="B1867" s="35"/>
      <c r="C1867" s="39"/>
      <c r="D1867" s="52"/>
      <c r="E1867" s="53"/>
      <c r="F1867" s="44"/>
      <c r="G1867" s="77"/>
      <c r="H1867" s="78" t="s">
        <v>72</v>
      </c>
      <c r="I1867" s="79"/>
      <c r="J1867" s="113"/>
      <c r="K1867" s="114"/>
      <c r="L1867" s="5"/>
    </row>
    <row r="1868" spans="1:12" ht="15.75" thickBot="1" x14ac:dyDescent="0.3">
      <c r="A1868" s="5"/>
      <c r="B1868" s="5"/>
      <c r="C1868" s="7" t="s">
        <v>35</v>
      </c>
      <c r="D1868" s="17">
        <f>SUM(D1860:D1867)</f>
        <v>1863.47</v>
      </c>
      <c r="E1868" s="17">
        <f>SUM(E1860:E1867)</f>
        <v>40308.06</v>
      </c>
      <c r="F1868" s="89">
        <f>AVERAGE(F1860:F1864)</f>
        <v>21.739395807203699</v>
      </c>
      <c r="G1868" s="110" t="s">
        <v>73</v>
      </c>
      <c r="H1868" s="111"/>
      <c r="I1868" s="112"/>
      <c r="J1868" s="113"/>
      <c r="K1868" s="114"/>
      <c r="L1868" s="7" t="s">
        <v>36</v>
      </c>
    </row>
    <row r="1869" spans="1:12" ht="15.75" thickBot="1" x14ac:dyDescent="0.3">
      <c r="A1869" s="5"/>
      <c r="B1869" s="5"/>
      <c r="C1869" s="5"/>
      <c r="D1869" s="5"/>
      <c r="E1869" s="5"/>
      <c r="F1869" s="5"/>
      <c r="G1869" s="130"/>
      <c r="H1869" s="131"/>
      <c r="I1869" s="132"/>
      <c r="J1869" s="133"/>
      <c r="K1869" s="134"/>
      <c r="L1869" s="18">
        <f>J1860+J1861+J1862+J1863+J1864+J1865+J1866+J1867+J1868</f>
        <v>0</v>
      </c>
    </row>
    <row r="1870" spans="1:12" ht="15.75" thickBot="1" x14ac:dyDescent="0.3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</row>
    <row r="1871" spans="1:12" ht="15.75" thickBot="1" x14ac:dyDescent="0.3">
      <c r="A1871" s="19"/>
      <c r="B1871" s="20"/>
      <c r="C1871" s="20"/>
      <c r="D1871" s="20"/>
      <c r="E1871" s="21" t="s">
        <v>13</v>
      </c>
      <c r="F1871" s="5"/>
      <c r="G1871" s="19"/>
      <c r="H1871" s="20"/>
      <c r="I1871" s="20"/>
      <c r="J1871" s="20"/>
      <c r="K1871" s="21" t="s">
        <v>13</v>
      </c>
      <c r="L1871" s="5"/>
    </row>
    <row r="1872" spans="1:12" x14ac:dyDescent="0.25">
      <c r="A1872" s="22" t="s">
        <v>31</v>
      </c>
      <c r="B1872" s="115">
        <v>18598</v>
      </c>
      <c r="C1872" s="116"/>
      <c r="D1872" s="116"/>
      <c r="E1872" s="117"/>
      <c r="F1872" s="5"/>
      <c r="G1872" s="22" t="s">
        <v>32</v>
      </c>
      <c r="H1872" s="115">
        <f>42067+14987</f>
        <v>57054</v>
      </c>
      <c r="I1872" s="116"/>
      <c r="J1872" s="116"/>
      <c r="K1872" s="117"/>
      <c r="L1872" s="5"/>
    </row>
    <row r="1873" spans="1:12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</row>
    <row r="1874" spans="1:12" x14ac:dyDescent="0.25">
      <c r="A1874" s="7" t="s">
        <v>16</v>
      </c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</row>
    <row r="1875" spans="1:12" x14ac:dyDescent="0.25">
      <c r="A1875" s="9" t="s">
        <v>17</v>
      </c>
      <c r="B1875" s="23">
        <f>L1852-C1847</f>
        <v>3853</v>
      </c>
      <c r="C1875" s="5"/>
      <c r="D1875" s="106" t="s">
        <v>18</v>
      </c>
      <c r="E1875" s="107"/>
      <c r="F1875" s="24" t="s">
        <v>19</v>
      </c>
      <c r="G1875" s="9" t="s">
        <v>20</v>
      </c>
      <c r="H1875" s="118">
        <f>B1872+H1872</f>
        <v>75652</v>
      </c>
      <c r="I1875" s="119"/>
      <c r="J1875" s="60"/>
      <c r="K1875" s="5"/>
      <c r="L1875" s="5"/>
    </row>
    <row r="1876" spans="1:12" x14ac:dyDescent="0.25">
      <c r="A1876" s="9" t="s">
        <v>41</v>
      </c>
      <c r="B1876" s="40">
        <f>B1875/D1868</f>
        <v>2.0676479900400864</v>
      </c>
      <c r="C1876" s="5"/>
      <c r="D1876" s="102">
        <f>E1868</f>
        <v>40308.06</v>
      </c>
      <c r="E1876" s="103"/>
      <c r="F1876" s="25">
        <f>H1876/B1875</f>
        <v>11.321012198287049</v>
      </c>
      <c r="G1876" s="9" t="s">
        <v>21</v>
      </c>
      <c r="H1876" s="104">
        <f>L1869+D1876+D1878+D1880+D1882+A1879</f>
        <v>43619.86</v>
      </c>
      <c r="I1876" s="105"/>
      <c r="J1876" s="5"/>
      <c r="K1876" s="5"/>
      <c r="L1876" s="5"/>
    </row>
    <row r="1877" spans="1:12" x14ac:dyDescent="0.25">
      <c r="A1877" s="9" t="s">
        <v>43</v>
      </c>
      <c r="B1877" s="23">
        <f>D1868/B1875*100</f>
        <v>48.364131845315342</v>
      </c>
      <c r="C1877" s="5"/>
      <c r="D1877" s="106" t="s">
        <v>33</v>
      </c>
      <c r="E1877" s="107"/>
      <c r="F1877" s="5"/>
      <c r="G1877" s="13" t="s">
        <v>22</v>
      </c>
      <c r="H1877" s="6"/>
      <c r="I1877" s="26">
        <f>H1875-H1876</f>
        <v>32032.14</v>
      </c>
      <c r="J1877" s="5"/>
      <c r="K1877" s="5"/>
      <c r="L1877" s="5"/>
    </row>
    <row r="1878" spans="1:12" x14ac:dyDescent="0.25">
      <c r="A1878" s="106" t="s">
        <v>40</v>
      </c>
      <c r="B1878" s="107"/>
      <c r="C1878" s="5"/>
      <c r="D1878" s="149">
        <v>1000</v>
      </c>
      <c r="E1878" s="150"/>
      <c r="F1878" s="5"/>
      <c r="G1878" s="5"/>
      <c r="H1878" s="5"/>
      <c r="I1878" s="5"/>
      <c r="J1878" s="5"/>
      <c r="K1878" s="5"/>
      <c r="L1878" s="5"/>
    </row>
    <row r="1879" spans="1:12" x14ac:dyDescent="0.25">
      <c r="A1879" s="108">
        <f>B1875*0.6</f>
        <v>2311.7999999999997</v>
      </c>
      <c r="B1879" s="109"/>
      <c r="C1879" s="5"/>
      <c r="D1879" s="106" t="s">
        <v>34</v>
      </c>
      <c r="E1879" s="107"/>
      <c r="F1879" s="5"/>
      <c r="G1879" s="145" t="s">
        <v>292</v>
      </c>
      <c r="H1879" s="146"/>
      <c r="I1879" s="23">
        <f>B1875/2.3</f>
        <v>1675.217391304348</v>
      </c>
      <c r="J1879" s="60"/>
      <c r="K1879" s="5"/>
      <c r="L1879" s="5"/>
    </row>
    <row r="1880" spans="1:12" x14ac:dyDescent="0.25">
      <c r="A1880" s="5"/>
      <c r="B1880" s="5"/>
      <c r="C1880" s="5"/>
      <c r="D1880" s="108">
        <v>0</v>
      </c>
      <c r="E1880" s="109"/>
      <c r="F1880" s="5"/>
      <c r="G1880" s="145" t="s">
        <v>294</v>
      </c>
      <c r="H1880" s="146"/>
      <c r="I1880" s="23">
        <f>I1879-D1868</f>
        <v>-188.25260869565204</v>
      </c>
      <c r="J1880" s="5"/>
      <c r="K1880" s="5"/>
      <c r="L1880" s="5"/>
    </row>
    <row r="1881" spans="1:12" x14ac:dyDescent="0.25">
      <c r="A1881" s="5"/>
      <c r="B1881" s="5"/>
      <c r="C1881" s="5"/>
      <c r="D1881" s="106" t="s">
        <v>37</v>
      </c>
      <c r="E1881" s="107"/>
      <c r="F1881" s="5"/>
      <c r="G1881" s="147" t="s">
        <v>295</v>
      </c>
      <c r="H1881" s="148"/>
      <c r="I1881" s="86">
        <f>I1880*F1868</f>
        <v>-4092.4979721734167</v>
      </c>
      <c r="J1881" s="87">
        <f>I1877-I1881</f>
        <v>36124.637972173419</v>
      </c>
      <c r="K1881" s="5"/>
      <c r="L1881" s="5"/>
    </row>
    <row r="1882" spans="1:12" x14ac:dyDescent="0.25">
      <c r="A1882" s="5" t="s">
        <v>426</v>
      </c>
      <c r="B1882" s="5"/>
      <c r="C1882" s="5"/>
      <c r="D1882" s="108"/>
      <c r="E1882" s="109"/>
      <c r="F1882" s="5" t="s">
        <v>78</v>
      </c>
      <c r="G1882" s="5"/>
      <c r="H1882" s="5"/>
      <c r="I1882" s="5"/>
      <c r="J1882" s="88" t="s">
        <v>293</v>
      </c>
      <c r="K1882" s="44"/>
      <c r="L1882" s="5"/>
    </row>
    <row r="1883" spans="1:12" x14ac:dyDescent="0.25">
      <c r="A1883">
        <v>3443</v>
      </c>
      <c r="B1883">
        <v>2065.8000000000002</v>
      </c>
    </row>
    <row r="1884" spans="1:12" x14ac:dyDescent="0.25">
      <c r="A1884">
        <v>3853</v>
      </c>
      <c r="B1884">
        <v>2311.8000000000002</v>
      </c>
      <c r="C1884">
        <f>B1884-B1883</f>
        <v>246</v>
      </c>
    </row>
    <row r="1885" spans="1:12" s="99" customFormat="1" x14ac:dyDescent="0.25">
      <c r="A1885" s="99" t="s">
        <v>423</v>
      </c>
    </row>
    <row r="1888" spans="1:12" x14ac:dyDescent="0.25">
      <c r="A1888" s="120" t="s">
        <v>24</v>
      </c>
      <c r="B1888" s="120"/>
      <c r="C1888" s="120"/>
      <c r="D1888" s="120"/>
      <c r="E1888" s="120"/>
      <c r="F1888" s="120"/>
      <c r="G1888" s="120"/>
      <c r="H1888" s="120"/>
      <c r="I1888" s="120"/>
      <c r="J1888" s="120"/>
      <c r="K1888" s="120"/>
      <c r="L1888" s="120"/>
    </row>
    <row r="1889" spans="1:12" x14ac:dyDescent="0.25">
      <c r="A1889" s="120"/>
      <c r="B1889" s="120"/>
      <c r="C1889" s="120"/>
      <c r="D1889" s="120"/>
      <c r="E1889" s="120"/>
      <c r="F1889" s="120"/>
      <c r="G1889" s="120"/>
      <c r="H1889" s="120"/>
      <c r="I1889" s="120"/>
      <c r="J1889" s="120"/>
      <c r="K1889" s="120"/>
      <c r="L1889" s="120"/>
    </row>
    <row r="1890" spans="1:12" x14ac:dyDescent="0.25">
      <c r="A1890" s="1" t="s">
        <v>4</v>
      </c>
      <c r="B1890" s="2"/>
      <c r="C1890" s="90"/>
      <c r="D1890" s="2"/>
      <c r="E1890" s="2"/>
      <c r="F1890" s="2"/>
      <c r="G1890" s="3" t="s">
        <v>5</v>
      </c>
      <c r="H1890" s="3" t="s">
        <v>6</v>
      </c>
      <c r="I1890" s="4" t="s">
        <v>7</v>
      </c>
      <c r="J1890" s="5"/>
      <c r="K1890" s="5"/>
      <c r="L1890" s="5"/>
    </row>
    <row r="1891" spans="1:12" x14ac:dyDescent="0.25">
      <c r="A1891" s="91" t="s">
        <v>359</v>
      </c>
      <c r="B1891" s="92" t="s">
        <v>42</v>
      </c>
      <c r="C1891" s="64"/>
      <c r="D1891" s="66"/>
      <c r="E1891" s="2"/>
      <c r="F1891" s="2"/>
      <c r="G1891" s="91" t="s">
        <v>299</v>
      </c>
      <c r="H1891" s="66"/>
      <c r="I1891" s="33"/>
      <c r="J1891" s="6"/>
      <c r="K1891" s="33"/>
      <c r="L1891" s="6"/>
    </row>
    <row r="1892" spans="1:12" x14ac:dyDescent="0.25">
      <c r="A1892" s="7" t="s">
        <v>2</v>
      </c>
      <c r="B1892" s="5"/>
      <c r="C1892" s="5"/>
      <c r="D1892" s="5"/>
      <c r="E1892" s="5"/>
      <c r="F1892" s="5"/>
      <c r="G1892" s="8" t="s">
        <v>8</v>
      </c>
      <c r="H1892" s="93">
        <v>3</v>
      </c>
      <c r="I1892" s="5"/>
      <c r="J1892" s="5"/>
      <c r="K1892" s="5"/>
      <c r="L1892" s="5"/>
    </row>
    <row r="1893" spans="1:12" x14ac:dyDescent="0.25">
      <c r="A1893" s="7" t="s">
        <v>25</v>
      </c>
      <c r="B1893" s="5"/>
      <c r="C1893" s="7" t="s">
        <v>0</v>
      </c>
      <c r="D1893" s="5"/>
      <c r="E1893" s="5"/>
      <c r="F1893" s="5"/>
      <c r="G1893" s="7" t="s">
        <v>25</v>
      </c>
      <c r="H1893" s="5"/>
      <c r="I1893" s="7" t="s">
        <v>0</v>
      </c>
      <c r="J1893" s="5"/>
      <c r="K1893" s="5"/>
      <c r="L1893" s="5"/>
    </row>
    <row r="1894" spans="1:12" x14ac:dyDescent="0.25">
      <c r="A1894" s="42" t="s">
        <v>428</v>
      </c>
      <c r="B1894" s="6"/>
      <c r="C1894" s="31">
        <f>L1852</f>
        <v>948852</v>
      </c>
      <c r="D1894" s="5"/>
      <c r="E1894" s="5"/>
      <c r="F1894" s="5"/>
      <c r="G1894" s="42" t="s">
        <v>430</v>
      </c>
      <c r="H1894" s="6"/>
      <c r="I1894" s="9"/>
      <c r="J1894" s="5"/>
      <c r="K1894" s="5"/>
      <c r="L1894" s="5"/>
    </row>
    <row r="1895" spans="1:12" ht="16.5" thickBot="1" x14ac:dyDescent="0.3">
      <c r="A1895" s="7"/>
      <c r="B1895" s="62"/>
      <c r="C1895" s="62"/>
      <c r="D1895" s="62"/>
      <c r="E1895" s="5"/>
      <c r="F1895" s="5"/>
      <c r="G1895" s="10"/>
      <c r="H1895" s="5"/>
      <c r="I1895" s="5"/>
      <c r="J1895" s="5"/>
      <c r="K1895" s="5"/>
      <c r="L1895" s="5"/>
    </row>
    <row r="1896" spans="1:12" ht="15.75" thickBot="1" x14ac:dyDescent="0.3">
      <c r="A1896" s="121" t="s">
        <v>9</v>
      </c>
      <c r="B1896" s="122"/>
      <c r="C1896" s="123"/>
      <c r="D1896" s="5"/>
      <c r="E1896" s="5"/>
      <c r="F1896" s="5"/>
      <c r="G1896" s="121" t="s">
        <v>26</v>
      </c>
      <c r="H1896" s="122"/>
      <c r="I1896" s="123"/>
      <c r="J1896" s="5"/>
      <c r="K1896" s="5"/>
      <c r="L1896" s="5"/>
    </row>
    <row r="1897" spans="1:12" x14ac:dyDescent="0.25">
      <c r="A1897" s="30" t="s">
        <v>38</v>
      </c>
      <c r="B1897" s="11"/>
      <c r="C1897" s="11"/>
      <c r="D1897" s="11"/>
      <c r="E1897" s="6"/>
      <c r="F1897" s="5"/>
      <c r="G1897" s="30"/>
      <c r="H1897" s="11"/>
      <c r="I1897" s="11"/>
      <c r="J1897" s="11"/>
      <c r="K1897" s="11"/>
      <c r="L1897" s="6"/>
    </row>
    <row r="1898" spans="1:12" ht="15.75" thickBot="1" x14ac:dyDescent="0.3">
      <c r="A1898" s="7"/>
      <c r="B1898" s="7"/>
      <c r="C1898" s="7"/>
      <c r="D1898" s="5"/>
      <c r="E1898" s="5"/>
      <c r="F1898" s="5"/>
      <c r="G1898" s="7" t="str">
        <f>A1900</f>
        <v>Oshifo/Outapi/Ruacana</v>
      </c>
      <c r="H1898" s="7"/>
      <c r="I1898" s="7"/>
      <c r="J1898" s="5"/>
      <c r="K1898" s="5"/>
      <c r="L1898" s="5"/>
    </row>
    <row r="1899" spans="1:12" ht="15.75" thickBot="1" x14ac:dyDescent="0.3">
      <c r="A1899" s="121"/>
      <c r="B1899" s="122"/>
      <c r="C1899" s="124"/>
      <c r="D1899" s="12" t="s">
        <v>1</v>
      </c>
      <c r="E1899" s="32"/>
      <c r="F1899" s="5"/>
      <c r="G1899" s="121" t="s">
        <v>27</v>
      </c>
      <c r="H1899" s="122"/>
      <c r="I1899" s="123"/>
      <c r="J1899" s="5"/>
      <c r="K1899" s="12" t="s">
        <v>1</v>
      </c>
      <c r="L1899" s="32">
        <v>950632</v>
      </c>
    </row>
    <row r="1900" spans="1:12" x14ac:dyDescent="0.25">
      <c r="A1900" s="30" t="s">
        <v>429</v>
      </c>
      <c r="B1900" s="11"/>
      <c r="C1900" s="11"/>
      <c r="D1900" s="11"/>
      <c r="E1900" s="6"/>
      <c r="F1900" s="5"/>
      <c r="G1900" s="30" t="s">
        <v>364</v>
      </c>
      <c r="H1900" s="11"/>
      <c r="I1900" s="11"/>
      <c r="J1900" s="11"/>
      <c r="K1900" s="11"/>
      <c r="L1900" s="6"/>
    </row>
    <row r="1901" spans="1:12" x14ac:dyDescent="0.25">
      <c r="A1901" s="76"/>
      <c r="B1901" s="11"/>
      <c r="C1901" s="11"/>
      <c r="D1901" s="11"/>
      <c r="E1901" s="6"/>
      <c r="F1901" s="5"/>
      <c r="G1901" s="34"/>
      <c r="H1901" s="11"/>
      <c r="I1901" s="11"/>
      <c r="J1901" s="11"/>
      <c r="K1901" s="11"/>
      <c r="L1901" s="6"/>
    </row>
    <row r="1902" spans="1:12" x14ac:dyDescent="0.25">
      <c r="A1902" s="13"/>
      <c r="B1902" s="11"/>
      <c r="C1902" s="11"/>
      <c r="D1902" s="11"/>
      <c r="E1902" s="6"/>
      <c r="F1902" s="5"/>
      <c r="G1902" s="13"/>
      <c r="H1902" s="11"/>
      <c r="I1902" s="11"/>
      <c r="J1902" s="11"/>
      <c r="K1902" s="11"/>
      <c r="L1902" s="6"/>
    </row>
    <row r="1903" spans="1:12" x14ac:dyDescent="0.25">
      <c r="A1903" s="13"/>
      <c r="B1903" s="11"/>
      <c r="C1903" s="11"/>
      <c r="D1903" s="11"/>
      <c r="E1903" s="6"/>
      <c r="F1903" s="5"/>
      <c r="G1903" s="13"/>
      <c r="H1903" s="11"/>
      <c r="I1903" s="11"/>
      <c r="J1903" s="11"/>
      <c r="K1903" s="11"/>
      <c r="L1903" s="6"/>
    </row>
    <row r="1904" spans="1:12" ht="15.75" thickBot="1" x14ac:dyDescent="0.3">
      <c r="A1904" s="13"/>
      <c r="B1904" s="11"/>
      <c r="C1904" s="11" t="s">
        <v>29</v>
      </c>
      <c r="D1904" s="43"/>
      <c r="E1904" s="6"/>
      <c r="F1904" s="5"/>
      <c r="G1904" s="13"/>
      <c r="H1904" s="11"/>
      <c r="I1904" s="14" t="s">
        <v>28</v>
      </c>
      <c r="J1904" s="43"/>
      <c r="K1904" s="59"/>
      <c r="L1904" s="6"/>
    </row>
    <row r="1905" spans="1:12" ht="15.75" thickBot="1" x14ac:dyDescent="0.3">
      <c r="A1905" s="15" t="s">
        <v>10</v>
      </c>
      <c r="B1905" s="5"/>
      <c r="C1905" s="5"/>
      <c r="D1905" s="5"/>
      <c r="E1905" s="5"/>
      <c r="F1905" s="5"/>
      <c r="G1905" s="15" t="s">
        <v>14</v>
      </c>
      <c r="H1905" s="5"/>
      <c r="I1905" s="5"/>
      <c r="J1905" s="5"/>
      <c r="K1905" s="5"/>
      <c r="L1905" s="5"/>
    </row>
    <row r="1906" spans="1:12" ht="15.75" thickBot="1" x14ac:dyDescent="0.3">
      <c r="A1906" s="121" t="s">
        <v>11</v>
      </c>
      <c r="B1906" s="122"/>
      <c r="C1906" s="123"/>
      <c r="D1906" s="16" t="s">
        <v>12</v>
      </c>
      <c r="E1906" s="16" t="s">
        <v>13</v>
      </c>
      <c r="F1906" s="5"/>
      <c r="G1906" s="121" t="s">
        <v>15</v>
      </c>
      <c r="H1906" s="122"/>
      <c r="I1906" s="123"/>
      <c r="J1906" s="121"/>
      <c r="K1906" s="123"/>
      <c r="L1906" s="5"/>
    </row>
    <row r="1907" spans="1:12" x14ac:dyDescent="0.25">
      <c r="A1907" s="45">
        <v>45719</v>
      </c>
      <c r="B1907" s="46" t="s">
        <v>47</v>
      </c>
      <c r="C1907" s="47"/>
      <c r="D1907" s="56">
        <f>467+275.7</f>
        <v>742.7</v>
      </c>
      <c r="E1907" s="57">
        <v>15903.02</v>
      </c>
      <c r="F1907" s="44">
        <f>E1907/D1907</f>
        <v>21.4124410933082</v>
      </c>
      <c r="G1907" s="125" t="s">
        <v>69</v>
      </c>
      <c r="H1907" s="126"/>
      <c r="I1907" s="127"/>
      <c r="J1907" s="128">
        <v>0</v>
      </c>
      <c r="K1907" s="129"/>
      <c r="L1907" s="5"/>
    </row>
    <row r="1908" spans="1:12" x14ac:dyDescent="0.25">
      <c r="A1908" s="94"/>
      <c r="B1908" s="46"/>
      <c r="C1908" s="47"/>
      <c r="D1908" s="56"/>
      <c r="E1908" s="57"/>
      <c r="F1908" s="44" t="e">
        <f>E1908/D1908</f>
        <v>#DIV/0!</v>
      </c>
      <c r="G1908" s="110" t="s">
        <v>59</v>
      </c>
      <c r="H1908" s="111"/>
      <c r="I1908" s="112"/>
      <c r="J1908" s="113"/>
      <c r="K1908" s="114"/>
      <c r="L1908" s="5"/>
    </row>
    <row r="1909" spans="1:12" x14ac:dyDescent="0.25">
      <c r="A1909" s="94"/>
      <c r="B1909" s="46"/>
      <c r="C1909" s="47"/>
      <c r="D1909" s="56"/>
      <c r="E1909" s="57"/>
      <c r="F1909" s="44" t="e">
        <f>E1909/D1909</f>
        <v>#DIV/0!</v>
      </c>
      <c r="G1909" s="110" t="s">
        <v>61</v>
      </c>
      <c r="H1909" s="111"/>
      <c r="I1909" s="112"/>
      <c r="J1909" s="113"/>
      <c r="K1909" s="114"/>
      <c r="L1909" s="5"/>
    </row>
    <row r="1910" spans="1:12" x14ac:dyDescent="0.25">
      <c r="A1910" s="94"/>
      <c r="B1910" s="46"/>
      <c r="C1910" s="47"/>
      <c r="D1910" s="56"/>
      <c r="E1910" s="57"/>
      <c r="F1910" s="44" t="e">
        <f>E1910/D1910</f>
        <v>#DIV/0!</v>
      </c>
      <c r="G1910" s="110" t="s">
        <v>51</v>
      </c>
      <c r="H1910" s="111"/>
      <c r="I1910" s="112"/>
      <c r="J1910" s="113"/>
      <c r="K1910" s="114"/>
      <c r="L1910" s="5"/>
    </row>
    <row r="1911" spans="1:12" x14ac:dyDescent="0.25">
      <c r="A1911" s="48"/>
      <c r="B1911" s="46"/>
      <c r="C1911" s="39"/>
      <c r="D1911" s="52"/>
      <c r="E1911" s="53"/>
      <c r="F1911" s="44" t="e">
        <f>E1911/D1911</f>
        <v>#DIV/0!</v>
      </c>
      <c r="G1911" s="110" t="s">
        <v>58</v>
      </c>
      <c r="H1911" s="111"/>
      <c r="I1911" s="112"/>
      <c r="J1911" s="113"/>
      <c r="K1911" s="114"/>
      <c r="L1911" s="5"/>
    </row>
    <row r="1912" spans="1:12" x14ac:dyDescent="0.25">
      <c r="A1912" s="48"/>
      <c r="B1912" s="35"/>
      <c r="C1912" s="39"/>
      <c r="D1912" s="52"/>
      <c r="E1912" s="53"/>
      <c r="F1912" s="44"/>
      <c r="G1912" s="110" t="s">
        <v>51</v>
      </c>
      <c r="H1912" s="111"/>
      <c r="I1912" s="112"/>
      <c r="J1912" s="113"/>
      <c r="K1912" s="114"/>
      <c r="L1912" s="5"/>
    </row>
    <row r="1913" spans="1:12" x14ac:dyDescent="0.25">
      <c r="A1913" s="48"/>
      <c r="B1913" s="35"/>
      <c r="C1913" s="39"/>
      <c r="D1913" s="52"/>
      <c r="E1913" s="53"/>
      <c r="F1913" s="44"/>
      <c r="G1913" s="77"/>
      <c r="H1913" s="78" t="s">
        <v>69</v>
      </c>
      <c r="I1913" s="79"/>
      <c r="J1913" s="113"/>
      <c r="K1913" s="114"/>
      <c r="L1913" s="5"/>
    </row>
    <row r="1914" spans="1:12" x14ac:dyDescent="0.25">
      <c r="A1914" s="38"/>
      <c r="B1914" s="35"/>
      <c r="C1914" s="39"/>
      <c r="D1914" s="52"/>
      <c r="E1914" s="53"/>
      <c r="F1914" s="44"/>
      <c r="G1914" s="77"/>
      <c r="H1914" s="78" t="s">
        <v>72</v>
      </c>
      <c r="I1914" s="79"/>
      <c r="J1914" s="113"/>
      <c r="K1914" s="114"/>
      <c r="L1914" s="5"/>
    </row>
    <row r="1915" spans="1:12" ht="15.75" thickBot="1" x14ac:dyDescent="0.3">
      <c r="A1915" s="5"/>
      <c r="B1915" s="5"/>
      <c r="C1915" s="7" t="s">
        <v>35</v>
      </c>
      <c r="D1915" s="17">
        <f>SUM(D1907:D1914)</f>
        <v>742.7</v>
      </c>
      <c r="E1915" s="17">
        <f>SUM(E1907:E1914)</f>
        <v>15903.02</v>
      </c>
      <c r="F1915" s="89" t="e">
        <f>AVERAGE(F1907:F1911)</f>
        <v>#DIV/0!</v>
      </c>
      <c r="G1915" s="110" t="s">
        <v>73</v>
      </c>
      <c r="H1915" s="111"/>
      <c r="I1915" s="112"/>
      <c r="J1915" s="113"/>
      <c r="K1915" s="114"/>
      <c r="L1915" s="7" t="s">
        <v>36</v>
      </c>
    </row>
    <row r="1916" spans="1:12" ht="15.75" thickBot="1" x14ac:dyDescent="0.3">
      <c r="A1916" s="5"/>
      <c r="B1916" s="5"/>
      <c r="C1916" s="5"/>
      <c r="D1916" s="5"/>
      <c r="E1916" s="5"/>
      <c r="F1916" s="5"/>
      <c r="G1916" s="130"/>
      <c r="H1916" s="131"/>
      <c r="I1916" s="132"/>
      <c r="J1916" s="133"/>
      <c r="K1916" s="134"/>
      <c r="L1916" s="18">
        <f>J1907+J1908+J1909+J1910+J1911+J1912+J1913+J1914+J1915</f>
        <v>0</v>
      </c>
    </row>
    <row r="1917" spans="1:12" ht="15.75" thickBot="1" x14ac:dyDescent="0.3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</row>
    <row r="1918" spans="1:12" ht="15.75" thickBot="1" x14ac:dyDescent="0.3">
      <c r="A1918" s="19"/>
      <c r="B1918" s="20"/>
      <c r="C1918" s="20"/>
      <c r="D1918" s="20"/>
      <c r="E1918" s="21" t="s">
        <v>13</v>
      </c>
      <c r="F1918" s="5"/>
      <c r="G1918" s="19"/>
      <c r="H1918" s="20"/>
      <c r="I1918" s="20"/>
      <c r="J1918" s="20"/>
      <c r="K1918" s="21" t="s">
        <v>13</v>
      </c>
      <c r="L1918" s="5"/>
    </row>
    <row r="1919" spans="1:12" x14ac:dyDescent="0.25">
      <c r="A1919" s="22" t="s">
        <v>31</v>
      </c>
      <c r="B1919" s="115">
        <v>33291</v>
      </c>
      <c r="C1919" s="116"/>
      <c r="D1919" s="116"/>
      <c r="E1919" s="117"/>
      <c r="F1919" s="5"/>
      <c r="G1919" s="22" t="s">
        <v>32</v>
      </c>
      <c r="H1919" s="115">
        <v>0</v>
      </c>
      <c r="I1919" s="116"/>
      <c r="J1919" s="116"/>
      <c r="K1919" s="117"/>
      <c r="L1919" s="5"/>
    </row>
    <row r="1920" spans="1:12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</row>
    <row r="1921" spans="1:12" x14ac:dyDescent="0.25">
      <c r="A1921" s="7" t="s">
        <v>16</v>
      </c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</row>
    <row r="1922" spans="1:12" x14ac:dyDescent="0.25">
      <c r="A1922" s="9" t="s">
        <v>17</v>
      </c>
      <c r="B1922" s="23">
        <f>L1899-C1894</f>
        <v>1780</v>
      </c>
      <c r="C1922" s="5"/>
      <c r="D1922" s="106" t="s">
        <v>18</v>
      </c>
      <c r="E1922" s="107"/>
      <c r="F1922" s="24" t="s">
        <v>19</v>
      </c>
      <c r="G1922" s="9" t="s">
        <v>20</v>
      </c>
      <c r="H1922" s="118">
        <f>B1919+H1919</f>
        <v>33291</v>
      </c>
      <c r="I1922" s="119"/>
      <c r="J1922" s="60"/>
      <c r="K1922" s="5"/>
      <c r="L1922" s="5"/>
    </row>
    <row r="1923" spans="1:12" x14ac:dyDescent="0.25">
      <c r="A1923" s="9" t="s">
        <v>41</v>
      </c>
      <c r="B1923" s="40">
        <f>B1922/D1915</f>
        <v>2.3966608320990979</v>
      </c>
      <c r="C1923" s="5"/>
      <c r="D1923" s="102">
        <f>E1915</f>
        <v>15903.02</v>
      </c>
      <c r="E1923" s="103"/>
      <c r="F1923" s="25">
        <f>H1923/B1922</f>
        <v>9.8713595505617988</v>
      </c>
      <c r="G1923" s="9" t="s">
        <v>21</v>
      </c>
      <c r="H1923" s="104">
        <f>L1916+D1923+D1925+D1927+D1929+A1926</f>
        <v>17571.02</v>
      </c>
      <c r="I1923" s="105"/>
      <c r="J1923" s="5"/>
      <c r="K1923" s="5"/>
      <c r="L1923" s="5"/>
    </row>
    <row r="1924" spans="1:12" x14ac:dyDescent="0.25">
      <c r="A1924" s="9" t="s">
        <v>43</v>
      </c>
      <c r="B1924" s="23">
        <f>D1915/B1922*100</f>
        <v>41.724719101123597</v>
      </c>
      <c r="C1924" s="5"/>
      <c r="D1924" s="106" t="s">
        <v>33</v>
      </c>
      <c r="E1924" s="107"/>
      <c r="F1924" s="5"/>
      <c r="G1924" s="13" t="s">
        <v>22</v>
      </c>
      <c r="H1924" s="6"/>
      <c r="I1924" s="26">
        <f>H1922-H1923</f>
        <v>15719.98</v>
      </c>
      <c r="J1924" s="5"/>
      <c r="K1924" s="5"/>
      <c r="L1924" s="5"/>
    </row>
    <row r="1925" spans="1:12" x14ac:dyDescent="0.25">
      <c r="A1925" s="106" t="s">
        <v>40</v>
      </c>
      <c r="B1925" s="107"/>
      <c r="C1925" s="5"/>
      <c r="D1925" s="149">
        <v>600</v>
      </c>
      <c r="E1925" s="150"/>
      <c r="F1925" s="5"/>
      <c r="G1925" s="5"/>
      <c r="H1925" s="5"/>
      <c r="I1925" s="5"/>
      <c r="J1925" s="5"/>
      <c r="K1925" s="5"/>
      <c r="L1925" s="5"/>
    </row>
    <row r="1926" spans="1:12" x14ac:dyDescent="0.25">
      <c r="A1926" s="108">
        <f>B1922*0.6</f>
        <v>1068</v>
      </c>
      <c r="B1926" s="109"/>
      <c r="C1926" s="5"/>
      <c r="D1926" s="106" t="s">
        <v>34</v>
      </c>
      <c r="E1926" s="107"/>
      <c r="F1926" s="5"/>
      <c r="G1926" s="145" t="s">
        <v>292</v>
      </c>
      <c r="H1926" s="146"/>
      <c r="I1926" s="23">
        <f>B1922/2.3</f>
        <v>773.91304347826087</v>
      </c>
      <c r="J1926" s="60"/>
      <c r="K1926" s="5"/>
      <c r="L1926" s="5"/>
    </row>
    <row r="1927" spans="1:12" x14ac:dyDescent="0.25">
      <c r="A1927" s="5"/>
      <c r="B1927" s="5"/>
      <c r="C1927" s="5"/>
      <c r="D1927" s="108">
        <v>0</v>
      </c>
      <c r="E1927" s="109"/>
      <c r="F1927" s="5"/>
      <c r="G1927" s="145" t="s">
        <v>294</v>
      </c>
      <c r="H1927" s="146"/>
      <c r="I1927" s="23">
        <f>I1926-D1915</f>
        <v>31.213043478260829</v>
      </c>
      <c r="J1927" s="5"/>
      <c r="K1927" s="5"/>
      <c r="L1927" s="5"/>
    </row>
    <row r="1928" spans="1:12" x14ac:dyDescent="0.25">
      <c r="A1928" s="5"/>
      <c r="B1928" s="5"/>
      <c r="C1928" s="5"/>
      <c r="D1928" s="106" t="s">
        <v>37</v>
      </c>
      <c r="E1928" s="107"/>
      <c r="F1928" s="5"/>
      <c r="G1928" s="147" t="s">
        <v>295</v>
      </c>
      <c r="H1928" s="148"/>
      <c r="I1928" s="86" t="e">
        <f>I1927*F1915</f>
        <v>#DIV/0!</v>
      </c>
      <c r="J1928" s="87" t="e">
        <f>I1924-I1928</f>
        <v>#DIV/0!</v>
      </c>
      <c r="K1928" s="5"/>
      <c r="L1928" s="5"/>
    </row>
    <row r="1929" spans="1:12" x14ac:dyDescent="0.25">
      <c r="A1929" s="5"/>
      <c r="B1929" s="5"/>
      <c r="C1929" s="5"/>
      <c r="D1929" s="108"/>
      <c r="E1929" s="109"/>
      <c r="F1929" s="5" t="s">
        <v>78</v>
      </c>
      <c r="G1929" s="5"/>
      <c r="H1929" s="5"/>
      <c r="I1929" s="5"/>
      <c r="J1929" s="88" t="s">
        <v>293</v>
      </c>
      <c r="K1929" s="44"/>
      <c r="L1929" s="5"/>
    </row>
    <row r="1931" spans="1:12" s="49" customFormat="1" x14ac:dyDescent="0.25"/>
    <row r="1934" spans="1:12" x14ac:dyDescent="0.25">
      <c r="A1934" s="120" t="s">
        <v>24</v>
      </c>
      <c r="B1934" s="120"/>
      <c r="C1934" s="120"/>
      <c r="D1934" s="120"/>
      <c r="E1934" s="120"/>
      <c r="F1934" s="120"/>
      <c r="G1934" s="120"/>
      <c r="H1934" s="120"/>
      <c r="I1934" s="120"/>
      <c r="J1934" s="120"/>
      <c r="K1934" s="120"/>
      <c r="L1934" s="120"/>
    </row>
    <row r="1935" spans="1:12" x14ac:dyDescent="0.25">
      <c r="A1935" s="120"/>
      <c r="B1935" s="120"/>
      <c r="C1935" s="120"/>
      <c r="D1935" s="120"/>
      <c r="E1935" s="120"/>
      <c r="F1935" s="120"/>
      <c r="G1935" s="120"/>
      <c r="H1935" s="120"/>
      <c r="I1935" s="120"/>
      <c r="J1935" s="120"/>
      <c r="K1935" s="120"/>
      <c r="L1935" s="120"/>
    </row>
    <row r="1936" spans="1:12" x14ac:dyDescent="0.25">
      <c r="A1936" s="1" t="s">
        <v>4</v>
      </c>
      <c r="B1936" s="2"/>
      <c r="C1936" s="90"/>
      <c r="D1936" s="2"/>
      <c r="E1936" s="2"/>
      <c r="F1936" s="2"/>
      <c r="G1936" s="3" t="s">
        <v>5</v>
      </c>
      <c r="H1936" s="3" t="s">
        <v>6</v>
      </c>
      <c r="I1936" s="4" t="s">
        <v>7</v>
      </c>
      <c r="J1936" s="5"/>
      <c r="K1936" s="5"/>
      <c r="L1936" s="5"/>
    </row>
    <row r="1937" spans="1:12" x14ac:dyDescent="0.25">
      <c r="A1937" s="91" t="s">
        <v>359</v>
      </c>
      <c r="B1937" s="92" t="s">
        <v>42</v>
      </c>
      <c r="C1937" s="64"/>
      <c r="D1937" s="66"/>
      <c r="E1937" s="2"/>
      <c r="F1937" s="2"/>
      <c r="G1937" s="91" t="s">
        <v>299</v>
      </c>
      <c r="H1937" s="66"/>
      <c r="I1937" s="33"/>
      <c r="J1937" s="6"/>
      <c r="K1937" s="33"/>
      <c r="L1937" s="6"/>
    </row>
    <row r="1938" spans="1:12" x14ac:dyDescent="0.25">
      <c r="A1938" s="7" t="s">
        <v>2</v>
      </c>
      <c r="B1938" s="5"/>
      <c r="C1938" s="5"/>
      <c r="D1938" s="5"/>
      <c r="E1938" s="5"/>
      <c r="F1938" s="5"/>
      <c r="G1938" s="8" t="s">
        <v>8</v>
      </c>
      <c r="H1938" s="93">
        <v>3</v>
      </c>
      <c r="I1938" s="5"/>
      <c r="J1938" s="5"/>
      <c r="K1938" s="5"/>
      <c r="L1938" s="5"/>
    </row>
    <row r="1939" spans="1:12" x14ac:dyDescent="0.25">
      <c r="A1939" s="7" t="s">
        <v>25</v>
      </c>
      <c r="B1939" s="5"/>
      <c r="C1939" s="7" t="s">
        <v>0</v>
      </c>
      <c r="D1939" s="5"/>
      <c r="E1939" s="5"/>
      <c r="F1939" s="5"/>
      <c r="G1939" s="7" t="s">
        <v>25</v>
      </c>
      <c r="H1939" s="5"/>
      <c r="I1939" s="7" t="s">
        <v>0</v>
      </c>
      <c r="J1939" s="5"/>
      <c r="K1939" s="5"/>
      <c r="L1939" s="5"/>
    </row>
    <row r="1940" spans="1:12" x14ac:dyDescent="0.25">
      <c r="A1940" s="42">
        <v>45719</v>
      </c>
      <c r="B1940" s="6"/>
      <c r="C1940" s="31">
        <f>L1899</f>
        <v>950632</v>
      </c>
      <c r="D1940" s="5"/>
      <c r="E1940" s="5"/>
      <c r="F1940" s="5"/>
      <c r="G1940" s="42">
        <v>45780</v>
      </c>
      <c r="H1940" s="6"/>
      <c r="I1940" s="9"/>
      <c r="J1940" s="5"/>
      <c r="K1940" s="5"/>
      <c r="L1940" s="5"/>
    </row>
    <row r="1941" spans="1:12" ht="16.5" thickBot="1" x14ac:dyDescent="0.3">
      <c r="A1941" s="7"/>
      <c r="B1941" s="62"/>
      <c r="C1941" s="62"/>
      <c r="D1941" s="62"/>
      <c r="E1941" s="5"/>
      <c r="F1941" s="5"/>
      <c r="G1941" s="10"/>
      <c r="H1941" s="5"/>
      <c r="I1941" s="5"/>
      <c r="J1941" s="5"/>
      <c r="K1941" s="5"/>
      <c r="L1941" s="5"/>
    </row>
    <row r="1942" spans="1:12" ht="15.75" thickBot="1" x14ac:dyDescent="0.3">
      <c r="A1942" s="121" t="s">
        <v>9</v>
      </c>
      <c r="B1942" s="122"/>
      <c r="C1942" s="123"/>
      <c r="D1942" s="5"/>
      <c r="E1942" s="5"/>
      <c r="F1942" s="5"/>
      <c r="G1942" s="121" t="s">
        <v>26</v>
      </c>
      <c r="H1942" s="122"/>
      <c r="I1942" s="123"/>
      <c r="J1942" s="5"/>
      <c r="K1942" s="5"/>
      <c r="L1942" s="5"/>
    </row>
    <row r="1943" spans="1:12" x14ac:dyDescent="0.25">
      <c r="A1943" s="30" t="s">
        <v>38</v>
      </c>
      <c r="B1943" s="11"/>
      <c r="C1943" s="11"/>
      <c r="D1943" s="11"/>
      <c r="E1943" s="6"/>
      <c r="F1943" s="5"/>
      <c r="G1943" s="30"/>
      <c r="H1943" s="11"/>
      <c r="I1943" s="11"/>
      <c r="J1943" s="11"/>
      <c r="K1943" s="11"/>
      <c r="L1943" s="6"/>
    </row>
    <row r="1944" spans="1:12" ht="15.75" thickBot="1" x14ac:dyDescent="0.3">
      <c r="A1944" s="7"/>
      <c r="B1944" s="7"/>
      <c r="C1944" s="7"/>
      <c r="D1944" s="5"/>
      <c r="E1944" s="5"/>
      <c r="F1944" s="5"/>
      <c r="G1944" s="7" t="str">
        <f>A1946</f>
        <v>Cape Town</v>
      </c>
      <c r="H1944" s="7"/>
      <c r="I1944" s="7"/>
      <c r="J1944" s="5"/>
      <c r="K1944" s="5"/>
      <c r="L1944" s="5"/>
    </row>
    <row r="1945" spans="1:12" ht="15.75" thickBot="1" x14ac:dyDescent="0.3">
      <c r="A1945" s="121"/>
      <c r="B1945" s="122"/>
      <c r="C1945" s="124"/>
      <c r="D1945" s="12" t="s">
        <v>1</v>
      </c>
      <c r="E1945" s="32"/>
      <c r="F1945" s="5"/>
      <c r="G1945" s="121" t="s">
        <v>27</v>
      </c>
      <c r="H1945" s="122"/>
      <c r="I1945" s="123"/>
      <c r="J1945" s="5"/>
      <c r="K1945" s="12" t="s">
        <v>1</v>
      </c>
      <c r="L1945" s="32">
        <v>953677</v>
      </c>
    </row>
    <row r="1946" spans="1:12" x14ac:dyDescent="0.25">
      <c r="A1946" s="30" t="s">
        <v>65</v>
      </c>
      <c r="B1946" s="11"/>
      <c r="C1946" s="11"/>
      <c r="D1946" s="11"/>
      <c r="E1946" s="6"/>
      <c r="F1946" s="5"/>
      <c r="G1946" s="30" t="s">
        <v>364</v>
      </c>
      <c r="H1946" s="11"/>
      <c r="I1946" s="11"/>
      <c r="J1946" s="11"/>
      <c r="K1946" s="11"/>
      <c r="L1946" s="6"/>
    </row>
    <row r="1947" spans="1:12" x14ac:dyDescent="0.25">
      <c r="A1947" s="76"/>
      <c r="B1947" s="11"/>
      <c r="C1947" s="11"/>
      <c r="D1947" s="11"/>
      <c r="E1947" s="6"/>
      <c r="F1947" s="5"/>
      <c r="G1947" s="34"/>
      <c r="H1947" s="11"/>
      <c r="I1947" s="11"/>
      <c r="J1947" s="11"/>
      <c r="K1947" s="11"/>
      <c r="L1947" s="6"/>
    </row>
    <row r="1948" spans="1:12" x14ac:dyDescent="0.25">
      <c r="A1948" s="13"/>
      <c r="B1948" s="11"/>
      <c r="C1948" s="11"/>
      <c r="D1948" s="11"/>
      <c r="E1948" s="6"/>
      <c r="F1948" s="5"/>
      <c r="G1948" s="13"/>
      <c r="H1948" s="11"/>
      <c r="I1948" s="11"/>
      <c r="J1948" s="11"/>
      <c r="K1948" s="11"/>
      <c r="L1948" s="6"/>
    </row>
    <row r="1949" spans="1:12" x14ac:dyDescent="0.25">
      <c r="A1949" s="13"/>
      <c r="B1949" s="11"/>
      <c r="C1949" s="11"/>
      <c r="D1949" s="11"/>
      <c r="E1949" s="6"/>
      <c r="F1949" s="5"/>
      <c r="G1949" s="13"/>
      <c r="H1949" s="11"/>
      <c r="I1949" s="11"/>
      <c r="J1949" s="11"/>
      <c r="K1949" s="11"/>
      <c r="L1949" s="6"/>
    </row>
    <row r="1950" spans="1:12" ht="15.75" thickBot="1" x14ac:dyDescent="0.3">
      <c r="A1950" s="13"/>
      <c r="B1950" s="11"/>
      <c r="C1950" s="11" t="s">
        <v>29</v>
      </c>
      <c r="D1950" s="43"/>
      <c r="E1950" s="6"/>
      <c r="F1950" s="5"/>
      <c r="G1950" s="13"/>
      <c r="H1950" s="11"/>
      <c r="I1950" s="14" t="s">
        <v>28</v>
      </c>
      <c r="J1950" s="43"/>
      <c r="K1950" s="59"/>
      <c r="L1950" s="6"/>
    </row>
    <row r="1951" spans="1:12" ht="15.75" thickBot="1" x14ac:dyDescent="0.3">
      <c r="A1951" s="15" t="s">
        <v>10</v>
      </c>
      <c r="B1951" s="5"/>
      <c r="C1951" s="5"/>
      <c r="D1951" s="5"/>
      <c r="E1951" s="5"/>
      <c r="F1951" s="5"/>
      <c r="G1951" s="15" t="s">
        <v>14</v>
      </c>
      <c r="H1951" s="5"/>
      <c r="I1951" s="5"/>
      <c r="J1951" s="5"/>
      <c r="K1951" s="5"/>
      <c r="L1951" s="5"/>
    </row>
    <row r="1952" spans="1:12" ht="15.75" thickBot="1" x14ac:dyDescent="0.3">
      <c r="A1952" s="121" t="s">
        <v>11</v>
      </c>
      <c r="B1952" s="122"/>
      <c r="C1952" s="123"/>
      <c r="D1952" s="16" t="s">
        <v>12</v>
      </c>
      <c r="E1952" s="16" t="s">
        <v>13</v>
      </c>
      <c r="F1952" s="5"/>
      <c r="G1952" s="121" t="s">
        <v>15</v>
      </c>
      <c r="H1952" s="122"/>
      <c r="I1952" s="123"/>
      <c r="J1952" s="121"/>
      <c r="K1952" s="123"/>
      <c r="L1952" s="5"/>
    </row>
    <row r="1953" spans="1:12" x14ac:dyDescent="0.25">
      <c r="A1953" s="45">
        <v>45750</v>
      </c>
      <c r="B1953" s="46" t="s">
        <v>66</v>
      </c>
      <c r="C1953" s="47"/>
      <c r="D1953" s="56">
        <v>349</v>
      </c>
      <c r="E1953" s="57">
        <v>7685</v>
      </c>
      <c r="F1953" s="44">
        <f>E1953/D1953</f>
        <v>22.020057306590257</v>
      </c>
      <c r="G1953" s="125" t="s">
        <v>69</v>
      </c>
      <c r="H1953" s="126"/>
      <c r="I1953" s="127"/>
      <c r="J1953" s="128">
        <v>0</v>
      </c>
      <c r="K1953" s="129"/>
      <c r="L1953" s="5"/>
    </row>
    <row r="1954" spans="1:12" x14ac:dyDescent="0.25">
      <c r="A1954" s="94" t="s">
        <v>431</v>
      </c>
      <c r="B1954" s="46" t="s">
        <v>432</v>
      </c>
      <c r="C1954" s="47"/>
      <c r="D1954" s="56">
        <v>200</v>
      </c>
      <c r="E1954" s="57">
        <v>4458</v>
      </c>
      <c r="F1954" s="44">
        <f>E1954/D1954</f>
        <v>22.29</v>
      </c>
      <c r="G1954" s="110" t="s">
        <v>59</v>
      </c>
      <c r="H1954" s="111"/>
      <c r="I1954" s="112"/>
      <c r="J1954" s="113"/>
      <c r="K1954" s="114"/>
      <c r="L1954" s="5"/>
    </row>
    <row r="1955" spans="1:12" x14ac:dyDescent="0.25">
      <c r="A1955" s="94" t="s">
        <v>433</v>
      </c>
      <c r="B1955" s="46" t="s">
        <v>66</v>
      </c>
      <c r="C1955" s="47"/>
      <c r="D1955" s="56">
        <v>600.69000000000005</v>
      </c>
      <c r="E1955" s="57">
        <v>13527.55</v>
      </c>
      <c r="F1955" s="44">
        <f>E1955/D1955</f>
        <v>22.520018645224656</v>
      </c>
      <c r="G1955" s="110" t="s">
        <v>61</v>
      </c>
      <c r="H1955" s="111"/>
      <c r="I1955" s="112"/>
      <c r="J1955" s="113"/>
      <c r="K1955" s="114"/>
      <c r="L1955" s="5"/>
    </row>
    <row r="1956" spans="1:12" x14ac:dyDescent="0.25">
      <c r="A1956" s="94">
        <v>45872</v>
      </c>
      <c r="B1956" s="46" t="s">
        <v>47</v>
      </c>
      <c r="C1956" s="47"/>
      <c r="D1956" s="56">
        <v>456.36700000000002</v>
      </c>
      <c r="E1956" s="57">
        <v>9999</v>
      </c>
      <c r="F1956" s="44">
        <f>E1956/D1956</f>
        <v>21.909997874517657</v>
      </c>
      <c r="G1956" s="110" t="s">
        <v>51</v>
      </c>
      <c r="H1956" s="111"/>
      <c r="I1956" s="112"/>
      <c r="J1956" s="113"/>
      <c r="K1956" s="114"/>
      <c r="L1956" s="5"/>
    </row>
    <row r="1957" spans="1:12" x14ac:dyDescent="0.25">
      <c r="A1957" s="48"/>
      <c r="B1957" s="46"/>
      <c r="C1957" s="39"/>
      <c r="D1957" s="52"/>
      <c r="E1957" s="53"/>
      <c r="F1957" s="44"/>
      <c r="G1957" s="110" t="s">
        <v>58</v>
      </c>
      <c r="H1957" s="111"/>
      <c r="I1957" s="112"/>
      <c r="J1957" s="113"/>
      <c r="K1957" s="114"/>
      <c r="L1957" s="5"/>
    </row>
    <row r="1958" spans="1:12" x14ac:dyDescent="0.25">
      <c r="A1958" s="48"/>
      <c r="B1958" s="35"/>
      <c r="C1958" s="39"/>
      <c r="D1958" s="52"/>
      <c r="E1958" s="53"/>
      <c r="F1958" s="44"/>
      <c r="G1958" s="110" t="s">
        <v>51</v>
      </c>
      <c r="H1958" s="111"/>
      <c r="I1958" s="112"/>
      <c r="J1958" s="113"/>
      <c r="K1958" s="114"/>
      <c r="L1958" s="5"/>
    </row>
    <row r="1959" spans="1:12" x14ac:dyDescent="0.25">
      <c r="A1959" s="48"/>
      <c r="B1959" s="35"/>
      <c r="C1959" s="39"/>
      <c r="D1959" s="52"/>
      <c r="E1959" s="53"/>
      <c r="F1959" s="44"/>
      <c r="G1959" s="77"/>
      <c r="H1959" s="78" t="s">
        <v>69</v>
      </c>
      <c r="I1959" s="79"/>
      <c r="J1959" s="113"/>
      <c r="K1959" s="114"/>
      <c r="L1959" s="5"/>
    </row>
    <row r="1960" spans="1:12" x14ac:dyDescent="0.25">
      <c r="A1960" s="38"/>
      <c r="B1960" s="35"/>
      <c r="C1960" s="39"/>
      <c r="D1960" s="52"/>
      <c r="E1960" s="53"/>
      <c r="F1960" s="44"/>
      <c r="G1960" s="77"/>
      <c r="H1960" s="78" t="s">
        <v>72</v>
      </c>
      <c r="I1960" s="79"/>
      <c r="J1960" s="113"/>
      <c r="K1960" s="114"/>
      <c r="L1960" s="5"/>
    </row>
    <row r="1961" spans="1:12" ht="15.75" thickBot="1" x14ac:dyDescent="0.3">
      <c r="A1961" s="5"/>
      <c r="B1961" s="5"/>
      <c r="C1961" s="7" t="s">
        <v>35</v>
      </c>
      <c r="D1961" s="17">
        <f>SUM(D1953:D1960)</f>
        <v>1606.057</v>
      </c>
      <c r="E1961" s="17">
        <f>SUM(E1953:E1960)</f>
        <v>35669.550000000003</v>
      </c>
      <c r="F1961" s="89">
        <f>AVERAGE(F1953:F1957)</f>
        <v>22.185018456583141</v>
      </c>
      <c r="G1961" s="110" t="s">
        <v>73</v>
      </c>
      <c r="H1961" s="111"/>
      <c r="I1961" s="112"/>
      <c r="J1961" s="113"/>
      <c r="K1961" s="114"/>
      <c r="L1961" s="7" t="s">
        <v>36</v>
      </c>
    </row>
    <row r="1962" spans="1:12" ht="15.75" thickBot="1" x14ac:dyDescent="0.3">
      <c r="A1962" s="5"/>
      <c r="B1962" s="5"/>
      <c r="C1962" s="5"/>
      <c r="D1962" s="5"/>
      <c r="E1962" s="5"/>
      <c r="F1962" s="5"/>
      <c r="G1962" s="130"/>
      <c r="H1962" s="131"/>
      <c r="I1962" s="132"/>
      <c r="J1962" s="133"/>
      <c r="K1962" s="134"/>
      <c r="L1962" s="18">
        <f>J1953+J1954+J1955+J1956+J1957+J1958+J1959+J1960+J1961</f>
        <v>0</v>
      </c>
    </row>
    <row r="1963" spans="1:12" ht="15.75" thickBot="1" x14ac:dyDescent="0.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</row>
    <row r="1964" spans="1:12" ht="15.75" thickBot="1" x14ac:dyDescent="0.3">
      <c r="A1964" s="19"/>
      <c r="B1964" s="20"/>
      <c r="C1964" s="20"/>
      <c r="D1964" s="20"/>
      <c r="E1964" s="21" t="s">
        <v>13</v>
      </c>
      <c r="F1964" s="5"/>
      <c r="G1964" s="19"/>
      <c r="H1964" s="20"/>
      <c r="I1964" s="20"/>
      <c r="J1964" s="20"/>
      <c r="K1964" s="21" t="s">
        <v>13</v>
      </c>
      <c r="L1964" s="5"/>
    </row>
    <row r="1965" spans="1:12" x14ac:dyDescent="0.25">
      <c r="A1965" s="22" t="s">
        <v>31</v>
      </c>
      <c r="B1965" s="115">
        <v>19131</v>
      </c>
      <c r="C1965" s="116"/>
      <c r="D1965" s="116"/>
      <c r="E1965" s="117"/>
      <c r="F1965" s="5"/>
      <c r="G1965" s="22" t="s">
        <v>32</v>
      </c>
      <c r="H1965" s="115">
        <v>43195</v>
      </c>
      <c r="I1965" s="116"/>
      <c r="J1965" s="116"/>
      <c r="K1965" s="117"/>
      <c r="L1965" s="5"/>
    </row>
    <row r="1966" spans="1:12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</row>
    <row r="1967" spans="1:12" x14ac:dyDescent="0.25">
      <c r="A1967" s="7" t="s">
        <v>16</v>
      </c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</row>
    <row r="1968" spans="1:12" x14ac:dyDescent="0.25">
      <c r="A1968" s="9" t="s">
        <v>17</v>
      </c>
      <c r="B1968" s="23">
        <f>L1945-C1940</f>
        <v>3045</v>
      </c>
      <c r="C1968" s="5"/>
      <c r="D1968" s="106" t="s">
        <v>18</v>
      </c>
      <c r="E1968" s="107"/>
      <c r="F1968" s="24" t="s">
        <v>19</v>
      </c>
      <c r="G1968" s="9" t="s">
        <v>20</v>
      </c>
      <c r="H1968" s="118">
        <f>B1965+H1965</f>
        <v>62326</v>
      </c>
      <c r="I1968" s="119"/>
      <c r="J1968" s="60"/>
      <c r="K1968" s="5"/>
      <c r="L1968" s="5"/>
    </row>
    <row r="1969" spans="1:12" x14ac:dyDescent="0.25">
      <c r="A1969" s="9" t="s">
        <v>41</v>
      </c>
      <c r="B1969" s="40">
        <f>B1968/D1961</f>
        <v>1.8959476531654853</v>
      </c>
      <c r="C1969" s="5"/>
      <c r="D1969" s="102">
        <f>E1961</f>
        <v>35669.550000000003</v>
      </c>
      <c r="E1969" s="103"/>
      <c r="F1969" s="25">
        <f>H1969/B1968</f>
        <v>12.642545155993433</v>
      </c>
      <c r="G1969" s="9" t="s">
        <v>21</v>
      </c>
      <c r="H1969" s="104">
        <f>L1962+D1969+D1971+D1973+D1975+A1972</f>
        <v>38496.550000000003</v>
      </c>
      <c r="I1969" s="105"/>
      <c r="J1969" s="5"/>
      <c r="K1969" s="5"/>
      <c r="L1969" s="5"/>
    </row>
    <row r="1970" spans="1:12" x14ac:dyDescent="0.25">
      <c r="A1970" s="9" t="s">
        <v>43</v>
      </c>
      <c r="B1970" s="23">
        <f>D1961/B1968*100</f>
        <v>52.744072249589493</v>
      </c>
      <c r="C1970" s="5"/>
      <c r="D1970" s="106" t="s">
        <v>33</v>
      </c>
      <c r="E1970" s="107"/>
      <c r="F1970" s="5"/>
      <c r="G1970" s="13" t="s">
        <v>22</v>
      </c>
      <c r="H1970" s="6"/>
      <c r="I1970" s="26">
        <f>H1968-H1969</f>
        <v>23829.449999999997</v>
      </c>
      <c r="J1970" s="5"/>
      <c r="K1970" s="5"/>
      <c r="L1970" s="5"/>
    </row>
    <row r="1971" spans="1:12" x14ac:dyDescent="0.25">
      <c r="A1971" s="106" t="s">
        <v>40</v>
      </c>
      <c r="B1971" s="107"/>
      <c r="C1971" s="5"/>
      <c r="D1971" s="149">
        <v>1000</v>
      </c>
      <c r="E1971" s="150"/>
      <c r="F1971" s="5"/>
      <c r="G1971" s="5"/>
      <c r="H1971" s="5"/>
      <c r="I1971" s="5"/>
      <c r="J1971" s="5"/>
      <c r="K1971" s="5"/>
      <c r="L1971" s="5"/>
    </row>
    <row r="1972" spans="1:12" x14ac:dyDescent="0.25">
      <c r="A1972" s="108">
        <f>B1968*0.6</f>
        <v>1827</v>
      </c>
      <c r="B1972" s="109"/>
      <c r="C1972" s="5"/>
      <c r="D1972" s="106" t="s">
        <v>34</v>
      </c>
      <c r="E1972" s="107"/>
      <c r="F1972" s="5"/>
      <c r="G1972" s="145" t="s">
        <v>292</v>
      </c>
      <c r="H1972" s="146"/>
      <c r="I1972" s="23">
        <f>B1968/2.3</f>
        <v>1323.913043478261</v>
      </c>
      <c r="J1972" s="60"/>
      <c r="K1972" s="5"/>
      <c r="L1972" s="5"/>
    </row>
    <row r="1973" spans="1:12" x14ac:dyDescent="0.25">
      <c r="A1973" s="5"/>
      <c r="B1973" s="5"/>
      <c r="C1973" s="5"/>
      <c r="D1973" s="108">
        <v>0</v>
      </c>
      <c r="E1973" s="109"/>
      <c r="F1973" s="5"/>
      <c r="G1973" s="145" t="s">
        <v>294</v>
      </c>
      <c r="H1973" s="146"/>
      <c r="I1973" s="23">
        <f>I1972-D1961</f>
        <v>-282.14395652173903</v>
      </c>
      <c r="J1973" s="5"/>
      <c r="K1973" s="5"/>
      <c r="L1973" s="5"/>
    </row>
    <row r="1974" spans="1:12" x14ac:dyDescent="0.25">
      <c r="A1974" s="5"/>
      <c r="B1974" s="5"/>
      <c r="C1974" s="5"/>
      <c r="D1974" s="106" t="s">
        <v>37</v>
      </c>
      <c r="E1974" s="107"/>
      <c r="F1974" s="5"/>
      <c r="G1974" s="147" t="s">
        <v>295</v>
      </c>
      <c r="H1974" s="148"/>
      <c r="I1974" s="86">
        <f>I1973*F1961</f>
        <v>-6259.3688828481718</v>
      </c>
      <c r="J1974" s="87">
        <f>I1970-I1974</f>
        <v>30088.818882848169</v>
      </c>
      <c r="K1974" s="5"/>
      <c r="L1974" s="5"/>
    </row>
    <row r="1975" spans="1:12" x14ac:dyDescent="0.25">
      <c r="A1975" s="5"/>
      <c r="B1975" s="5"/>
      <c r="C1975" s="5"/>
      <c r="D1975" s="108"/>
      <c r="E1975" s="109"/>
      <c r="F1975" s="5" t="s">
        <v>78</v>
      </c>
      <c r="G1975" s="5"/>
      <c r="H1975" s="5"/>
      <c r="I1975" s="5"/>
      <c r="J1975" s="88" t="s">
        <v>293</v>
      </c>
      <c r="K1975" s="44"/>
      <c r="L1975" s="5"/>
    </row>
    <row r="1977" spans="1:12" s="49" customFormat="1" x14ac:dyDescent="0.25"/>
    <row r="1980" spans="1:12" x14ac:dyDescent="0.25">
      <c r="A1980" s="120" t="s">
        <v>24</v>
      </c>
      <c r="B1980" s="120"/>
      <c r="C1980" s="120"/>
      <c r="D1980" s="120"/>
      <c r="E1980" s="120"/>
      <c r="F1980" s="120"/>
      <c r="G1980" s="120"/>
      <c r="H1980" s="120"/>
      <c r="I1980" s="120"/>
      <c r="J1980" s="120"/>
      <c r="K1980" s="120"/>
      <c r="L1980" s="120"/>
    </row>
    <row r="1981" spans="1:12" x14ac:dyDescent="0.25">
      <c r="A1981" s="120"/>
      <c r="B1981" s="120"/>
      <c r="C1981" s="120"/>
      <c r="D1981" s="120"/>
      <c r="E1981" s="120"/>
      <c r="F1981" s="120"/>
      <c r="G1981" s="120"/>
      <c r="H1981" s="120"/>
      <c r="I1981" s="120"/>
      <c r="J1981" s="120"/>
      <c r="K1981" s="120"/>
      <c r="L1981" s="120"/>
    </row>
    <row r="1982" spans="1:12" x14ac:dyDescent="0.25">
      <c r="A1982" s="1" t="s">
        <v>4</v>
      </c>
      <c r="B1982" s="2"/>
      <c r="C1982" s="90"/>
      <c r="D1982" s="2"/>
      <c r="E1982" s="2"/>
      <c r="F1982" s="2"/>
      <c r="G1982" s="3" t="s">
        <v>5</v>
      </c>
      <c r="H1982" s="3" t="s">
        <v>6</v>
      </c>
      <c r="I1982" s="4" t="s">
        <v>7</v>
      </c>
      <c r="J1982" s="5"/>
      <c r="K1982" s="5"/>
      <c r="L1982" s="5"/>
    </row>
    <row r="1983" spans="1:12" x14ac:dyDescent="0.25">
      <c r="A1983" s="91" t="s">
        <v>359</v>
      </c>
      <c r="B1983" s="92" t="s">
        <v>42</v>
      </c>
      <c r="C1983" s="64"/>
      <c r="D1983" s="66"/>
      <c r="E1983" s="2"/>
      <c r="F1983" s="2"/>
      <c r="G1983" s="91" t="s">
        <v>299</v>
      </c>
      <c r="H1983" s="66"/>
      <c r="I1983" s="33"/>
      <c r="J1983" s="6"/>
      <c r="K1983" s="33"/>
      <c r="L1983" s="6"/>
    </row>
    <row r="1984" spans="1:12" x14ac:dyDescent="0.25">
      <c r="A1984" s="7" t="s">
        <v>2</v>
      </c>
      <c r="B1984" s="5"/>
      <c r="C1984" s="5"/>
      <c r="D1984" s="5"/>
      <c r="E1984" s="5"/>
      <c r="F1984" s="5"/>
      <c r="G1984" s="8" t="s">
        <v>8</v>
      </c>
      <c r="H1984" s="93">
        <v>3</v>
      </c>
      <c r="I1984" s="5"/>
      <c r="J1984" s="5"/>
      <c r="K1984" s="5"/>
      <c r="L1984" s="5"/>
    </row>
    <row r="1985" spans="1:12" x14ac:dyDescent="0.25">
      <c r="A1985" s="7" t="s">
        <v>25</v>
      </c>
      <c r="B1985" s="5"/>
      <c r="C1985" s="7" t="s">
        <v>0</v>
      </c>
      <c r="D1985" s="5"/>
      <c r="E1985" s="5"/>
      <c r="F1985" s="5"/>
      <c r="G1985" s="7" t="s">
        <v>25</v>
      </c>
      <c r="H1985" s="5"/>
      <c r="I1985" s="7" t="s">
        <v>0</v>
      </c>
      <c r="J1985" s="5"/>
      <c r="K1985" s="5"/>
      <c r="L1985" s="5"/>
    </row>
    <row r="1986" spans="1:12" x14ac:dyDescent="0.25">
      <c r="A1986" s="42" t="s">
        <v>434</v>
      </c>
      <c r="B1986" s="6"/>
      <c r="C1986" s="31">
        <f>L1945</f>
        <v>953677</v>
      </c>
      <c r="D1986" s="5"/>
      <c r="E1986" s="5"/>
      <c r="F1986" s="5"/>
      <c r="G1986" s="42">
        <v>45780</v>
      </c>
      <c r="H1986" s="6"/>
      <c r="I1986" s="9"/>
      <c r="J1986" s="5"/>
      <c r="K1986" s="5"/>
      <c r="L1986" s="5"/>
    </row>
    <row r="1987" spans="1:12" ht="16.5" thickBot="1" x14ac:dyDescent="0.3">
      <c r="A1987" s="7"/>
      <c r="B1987" s="62"/>
      <c r="C1987" s="62"/>
      <c r="D1987" s="62"/>
      <c r="E1987" s="5"/>
      <c r="F1987" s="5"/>
      <c r="G1987" s="10"/>
      <c r="H1987" s="5"/>
      <c r="I1987" s="5"/>
      <c r="J1987" s="5"/>
      <c r="K1987" s="5"/>
      <c r="L1987" s="5"/>
    </row>
    <row r="1988" spans="1:12" ht="15.75" thickBot="1" x14ac:dyDescent="0.3">
      <c r="A1988" s="121" t="s">
        <v>9</v>
      </c>
      <c r="B1988" s="122"/>
      <c r="C1988" s="123"/>
      <c r="D1988" s="5"/>
      <c r="E1988" s="5"/>
      <c r="F1988" s="5"/>
      <c r="G1988" s="121" t="s">
        <v>26</v>
      </c>
      <c r="H1988" s="122"/>
      <c r="I1988" s="123"/>
      <c r="J1988" s="5"/>
      <c r="K1988" s="5"/>
      <c r="L1988" s="5"/>
    </row>
    <row r="1989" spans="1:12" x14ac:dyDescent="0.25">
      <c r="A1989" s="30" t="s">
        <v>38</v>
      </c>
      <c r="B1989" s="11"/>
      <c r="C1989" s="11"/>
      <c r="D1989" s="11"/>
      <c r="E1989" s="6"/>
      <c r="F1989" s="5"/>
      <c r="G1989" s="30"/>
      <c r="H1989" s="11"/>
      <c r="I1989" s="11"/>
      <c r="J1989" s="11"/>
      <c r="K1989" s="11"/>
      <c r="L1989" s="6"/>
    </row>
    <row r="1990" spans="1:12" ht="15.75" thickBot="1" x14ac:dyDescent="0.3">
      <c r="A1990" s="7"/>
      <c r="B1990" s="7"/>
      <c r="C1990" s="7"/>
      <c r="D1990" s="5"/>
      <c r="E1990" s="5"/>
      <c r="F1990" s="5"/>
      <c r="G1990" s="7" t="str">
        <f>A1992</f>
        <v>Cape Town</v>
      </c>
      <c r="H1990" s="7"/>
      <c r="I1990" s="7"/>
      <c r="J1990" s="5"/>
      <c r="K1990" s="5"/>
      <c r="L1990" s="5"/>
    </row>
    <row r="1991" spans="1:12" ht="15.75" thickBot="1" x14ac:dyDescent="0.3">
      <c r="A1991" s="121"/>
      <c r="B1991" s="122"/>
      <c r="C1991" s="124"/>
      <c r="D1991" s="12" t="s">
        <v>1</v>
      </c>
      <c r="E1991" s="32"/>
      <c r="F1991" s="5"/>
      <c r="G1991" s="121" t="s">
        <v>27</v>
      </c>
      <c r="H1991" s="122"/>
      <c r="I1991" s="123"/>
      <c r="J1991" s="5"/>
      <c r="K1991" s="12" t="s">
        <v>1</v>
      </c>
      <c r="L1991" s="32">
        <v>956725</v>
      </c>
    </row>
    <row r="1992" spans="1:12" x14ac:dyDescent="0.25">
      <c r="A1992" s="30" t="s">
        <v>65</v>
      </c>
      <c r="B1992" s="11"/>
      <c r="C1992" s="11"/>
      <c r="D1992" s="11"/>
      <c r="E1992" s="6"/>
      <c r="F1992" s="5"/>
      <c r="G1992" s="30" t="s">
        <v>364</v>
      </c>
      <c r="H1992" s="11"/>
      <c r="I1992" s="11"/>
      <c r="J1992" s="11"/>
      <c r="K1992" s="11"/>
      <c r="L1992" s="6"/>
    </row>
    <row r="1993" spans="1:12" x14ac:dyDescent="0.25">
      <c r="A1993" s="76" t="s">
        <v>435</v>
      </c>
      <c r="B1993" s="11"/>
      <c r="C1993" s="11"/>
      <c r="D1993" s="11"/>
      <c r="E1993" s="6"/>
      <c r="F1993" s="5"/>
      <c r="G1993" s="34"/>
      <c r="H1993" s="11"/>
      <c r="I1993" s="11"/>
      <c r="J1993" s="11"/>
      <c r="K1993" s="11"/>
      <c r="L1993" s="6"/>
    </row>
    <row r="1994" spans="1:12" x14ac:dyDescent="0.25">
      <c r="A1994" s="13"/>
      <c r="B1994" s="11"/>
      <c r="C1994" s="11"/>
      <c r="D1994" s="11"/>
      <c r="E1994" s="6"/>
      <c r="F1994" s="5"/>
      <c r="G1994" s="13"/>
      <c r="H1994" s="11"/>
      <c r="I1994" s="11"/>
      <c r="J1994" s="11"/>
      <c r="K1994" s="11"/>
      <c r="L1994" s="6"/>
    </row>
    <row r="1995" spans="1:12" x14ac:dyDescent="0.25">
      <c r="A1995" s="13"/>
      <c r="B1995" s="11"/>
      <c r="C1995" s="11"/>
      <c r="D1995" s="11"/>
      <c r="E1995" s="6"/>
      <c r="F1995" s="5"/>
      <c r="G1995" s="13"/>
      <c r="H1995" s="11"/>
      <c r="I1995" s="11"/>
      <c r="J1995" s="11"/>
      <c r="K1995" s="11"/>
      <c r="L1995" s="6"/>
    </row>
    <row r="1996" spans="1:12" ht="15.75" thickBot="1" x14ac:dyDescent="0.3">
      <c r="A1996" s="13"/>
      <c r="B1996" s="11"/>
      <c r="C1996" s="11" t="s">
        <v>29</v>
      </c>
      <c r="D1996" s="43"/>
      <c r="E1996" s="6"/>
      <c r="F1996" s="5"/>
      <c r="G1996" s="13"/>
      <c r="H1996" s="11"/>
      <c r="I1996" s="14" t="s">
        <v>28</v>
      </c>
      <c r="J1996" s="43"/>
      <c r="K1996" s="59"/>
      <c r="L1996" s="6"/>
    </row>
    <row r="1997" spans="1:12" ht="15.75" thickBot="1" x14ac:dyDescent="0.3">
      <c r="A1997" s="15" t="s">
        <v>10</v>
      </c>
      <c r="B1997" s="5"/>
      <c r="C1997" s="5"/>
      <c r="D1997" s="5"/>
      <c r="E1997" s="5"/>
      <c r="F1997" s="5"/>
      <c r="G1997" s="15" t="s">
        <v>14</v>
      </c>
      <c r="H1997" s="5"/>
      <c r="I1997" s="5"/>
      <c r="J1997" s="5"/>
      <c r="K1997" s="5"/>
      <c r="L1997" s="5"/>
    </row>
    <row r="1998" spans="1:12" ht="15.75" thickBot="1" x14ac:dyDescent="0.3">
      <c r="A1998" s="121" t="s">
        <v>11</v>
      </c>
      <c r="B1998" s="122"/>
      <c r="C1998" s="123"/>
      <c r="D1998" s="16" t="s">
        <v>12</v>
      </c>
      <c r="E1998" s="16" t="s">
        <v>13</v>
      </c>
      <c r="F1998" s="5"/>
      <c r="G1998" s="121" t="s">
        <v>15</v>
      </c>
      <c r="H1998" s="122"/>
      <c r="I1998" s="123"/>
      <c r="J1998" s="121"/>
      <c r="K1998" s="123"/>
      <c r="L1998" s="5"/>
    </row>
    <row r="1999" spans="1:12" x14ac:dyDescent="0.25">
      <c r="A1999" s="45">
        <v>45903</v>
      </c>
      <c r="B1999" s="46" t="s">
        <v>66</v>
      </c>
      <c r="C1999" s="47"/>
      <c r="D1999" s="56">
        <v>241.33</v>
      </c>
      <c r="E1999" s="57">
        <v>5434.75</v>
      </c>
      <c r="F1999" s="44">
        <f>E1999/D1999</f>
        <v>22.519993370074172</v>
      </c>
      <c r="G1999" s="125" t="s">
        <v>69</v>
      </c>
      <c r="H1999" s="126"/>
      <c r="I1999" s="127"/>
      <c r="J1999" s="128">
        <v>0</v>
      </c>
      <c r="K1999" s="129"/>
      <c r="L1999" s="5"/>
    </row>
    <row r="2000" spans="1:12" x14ac:dyDescent="0.25">
      <c r="A2000" s="94">
        <v>45964</v>
      </c>
      <c r="B2000" s="46" t="s">
        <v>66</v>
      </c>
      <c r="C2000" s="47"/>
      <c r="D2000" s="56">
        <v>656.54</v>
      </c>
      <c r="E2000" s="57">
        <v>14785.3</v>
      </c>
      <c r="F2000" s="44">
        <f>E2000/D2000</f>
        <v>22.520029244219696</v>
      </c>
      <c r="G2000" s="110" t="s">
        <v>59</v>
      </c>
      <c r="H2000" s="111"/>
      <c r="I2000" s="112"/>
      <c r="J2000" s="113"/>
      <c r="K2000" s="114"/>
      <c r="L2000" s="5"/>
    </row>
    <row r="2001" spans="1:12" x14ac:dyDescent="0.25">
      <c r="A2001" s="94" t="s">
        <v>436</v>
      </c>
      <c r="B2001" s="46" t="s">
        <v>47</v>
      </c>
      <c r="C2001" s="47"/>
      <c r="D2001" s="56">
        <v>456.3</v>
      </c>
      <c r="E2001" s="57">
        <v>9999</v>
      </c>
      <c r="F2001" s="44">
        <f>E2001/D2001</f>
        <v>21.913214990138066</v>
      </c>
      <c r="G2001" s="110" t="s">
        <v>61</v>
      </c>
      <c r="H2001" s="111"/>
      <c r="I2001" s="112"/>
      <c r="J2001" s="113"/>
      <c r="K2001" s="114"/>
      <c r="L2001" s="5"/>
    </row>
    <row r="2002" spans="1:12" x14ac:dyDescent="0.25">
      <c r="A2002" s="94"/>
      <c r="B2002" s="46"/>
      <c r="C2002" s="47"/>
      <c r="D2002" s="56"/>
      <c r="E2002" s="57"/>
      <c r="F2002" s="44"/>
      <c r="G2002" s="110" t="s">
        <v>51</v>
      </c>
      <c r="H2002" s="111"/>
      <c r="I2002" s="112"/>
      <c r="J2002" s="113"/>
      <c r="K2002" s="114"/>
      <c r="L2002" s="5"/>
    </row>
    <row r="2003" spans="1:12" x14ac:dyDescent="0.25">
      <c r="A2003" s="48"/>
      <c r="B2003" s="46"/>
      <c r="C2003" s="39"/>
      <c r="D2003" s="52"/>
      <c r="E2003" s="53"/>
      <c r="F2003" s="44"/>
      <c r="G2003" s="110" t="s">
        <v>58</v>
      </c>
      <c r="H2003" s="111"/>
      <c r="I2003" s="112"/>
      <c r="J2003" s="113"/>
      <c r="K2003" s="114"/>
      <c r="L2003" s="5"/>
    </row>
    <row r="2004" spans="1:12" x14ac:dyDescent="0.25">
      <c r="A2004" s="48"/>
      <c r="B2004" s="35"/>
      <c r="C2004" s="39"/>
      <c r="D2004" s="52"/>
      <c r="E2004" s="53"/>
      <c r="F2004" s="44"/>
      <c r="G2004" s="110" t="s">
        <v>51</v>
      </c>
      <c r="H2004" s="111"/>
      <c r="I2004" s="112"/>
      <c r="J2004" s="113"/>
      <c r="K2004" s="114"/>
      <c r="L2004" s="5"/>
    </row>
    <row r="2005" spans="1:12" x14ac:dyDescent="0.25">
      <c r="A2005" s="48"/>
      <c r="B2005" s="35"/>
      <c r="C2005" s="39"/>
      <c r="D2005" s="52"/>
      <c r="E2005" s="53"/>
      <c r="F2005" s="44"/>
      <c r="G2005" s="77"/>
      <c r="H2005" s="78" t="s">
        <v>69</v>
      </c>
      <c r="I2005" s="79"/>
      <c r="J2005" s="113"/>
      <c r="K2005" s="114"/>
      <c r="L2005" s="5"/>
    </row>
    <row r="2006" spans="1:12" x14ac:dyDescent="0.25">
      <c r="A2006" s="38"/>
      <c r="B2006" s="35"/>
      <c r="C2006" s="39"/>
      <c r="D2006" s="52"/>
      <c r="E2006" s="53"/>
      <c r="F2006" s="44"/>
      <c r="G2006" s="77"/>
      <c r="H2006" s="78" t="s">
        <v>72</v>
      </c>
      <c r="I2006" s="79"/>
      <c r="J2006" s="113"/>
      <c r="K2006" s="114"/>
      <c r="L2006" s="5"/>
    </row>
    <row r="2007" spans="1:12" ht="15.75" thickBot="1" x14ac:dyDescent="0.3">
      <c r="A2007" s="5"/>
      <c r="B2007" s="5"/>
      <c r="C2007" s="7" t="s">
        <v>35</v>
      </c>
      <c r="D2007" s="17">
        <f>SUM(D1999:D2006)</f>
        <v>1354.17</v>
      </c>
      <c r="E2007" s="17">
        <f>SUM(E1999:E2006)</f>
        <v>30219.05</v>
      </c>
      <c r="F2007" s="89">
        <f>AVERAGE(F1999:F2003)</f>
        <v>22.317745868143977</v>
      </c>
      <c r="G2007" s="110" t="s">
        <v>73</v>
      </c>
      <c r="H2007" s="111"/>
      <c r="I2007" s="112"/>
      <c r="J2007" s="113"/>
      <c r="K2007" s="114"/>
      <c r="L2007" s="7" t="s">
        <v>36</v>
      </c>
    </row>
    <row r="2008" spans="1:12" ht="15.75" thickBot="1" x14ac:dyDescent="0.3">
      <c r="A2008" s="5"/>
      <c r="B2008" s="5"/>
      <c r="C2008" s="5"/>
      <c r="D2008" s="5"/>
      <c r="E2008" s="5"/>
      <c r="F2008" s="5"/>
      <c r="G2008" s="130"/>
      <c r="H2008" s="131"/>
      <c r="I2008" s="132"/>
      <c r="J2008" s="133"/>
      <c r="K2008" s="134"/>
      <c r="L2008" s="18">
        <f>J1999+J2000+J2001+J2002+J2003+J2004+J2005+J2006+J2007</f>
        <v>0</v>
      </c>
    </row>
    <row r="2009" spans="1:12" ht="15.75" thickBot="1" x14ac:dyDescent="0.3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</row>
    <row r="2010" spans="1:12" ht="15.75" thickBot="1" x14ac:dyDescent="0.3">
      <c r="A2010" s="19"/>
      <c r="B2010" s="20"/>
      <c r="C2010" s="20"/>
      <c r="D2010" s="20"/>
      <c r="E2010" s="21" t="s">
        <v>13</v>
      </c>
      <c r="F2010" s="5"/>
      <c r="G2010" s="19"/>
      <c r="H2010" s="20"/>
      <c r="I2010" s="20"/>
      <c r="J2010" s="20"/>
      <c r="K2010" s="21" t="s">
        <v>13</v>
      </c>
      <c r="L2010" s="5"/>
    </row>
    <row r="2011" spans="1:12" x14ac:dyDescent="0.25">
      <c r="A2011" s="22" t="s">
        <v>31</v>
      </c>
      <c r="B2011" s="115">
        <v>19131</v>
      </c>
      <c r="C2011" s="116"/>
      <c r="D2011" s="116"/>
      <c r="E2011" s="117"/>
      <c r="F2011" s="5"/>
      <c r="G2011" s="22" t="s">
        <v>32</v>
      </c>
      <c r="H2011" s="115">
        <v>43195</v>
      </c>
      <c r="I2011" s="116"/>
      <c r="J2011" s="116"/>
      <c r="K2011" s="117"/>
      <c r="L2011" s="5"/>
    </row>
    <row r="2012" spans="1:12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</row>
    <row r="2013" spans="1:12" x14ac:dyDescent="0.25">
      <c r="A2013" s="7" t="s">
        <v>16</v>
      </c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</row>
    <row r="2014" spans="1:12" x14ac:dyDescent="0.25">
      <c r="A2014" s="9" t="s">
        <v>17</v>
      </c>
      <c r="B2014" s="23">
        <f>L1991-C1986</f>
        <v>3048</v>
      </c>
      <c r="C2014" s="5"/>
      <c r="D2014" s="106" t="s">
        <v>18</v>
      </c>
      <c r="E2014" s="107"/>
      <c r="F2014" s="24" t="s">
        <v>19</v>
      </c>
      <c r="G2014" s="9" t="s">
        <v>20</v>
      </c>
      <c r="H2014" s="118">
        <f>B2011+H2011</f>
        <v>62326</v>
      </c>
      <c r="I2014" s="119"/>
      <c r="J2014" s="60"/>
      <c r="K2014" s="5"/>
      <c r="L2014" s="5"/>
    </row>
    <row r="2015" spans="1:12" x14ac:dyDescent="0.25">
      <c r="A2015" s="9" t="s">
        <v>41</v>
      </c>
      <c r="B2015" s="40">
        <f>B2014/D2007</f>
        <v>2.2508252287378983</v>
      </c>
      <c r="C2015" s="5"/>
      <c r="D2015" s="102">
        <f>E2007</f>
        <v>30219.05</v>
      </c>
      <c r="E2015" s="103"/>
      <c r="F2015" s="25">
        <f>H2015/B2014</f>
        <v>10.842470472440944</v>
      </c>
      <c r="G2015" s="9" t="s">
        <v>21</v>
      </c>
      <c r="H2015" s="104">
        <f>L2008+D2015+D2017+D2019+D2021+A2018</f>
        <v>33047.85</v>
      </c>
      <c r="I2015" s="105"/>
      <c r="J2015" s="5"/>
      <c r="K2015" s="5"/>
      <c r="L2015" s="5"/>
    </row>
    <row r="2016" spans="1:12" x14ac:dyDescent="0.25">
      <c r="A2016" s="9" t="s">
        <v>43</v>
      </c>
      <c r="B2016" s="23">
        <f>D2007/B2014*100</f>
        <v>44.428149606299215</v>
      </c>
      <c r="C2016" s="5"/>
      <c r="D2016" s="106" t="s">
        <v>33</v>
      </c>
      <c r="E2016" s="107"/>
      <c r="F2016" s="5"/>
      <c r="G2016" s="13" t="s">
        <v>22</v>
      </c>
      <c r="H2016" s="6"/>
      <c r="I2016" s="26">
        <f>H2014-H2015</f>
        <v>29278.15</v>
      </c>
      <c r="J2016" s="5"/>
      <c r="K2016" s="5"/>
      <c r="L2016" s="5"/>
    </row>
    <row r="2017" spans="1:12" x14ac:dyDescent="0.25">
      <c r="A2017" s="106" t="s">
        <v>40</v>
      </c>
      <c r="B2017" s="107"/>
      <c r="C2017" s="5"/>
      <c r="D2017" s="149">
        <v>1000</v>
      </c>
      <c r="E2017" s="150"/>
      <c r="F2017" s="5"/>
      <c r="G2017" s="5"/>
      <c r="H2017" s="5"/>
      <c r="I2017" s="5"/>
      <c r="J2017" s="5"/>
      <c r="K2017" s="5"/>
      <c r="L2017" s="5"/>
    </row>
    <row r="2018" spans="1:12" x14ac:dyDescent="0.25">
      <c r="A2018" s="108">
        <f>B2014*0.6</f>
        <v>1828.8</v>
      </c>
      <c r="B2018" s="109"/>
      <c r="C2018" s="5"/>
      <c r="D2018" s="106" t="s">
        <v>34</v>
      </c>
      <c r="E2018" s="107"/>
      <c r="F2018" s="5"/>
      <c r="G2018" s="145" t="s">
        <v>292</v>
      </c>
      <c r="H2018" s="146"/>
      <c r="I2018" s="23">
        <f>B2014/2.3</f>
        <v>1325.217391304348</v>
      </c>
      <c r="J2018" s="60"/>
      <c r="K2018" s="5"/>
      <c r="L2018" s="5"/>
    </row>
    <row r="2019" spans="1:12" x14ac:dyDescent="0.25">
      <c r="A2019" s="5"/>
      <c r="B2019" s="5"/>
      <c r="C2019" s="5"/>
      <c r="D2019" s="108">
        <v>0</v>
      </c>
      <c r="E2019" s="109"/>
      <c r="F2019" s="5"/>
      <c r="G2019" s="145" t="s">
        <v>294</v>
      </c>
      <c r="H2019" s="146"/>
      <c r="I2019" s="23">
        <f>I2018-D2007</f>
        <v>-28.952608695652088</v>
      </c>
      <c r="J2019" s="5"/>
      <c r="K2019" s="5"/>
      <c r="L2019" s="5"/>
    </row>
    <row r="2020" spans="1:12" x14ac:dyDescent="0.25">
      <c r="A2020" s="5"/>
      <c r="B2020" s="5"/>
      <c r="C2020" s="5"/>
      <c r="D2020" s="106" t="s">
        <v>37</v>
      </c>
      <c r="E2020" s="107"/>
      <c r="F2020" s="5"/>
      <c r="G2020" s="147" t="s">
        <v>295</v>
      </c>
      <c r="H2020" s="148"/>
      <c r="I2020" s="86">
        <f>I2019*F2007</f>
        <v>-646.15696308937879</v>
      </c>
      <c r="J2020" s="87">
        <f>I2016-I2020</f>
        <v>29924.306963089381</v>
      </c>
      <c r="K2020" s="5"/>
      <c r="L2020" s="5"/>
    </row>
    <row r="2021" spans="1:12" x14ac:dyDescent="0.25">
      <c r="A2021" s="5"/>
      <c r="B2021" s="5"/>
      <c r="C2021" s="5"/>
      <c r="D2021" s="108"/>
      <c r="E2021" s="109"/>
      <c r="F2021" s="5" t="s">
        <v>78</v>
      </c>
      <c r="G2021" s="5"/>
      <c r="H2021" s="5"/>
      <c r="I2021" s="5"/>
      <c r="J2021" s="88" t="s">
        <v>293</v>
      </c>
      <c r="K2021" s="44"/>
      <c r="L2021" s="5"/>
    </row>
    <row r="2023" spans="1:12" s="49" customFormat="1" x14ac:dyDescent="0.25"/>
    <row r="2026" spans="1:12" x14ac:dyDescent="0.25">
      <c r="A2026" s="120" t="s">
        <v>24</v>
      </c>
      <c r="B2026" s="120"/>
      <c r="C2026" s="120"/>
      <c r="D2026" s="120"/>
      <c r="E2026" s="120"/>
      <c r="F2026" s="120"/>
      <c r="G2026" s="120"/>
      <c r="H2026" s="120"/>
      <c r="I2026" s="120"/>
      <c r="J2026" s="120"/>
      <c r="K2026" s="120"/>
      <c r="L2026" s="120"/>
    </row>
    <row r="2027" spans="1:12" x14ac:dyDescent="0.25">
      <c r="A2027" s="120"/>
      <c r="B2027" s="120"/>
      <c r="C2027" s="120"/>
      <c r="D2027" s="120"/>
      <c r="E2027" s="120"/>
      <c r="F2027" s="120"/>
      <c r="G2027" s="120"/>
      <c r="H2027" s="120"/>
      <c r="I2027" s="120"/>
      <c r="J2027" s="120"/>
      <c r="K2027" s="120"/>
      <c r="L2027" s="120"/>
    </row>
    <row r="2028" spans="1:12" x14ac:dyDescent="0.25">
      <c r="A2028" s="1" t="s">
        <v>4</v>
      </c>
      <c r="B2028" s="2"/>
      <c r="C2028" s="90"/>
      <c r="D2028" s="2"/>
      <c r="E2028" s="2"/>
      <c r="F2028" s="2"/>
      <c r="G2028" s="3" t="s">
        <v>5</v>
      </c>
      <c r="H2028" s="3" t="s">
        <v>6</v>
      </c>
      <c r="I2028" s="4" t="s">
        <v>7</v>
      </c>
      <c r="J2028" s="5"/>
      <c r="K2028" s="5"/>
      <c r="L2028" s="5"/>
    </row>
    <row r="2029" spans="1:12" x14ac:dyDescent="0.25">
      <c r="A2029" s="91" t="s">
        <v>359</v>
      </c>
      <c r="B2029" s="92" t="s">
        <v>42</v>
      </c>
      <c r="C2029" s="64"/>
      <c r="D2029" s="66"/>
      <c r="E2029" s="2"/>
      <c r="F2029" s="2"/>
      <c r="G2029" s="91" t="s">
        <v>299</v>
      </c>
      <c r="H2029" s="66"/>
      <c r="I2029" s="33"/>
      <c r="J2029" s="6"/>
      <c r="K2029" s="33"/>
      <c r="L2029" s="6"/>
    </row>
    <row r="2030" spans="1:12" x14ac:dyDescent="0.25">
      <c r="A2030" s="7" t="s">
        <v>2</v>
      </c>
      <c r="B2030" s="5"/>
      <c r="C2030" s="5"/>
      <c r="D2030" s="5"/>
      <c r="E2030" s="5"/>
      <c r="F2030" s="5"/>
      <c r="G2030" s="8" t="s">
        <v>8</v>
      </c>
      <c r="H2030" s="93">
        <v>3</v>
      </c>
      <c r="I2030" s="5"/>
      <c r="J2030" s="5"/>
      <c r="K2030" s="5"/>
      <c r="L2030" s="5"/>
    </row>
    <row r="2031" spans="1:12" x14ac:dyDescent="0.25">
      <c r="A2031" s="7" t="s">
        <v>25</v>
      </c>
      <c r="B2031" s="5"/>
      <c r="C2031" s="7" t="s">
        <v>0</v>
      </c>
      <c r="D2031" s="5"/>
      <c r="E2031" s="5"/>
      <c r="F2031" s="5"/>
      <c r="G2031" s="7" t="s">
        <v>25</v>
      </c>
      <c r="H2031" s="5"/>
      <c r="I2031" s="7" t="s">
        <v>0</v>
      </c>
      <c r="J2031" s="5"/>
      <c r="K2031" s="5"/>
      <c r="L2031" s="5"/>
    </row>
    <row r="2032" spans="1:12" x14ac:dyDescent="0.25">
      <c r="A2032" s="42" t="s">
        <v>437</v>
      </c>
      <c r="B2032" s="6"/>
      <c r="C2032" s="31">
        <f>L1991</f>
        <v>956725</v>
      </c>
      <c r="D2032" s="5"/>
      <c r="E2032" s="5"/>
      <c r="F2032" s="5"/>
      <c r="G2032" s="42" t="s">
        <v>438</v>
      </c>
      <c r="H2032" s="6"/>
      <c r="I2032" s="9"/>
      <c r="J2032" s="5"/>
      <c r="K2032" s="5"/>
      <c r="L2032" s="5"/>
    </row>
    <row r="2033" spans="1:14" ht="16.5" thickBot="1" x14ac:dyDescent="0.3">
      <c r="A2033" s="7"/>
      <c r="B2033" s="62"/>
      <c r="C2033" s="62"/>
      <c r="D2033" s="62"/>
      <c r="E2033" s="5"/>
      <c r="F2033" s="5"/>
      <c r="G2033" s="10"/>
      <c r="H2033" s="5"/>
      <c r="I2033" s="5"/>
      <c r="J2033" s="5"/>
      <c r="K2033" s="5"/>
      <c r="L2033" s="5"/>
    </row>
    <row r="2034" spans="1:14" ht="15.75" thickBot="1" x14ac:dyDescent="0.3">
      <c r="A2034" s="121" t="s">
        <v>9</v>
      </c>
      <c r="B2034" s="122"/>
      <c r="C2034" s="123"/>
      <c r="D2034" s="5"/>
      <c r="E2034" s="5"/>
      <c r="F2034" s="5"/>
      <c r="G2034" s="121" t="s">
        <v>26</v>
      </c>
      <c r="H2034" s="122"/>
      <c r="I2034" s="123"/>
      <c r="J2034" s="5"/>
      <c r="K2034" s="5"/>
      <c r="L2034" s="5"/>
    </row>
    <row r="2035" spans="1:14" x14ac:dyDescent="0.25">
      <c r="A2035" s="30" t="s">
        <v>38</v>
      </c>
      <c r="B2035" s="11"/>
      <c r="C2035" s="11"/>
      <c r="D2035" s="11"/>
      <c r="E2035" s="6"/>
      <c r="F2035" s="5"/>
      <c r="G2035" s="30"/>
      <c r="H2035" s="11"/>
      <c r="I2035" s="11"/>
      <c r="J2035" s="11"/>
      <c r="K2035" s="11"/>
      <c r="L2035" s="6"/>
    </row>
    <row r="2036" spans="1:14" ht="15.75" thickBot="1" x14ac:dyDescent="0.3">
      <c r="A2036" s="7"/>
      <c r="B2036" s="7"/>
      <c r="C2036" s="7"/>
      <c r="D2036" s="5"/>
      <c r="E2036" s="5"/>
      <c r="F2036" s="5"/>
      <c r="G2036" s="7" t="str">
        <f>A2038</f>
        <v>Cape Town</v>
      </c>
      <c r="H2036" s="7"/>
      <c r="I2036" s="7"/>
      <c r="J2036" s="5"/>
      <c r="K2036" s="5"/>
      <c r="L2036" s="5"/>
    </row>
    <row r="2037" spans="1:14" ht="15.75" thickBot="1" x14ac:dyDescent="0.3">
      <c r="A2037" s="121"/>
      <c r="B2037" s="122"/>
      <c r="C2037" s="124"/>
      <c r="D2037" s="12" t="s">
        <v>1</v>
      </c>
      <c r="E2037" s="32"/>
      <c r="F2037" s="5"/>
      <c r="G2037" s="121" t="s">
        <v>27</v>
      </c>
      <c r="H2037" s="122"/>
      <c r="I2037" s="123"/>
      <c r="J2037" s="5"/>
      <c r="K2037" s="12" t="s">
        <v>1</v>
      </c>
      <c r="L2037" s="32">
        <v>959784</v>
      </c>
    </row>
    <row r="2038" spans="1:14" x14ac:dyDescent="0.25">
      <c r="A2038" s="30" t="s">
        <v>65</v>
      </c>
      <c r="B2038" s="11"/>
      <c r="C2038" s="11"/>
      <c r="D2038" s="11"/>
      <c r="E2038" s="6"/>
      <c r="F2038" s="5"/>
      <c r="G2038" s="30" t="s">
        <v>364</v>
      </c>
      <c r="H2038" s="11"/>
      <c r="I2038" s="11"/>
      <c r="J2038" s="11"/>
      <c r="K2038" s="11"/>
      <c r="L2038" s="6"/>
    </row>
    <row r="2039" spans="1:14" x14ac:dyDescent="0.25">
      <c r="A2039" s="76" t="s">
        <v>439</v>
      </c>
      <c r="B2039" s="11"/>
      <c r="C2039" s="11"/>
      <c r="D2039" s="11"/>
      <c r="E2039" s="6"/>
      <c r="F2039" s="5"/>
      <c r="G2039" s="34"/>
      <c r="H2039" s="11"/>
      <c r="I2039" s="11"/>
      <c r="J2039" s="11"/>
      <c r="K2039" s="11"/>
      <c r="L2039" s="6"/>
    </row>
    <row r="2040" spans="1:14" x14ac:dyDescent="0.25">
      <c r="A2040" s="13"/>
      <c r="B2040" s="11"/>
      <c r="C2040" s="11"/>
      <c r="D2040" s="11"/>
      <c r="E2040" s="6"/>
      <c r="F2040" s="5"/>
      <c r="G2040" s="13"/>
      <c r="H2040" s="11"/>
      <c r="I2040" s="11"/>
      <c r="J2040" s="11"/>
      <c r="K2040" s="11"/>
      <c r="L2040" s="6"/>
    </row>
    <row r="2041" spans="1:14" x14ac:dyDescent="0.25">
      <c r="A2041" s="13"/>
      <c r="B2041" s="11"/>
      <c r="C2041" s="11"/>
      <c r="D2041" s="11"/>
      <c r="E2041" s="6"/>
      <c r="F2041" s="5"/>
      <c r="G2041" s="13"/>
      <c r="H2041" s="11"/>
      <c r="I2041" s="11"/>
      <c r="J2041" s="11"/>
      <c r="K2041" s="11"/>
      <c r="L2041" s="6"/>
    </row>
    <row r="2042" spans="1:14" ht="15.75" thickBot="1" x14ac:dyDescent="0.3">
      <c r="A2042" s="13"/>
      <c r="B2042" s="11"/>
      <c r="C2042" s="11" t="s">
        <v>29</v>
      </c>
      <c r="D2042" s="43"/>
      <c r="E2042" s="6"/>
      <c r="F2042" s="5"/>
      <c r="G2042" s="13"/>
      <c r="H2042" s="11"/>
      <c r="I2042" s="14" t="s">
        <v>28</v>
      </c>
      <c r="J2042" s="43"/>
      <c r="K2042" s="59"/>
      <c r="L2042" s="6"/>
    </row>
    <row r="2043" spans="1:14" ht="15.75" thickBot="1" x14ac:dyDescent="0.3">
      <c r="A2043" s="15" t="s">
        <v>10</v>
      </c>
      <c r="B2043" s="5"/>
      <c r="C2043" s="5"/>
      <c r="D2043" s="5"/>
      <c r="E2043" s="5"/>
      <c r="F2043" s="5"/>
      <c r="G2043" s="15" t="s">
        <v>14</v>
      </c>
      <c r="H2043" s="5"/>
      <c r="I2043" s="5"/>
      <c r="J2043" s="5"/>
      <c r="K2043" s="5"/>
      <c r="L2043" s="5"/>
    </row>
    <row r="2044" spans="1:14" ht="15.75" thickBot="1" x14ac:dyDescent="0.3">
      <c r="A2044" s="121" t="s">
        <v>11</v>
      </c>
      <c r="B2044" s="122"/>
      <c r="C2044" s="123"/>
      <c r="D2044" s="16" t="s">
        <v>12</v>
      </c>
      <c r="E2044" s="16" t="s">
        <v>13</v>
      </c>
      <c r="F2044" s="5"/>
      <c r="G2044" s="121" t="s">
        <v>15</v>
      </c>
      <c r="H2044" s="122"/>
      <c r="I2044" s="123"/>
      <c r="J2044" s="121"/>
      <c r="K2044" s="123"/>
      <c r="L2044" s="5"/>
    </row>
    <row r="2045" spans="1:14" x14ac:dyDescent="0.25">
      <c r="A2045" s="45" t="s">
        <v>440</v>
      </c>
      <c r="B2045" s="46" t="s">
        <v>66</v>
      </c>
      <c r="C2045" s="47"/>
      <c r="D2045" s="56">
        <v>308</v>
      </c>
      <c r="E2045" s="57">
        <v>6936.15</v>
      </c>
      <c r="F2045" s="44">
        <f>E2045/D2045</f>
        <v>22.519967532467533</v>
      </c>
      <c r="G2045" s="125" t="s">
        <v>69</v>
      </c>
      <c r="H2045" s="126"/>
      <c r="I2045" s="127"/>
      <c r="J2045" s="128">
        <v>0</v>
      </c>
      <c r="K2045" s="129"/>
      <c r="L2045" s="5"/>
    </row>
    <row r="2046" spans="1:14" x14ac:dyDescent="0.25">
      <c r="A2046" s="94" t="s">
        <v>438</v>
      </c>
      <c r="B2046" s="46" t="s">
        <v>441</v>
      </c>
      <c r="C2046" s="47"/>
      <c r="D2046" s="56">
        <v>200</v>
      </c>
      <c r="E2046" s="57">
        <v>4450</v>
      </c>
      <c r="F2046" s="44">
        <f>E2046/D2046</f>
        <v>22.25</v>
      </c>
      <c r="G2046" s="110" t="s">
        <v>59</v>
      </c>
      <c r="H2046" s="111"/>
      <c r="I2046" s="112"/>
      <c r="J2046" s="113"/>
      <c r="K2046" s="114"/>
      <c r="L2046" s="5"/>
    </row>
    <row r="2047" spans="1:14" x14ac:dyDescent="0.25">
      <c r="A2047" s="94" t="s">
        <v>442</v>
      </c>
      <c r="B2047" s="46" t="s">
        <v>66</v>
      </c>
      <c r="C2047" s="47"/>
      <c r="D2047" s="56">
        <v>624.15</v>
      </c>
      <c r="E2047" s="57">
        <v>14055.85</v>
      </c>
      <c r="F2047" s="44">
        <f>E2047/D2047</f>
        <v>22.519987182568293</v>
      </c>
      <c r="G2047" s="110" t="s">
        <v>61</v>
      </c>
      <c r="H2047" s="111"/>
      <c r="I2047" s="112"/>
      <c r="J2047" s="113"/>
      <c r="K2047" s="114"/>
      <c r="L2047" s="5"/>
      <c r="N2047">
        <f>80*22.52</f>
        <v>1801.6</v>
      </c>
    </row>
    <row r="2048" spans="1:14" x14ac:dyDescent="0.25">
      <c r="A2048" s="94" t="s">
        <v>450</v>
      </c>
      <c r="B2048" s="46" t="s">
        <v>47</v>
      </c>
      <c r="C2048" s="47"/>
      <c r="D2048" s="56">
        <v>441.5</v>
      </c>
      <c r="E2048" s="57">
        <v>9674.7999999999993</v>
      </c>
      <c r="F2048" s="44">
        <f>E2048/D2048</f>
        <v>21.913476783691959</v>
      </c>
      <c r="G2048" s="110" t="s">
        <v>51</v>
      </c>
      <c r="H2048" s="111"/>
      <c r="I2048" s="112"/>
      <c r="J2048" s="113"/>
      <c r="K2048" s="114"/>
      <c r="L2048" s="5"/>
    </row>
    <row r="2049" spans="1:12" x14ac:dyDescent="0.25">
      <c r="A2049" s="48"/>
      <c r="B2049" s="46"/>
      <c r="C2049" s="39"/>
      <c r="D2049" s="52"/>
      <c r="E2049" s="53"/>
      <c r="F2049" s="44"/>
      <c r="G2049" s="110" t="s">
        <v>58</v>
      </c>
      <c r="H2049" s="111"/>
      <c r="I2049" s="112"/>
      <c r="J2049" s="113"/>
      <c r="K2049" s="114"/>
      <c r="L2049" s="5"/>
    </row>
    <row r="2050" spans="1:12" x14ac:dyDescent="0.25">
      <c r="A2050" s="48"/>
      <c r="B2050" s="35"/>
      <c r="C2050" s="39"/>
      <c r="D2050" s="52"/>
      <c r="E2050" s="53"/>
      <c r="F2050" s="44"/>
      <c r="G2050" s="110" t="s">
        <v>51</v>
      </c>
      <c r="H2050" s="111"/>
      <c r="I2050" s="112"/>
      <c r="J2050" s="113"/>
      <c r="K2050" s="114"/>
      <c r="L2050" s="5"/>
    </row>
    <row r="2051" spans="1:12" x14ac:dyDescent="0.25">
      <c r="A2051" s="48"/>
      <c r="B2051" s="35"/>
      <c r="C2051" s="39"/>
      <c r="D2051" s="52"/>
      <c r="E2051" s="53"/>
      <c r="F2051" s="44"/>
      <c r="G2051" s="77"/>
      <c r="H2051" s="78" t="s">
        <v>69</v>
      </c>
      <c r="I2051" s="79"/>
      <c r="J2051" s="113"/>
      <c r="K2051" s="114"/>
      <c r="L2051" s="5"/>
    </row>
    <row r="2052" spans="1:12" x14ac:dyDescent="0.25">
      <c r="A2052" s="38"/>
      <c r="B2052" s="35"/>
      <c r="C2052" s="39"/>
      <c r="D2052" s="52"/>
      <c r="E2052" s="53"/>
      <c r="F2052" s="44"/>
      <c r="G2052" s="77"/>
      <c r="H2052" s="78" t="s">
        <v>72</v>
      </c>
      <c r="I2052" s="79"/>
      <c r="J2052" s="113"/>
      <c r="K2052" s="114"/>
      <c r="L2052" s="5"/>
    </row>
    <row r="2053" spans="1:12" ht="15.75" thickBot="1" x14ac:dyDescent="0.3">
      <c r="A2053" s="5"/>
      <c r="B2053" s="5"/>
      <c r="C2053" s="7" t="s">
        <v>35</v>
      </c>
      <c r="D2053" s="17">
        <f>SUM(D2045:D2052)</f>
        <v>1573.65</v>
      </c>
      <c r="E2053" s="17">
        <f>SUM(E2045:E2052)</f>
        <v>35116.800000000003</v>
      </c>
      <c r="F2053" s="89">
        <f>AVERAGE(F2045:F2049)</f>
        <v>22.300857874681949</v>
      </c>
      <c r="G2053" s="110" t="s">
        <v>73</v>
      </c>
      <c r="H2053" s="111"/>
      <c r="I2053" s="112"/>
      <c r="J2053" s="113"/>
      <c r="K2053" s="114"/>
      <c r="L2053" s="7" t="s">
        <v>36</v>
      </c>
    </row>
    <row r="2054" spans="1:12" ht="15.75" thickBot="1" x14ac:dyDescent="0.3">
      <c r="A2054" s="5"/>
      <c r="B2054" s="5"/>
      <c r="C2054" s="5"/>
      <c r="D2054" s="5"/>
      <c r="E2054" s="5"/>
      <c r="F2054" s="5"/>
      <c r="G2054" s="130"/>
      <c r="H2054" s="131"/>
      <c r="I2054" s="132"/>
      <c r="J2054" s="133"/>
      <c r="K2054" s="134"/>
      <c r="L2054" s="18">
        <f>J2045+J2046+J2047+J2048+J2049+J2050+J2051+J2052+J2053</f>
        <v>0</v>
      </c>
    </row>
    <row r="2055" spans="1:12" ht="15.75" thickBot="1" x14ac:dyDescent="0.3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</row>
    <row r="2056" spans="1:12" ht="15.75" thickBot="1" x14ac:dyDescent="0.3">
      <c r="A2056" s="19"/>
      <c r="B2056" s="20"/>
      <c r="C2056" s="20"/>
      <c r="D2056" s="20"/>
      <c r="E2056" s="21" t="s">
        <v>13</v>
      </c>
      <c r="F2056" s="5"/>
      <c r="G2056" s="19"/>
      <c r="H2056" s="20"/>
      <c r="I2056" s="20"/>
      <c r="J2056" s="20"/>
      <c r="K2056" s="21" t="s">
        <v>13</v>
      </c>
      <c r="L2056" s="5"/>
    </row>
    <row r="2057" spans="1:12" x14ac:dyDescent="0.25">
      <c r="A2057" s="22" t="s">
        <v>31</v>
      </c>
      <c r="B2057" s="115">
        <v>19131</v>
      </c>
      <c r="C2057" s="116"/>
      <c r="D2057" s="116"/>
      <c r="E2057" s="117"/>
      <c r="F2057" s="5"/>
      <c r="G2057" s="22" t="s">
        <v>32</v>
      </c>
      <c r="H2057" s="115">
        <v>43195</v>
      </c>
      <c r="I2057" s="116"/>
      <c r="J2057" s="116"/>
      <c r="K2057" s="117"/>
      <c r="L2057" s="5"/>
    </row>
    <row r="2058" spans="1:12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</row>
    <row r="2059" spans="1:12" x14ac:dyDescent="0.25">
      <c r="A2059" s="7" t="s">
        <v>16</v>
      </c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</row>
    <row r="2060" spans="1:12" x14ac:dyDescent="0.25">
      <c r="A2060" s="9" t="s">
        <v>17</v>
      </c>
      <c r="B2060" s="23">
        <f>L2037-C2032</f>
        <v>3059</v>
      </c>
      <c r="C2060" s="5"/>
      <c r="D2060" s="106" t="s">
        <v>18</v>
      </c>
      <c r="E2060" s="107"/>
      <c r="F2060" s="24" t="s">
        <v>19</v>
      </c>
      <c r="G2060" s="9" t="s">
        <v>20</v>
      </c>
      <c r="H2060" s="118">
        <f>B2057+H2057</f>
        <v>62326</v>
      </c>
      <c r="I2060" s="119"/>
      <c r="J2060" s="60"/>
      <c r="K2060" s="5"/>
      <c r="L2060" s="5"/>
    </row>
    <row r="2061" spans="1:12" x14ac:dyDescent="0.25">
      <c r="A2061" s="9" t="s">
        <v>41</v>
      </c>
      <c r="B2061" s="40">
        <f>B2060/D2053</f>
        <v>1.9438884122898992</v>
      </c>
      <c r="C2061" s="5"/>
      <c r="D2061" s="102">
        <f>E2053</f>
        <v>35116.800000000003</v>
      </c>
      <c r="E2061" s="103"/>
      <c r="F2061" s="25">
        <f>H2061/B2060</f>
        <v>12.406734226871528</v>
      </c>
      <c r="G2061" s="9" t="s">
        <v>21</v>
      </c>
      <c r="H2061" s="104">
        <f>L2054+D2061+D2063+D2065+D2067+A2064</f>
        <v>37952.200000000004</v>
      </c>
      <c r="I2061" s="105"/>
      <c r="J2061" s="5"/>
      <c r="K2061" s="5"/>
      <c r="L2061" s="5"/>
    </row>
    <row r="2062" spans="1:12" x14ac:dyDescent="0.25">
      <c r="A2062" s="9" t="s">
        <v>43</v>
      </c>
      <c r="B2062" s="23">
        <f>D2053/B2060*100</f>
        <v>51.443282118339326</v>
      </c>
      <c r="C2062" s="5"/>
      <c r="D2062" s="106" t="s">
        <v>33</v>
      </c>
      <c r="E2062" s="107"/>
      <c r="F2062" s="5"/>
      <c r="G2062" s="13" t="s">
        <v>22</v>
      </c>
      <c r="H2062" s="6"/>
      <c r="I2062" s="26">
        <f>H2060-H2061</f>
        <v>24373.799999999996</v>
      </c>
      <c r="J2062" s="5"/>
      <c r="K2062" s="5"/>
      <c r="L2062" s="5"/>
    </row>
    <row r="2063" spans="1:12" x14ac:dyDescent="0.25">
      <c r="A2063" s="106" t="s">
        <v>40</v>
      </c>
      <c r="B2063" s="107"/>
      <c r="C2063" s="5"/>
      <c r="D2063" s="149">
        <v>1000</v>
      </c>
      <c r="E2063" s="150"/>
      <c r="F2063" s="5"/>
      <c r="G2063" s="5"/>
      <c r="H2063" s="5"/>
      <c r="I2063" s="5"/>
      <c r="J2063" s="5"/>
      <c r="K2063" s="5"/>
      <c r="L2063" s="5"/>
    </row>
    <row r="2064" spans="1:12" x14ac:dyDescent="0.25">
      <c r="A2064" s="108">
        <f>B2060*0.6</f>
        <v>1835.3999999999999</v>
      </c>
      <c r="B2064" s="109"/>
      <c r="C2064" s="5"/>
      <c r="D2064" s="106" t="s">
        <v>34</v>
      </c>
      <c r="E2064" s="107"/>
      <c r="F2064" s="5"/>
      <c r="G2064" s="145" t="s">
        <v>292</v>
      </c>
      <c r="H2064" s="146"/>
      <c r="I2064" s="23">
        <f>B2060/2.3</f>
        <v>1330</v>
      </c>
      <c r="J2064" s="60"/>
      <c r="K2064" s="5"/>
      <c r="L2064" s="5"/>
    </row>
    <row r="2065" spans="1:12" x14ac:dyDescent="0.25">
      <c r="A2065" s="5"/>
      <c r="B2065" s="5"/>
      <c r="C2065" s="5"/>
      <c r="D2065" s="108">
        <v>0</v>
      </c>
      <c r="E2065" s="109"/>
      <c r="F2065" s="5"/>
      <c r="G2065" s="145" t="s">
        <v>294</v>
      </c>
      <c r="H2065" s="146"/>
      <c r="I2065" s="23">
        <f>I2064-D2053</f>
        <v>-243.65000000000009</v>
      </c>
      <c r="J2065" s="5"/>
      <c r="K2065" s="5"/>
      <c r="L2065" s="5"/>
    </row>
    <row r="2066" spans="1:12" x14ac:dyDescent="0.25">
      <c r="A2066" s="5"/>
      <c r="B2066" s="5"/>
      <c r="C2066" s="5"/>
      <c r="D2066" s="106" t="s">
        <v>37</v>
      </c>
      <c r="E2066" s="107"/>
      <c r="F2066" s="5"/>
      <c r="G2066" s="147" t="s">
        <v>295</v>
      </c>
      <c r="H2066" s="148"/>
      <c r="I2066" s="86">
        <f>I2065*F2053</f>
        <v>-5433.6040211662585</v>
      </c>
      <c r="J2066" s="87">
        <f>I2062-I2066</f>
        <v>29807.404021166254</v>
      </c>
      <c r="K2066" s="5"/>
      <c r="L2066" s="5"/>
    </row>
    <row r="2067" spans="1:12" x14ac:dyDescent="0.25">
      <c r="A2067" s="5"/>
      <c r="B2067" s="5"/>
      <c r="C2067" s="5"/>
      <c r="D2067" s="108"/>
      <c r="E2067" s="109"/>
      <c r="F2067" s="5" t="s">
        <v>78</v>
      </c>
      <c r="G2067" s="5"/>
      <c r="H2067" s="5"/>
      <c r="I2067" s="5"/>
      <c r="J2067" s="88" t="s">
        <v>293</v>
      </c>
      <c r="K2067" s="44"/>
      <c r="L2067" s="5"/>
    </row>
    <row r="2069" spans="1:12" s="49" customFormat="1" x14ac:dyDescent="0.25">
      <c r="A2069" s="49" t="s">
        <v>443</v>
      </c>
    </row>
    <row r="2072" spans="1:12" x14ac:dyDescent="0.25">
      <c r="A2072" s="120" t="s">
        <v>24</v>
      </c>
      <c r="B2072" s="120"/>
      <c r="C2072" s="120"/>
      <c r="D2072" s="120"/>
      <c r="E2072" s="120"/>
      <c r="F2072" s="120"/>
      <c r="G2072" s="120"/>
      <c r="H2072" s="120"/>
      <c r="I2072" s="120"/>
      <c r="J2072" s="120"/>
      <c r="K2072" s="120"/>
      <c r="L2072" s="120"/>
    </row>
    <row r="2073" spans="1:12" x14ac:dyDescent="0.25">
      <c r="A2073" s="120"/>
      <c r="B2073" s="120"/>
      <c r="C2073" s="120"/>
      <c r="D2073" s="120"/>
      <c r="E2073" s="120"/>
      <c r="F2073" s="120"/>
      <c r="G2073" s="120"/>
      <c r="H2073" s="120"/>
      <c r="I2073" s="120"/>
      <c r="J2073" s="120"/>
      <c r="K2073" s="120"/>
      <c r="L2073" s="120"/>
    </row>
    <row r="2074" spans="1:12" x14ac:dyDescent="0.25">
      <c r="A2074" s="1" t="s">
        <v>4</v>
      </c>
      <c r="B2074" s="2"/>
      <c r="C2074" s="90"/>
      <c r="D2074" s="2"/>
      <c r="E2074" s="2"/>
      <c r="F2074" s="2"/>
      <c r="G2074" s="3" t="s">
        <v>5</v>
      </c>
      <c r="H2074" s="3" t="s">
        <v>6</v>
      </c>
      <c r="I2074" s="4" t="s">
        <v>7</v>
      </c>
      <c r="J2074" s="5"/>
      <c r="K2074" s="5"/>
      <c r="L2074" s="5"/>
    </row>
    <row r="2075" spans="1:12" x14ac:dyDescent="0.25">
      <c r="A2075" s="91" t="s">
        <v>359</v>
      </c>
      <c r="B2075" s="92" t="s">
        <v>42</v>
      </c>
      <c r="C2075" s="64"/>
      <c r="D2075" s="66"/>
      <c r="E2075" s="2"/>
      <c r="F2075" s="2"/>
      <c r="G2075" s="91" t="s">
        <v>299</v>
      </c>
      <c r="H2075" s="66"/>
      <c r="I2075" s="33"/>
      <c r="J2075" s="6"/>
      <c r="K2075" s="33"/>
      <c r="L2075" s="6"/>
    </row>
    <row r="2076" spans="1:12" x14ac:dyDescent="0.25">
      <c r="A2076" s="7" t="s">
        <v>2</v>
      </c>
      <c r="B2076" s="5"/>
      <c r="C2076" s="5"/>
      <c r="D2076" s="5"/>
      <c r="E2076" s="5"/>
      <c r="F2076" s="5"/>
      <c r="G2076" s="8" t="s">
        <v>8</v>
      </c>
      <c r="H2076" s="93">
        <v>3</v>
      </c>
      <c r="I2076" s="5"/>
      <c r="J2076" s="5"/>
      <c r="K2076" s="5"/>
      <c r="L2076" s="5"/>
    </row>
    <row r="2077" spans="1:12" x14ac:dyDescent="0.25">
      <c r="A2077" s="7" t="s">
        <v>25</v>
      </c>
      <c r="B2077" s="5"/>
      <c r="C2077" s="7" t="s">
        <v>0</v>
      </c>
      <c r="D2077" s="5"/>
      <c r="E2077" s="5"/>
      <c r="F2077" s="5"/>
      <c r="G2077" s="7" t="s">
        <v>25</v>
      </c>
      <c r="H2077" s="5"/>
      <c r="I2077" s="7" t="s">
        <v>0</v>
      </c>
      <c r="J2077" s="5"/>
      <c r="K2077" s="5"/>
      <c r="L2077" s="5"/>
    </row>
    <row r="2078" spans="1:12" x14ac:dyDescent="0.25">
      <c r="A2078" s="42" t="s">
        <v>444</v>
      </c>
      <c r="B2078" s="6"/>
      <c r="C2078" s="31">
        <f>L2037</f>
        <v>959784</v>
      </c>
      <c r="D2078" s="5"/>
      <c r="E2078" s="5"/>
      <c r="F2078" s="5"/>
      <c r="G2078" s="42" t="s">
        <v>445</v>
      </c>
      <c r="H2078" s="6"/>
      <c r="I2078" s="9"/>
      <c r="J2078" s="5"/>
      <c r="K2078" s="5"/>
      <c r="L2078" s="5"/>
    </row>
    <row r="2079" spans="1:12" ht="16.5" thickBot="1" x14ac:dyDescent="0.3">
      <c r="A2079" s="7"/>
      <c r="B2079" s="62"/>
      <c r="C2079" s="62"/>
      <c r="D2079" s="62"/>
      <c r="E2079" s="5"/>
      <c r="F2079" s="5"/>
      <c r="G2079" s="10"/>
      <c r="H2079" s="5"/>
      <c r="I2079" s="5"/>
      <c r="J2079" s="5"/>
      <c r="K2079" s="5"/>
      <c r="L2079" s="5"/>
    </row>
    <row r="2080" spans="1:12" ht="15.75" thickBot="1" x14ac:dyDescent="0.3">
      <c r="A2080" s="121" t="s">
        <v>9</v>
      </c>
      <c r="B2080" s="122"/>
      <c r="C2080" s="123"/>
      <c r="D2080" s="5"/>
      <c r="E2080" s="5"/>
      <c r="F2080" s="5"/>
      <c r="G2080" s="121" t="s">
        <v>26</v>
      </c>
      <c r="H2080" s="122"/>
      <c r="I2080" s="123"/>
      <c r="J2080" s="5"/>
      <c r="K2080" s="5"/>
      <c r="L2080" s="5"/>
    </row>
    <row r="2081" spans="1:12" x14ac:dyDescent="0.25">
      <c r="A2081" s="30" t="s">
        <v>38</v>
      </c>
      <c r="B2081" s="11"/>
      <c r="C2081" s="11"/>
      <c r="D2081" s="11"/>
      <c r="E2081" s="6"/>
      <c r="F2081" s="5"/>
      <c r="G2081" s="30"/>
      <c r="H2081" s="11"/>
      <c r="I2081" s="11"/>
      <c r="J2081" s="11"/>
      <c r="K2081" s="11"/>
      <c r="L2081" s="6"/>
    </row>
    <row r="2082" spans="1:12" ht="15.75" thickBot="1" x14ac:dyDescent="0.3">
      <c r="A2082" s="7"/>
      <c r="B2082" s="7"/>
      <c r="C2082" s="7"/>
      <c r="D2082" s="5"/>
      <c r="E2082" s="5"/>
      <c r="F2082" s="5"/>
      <c r="G2082" s="7" t="str">
        <f>A2084</f>
        <v>Cape Town</v>
      </c>
      <c r="H2082" s="7"/>
      <c r="I2082" s="7"/>
      <c r="J2082" s="5"/>
      <c r="K2082" s="5"/>
      <c r="L2082" s="5"/>
    </row>
    <row r="2083" spans="1:12" ht="15.75" thickBot="1" x14ac:dyDescent="0.3">
      <c r="A2083" s="121"/>
      <c r="B2083" s="122"/>
      <c r="C2083" s="124"/>
      <c r="D2083" s="12" t="s">
        <v>1</v>
      </c>
      <c r="E2083" s="32"/>
      <c r="F2083" s="5"/>
      <c r="G2083" s="121" t="s">
        <v>27</v>
      </c>
      <c r="H2083" s="122"/>
      <c r="I2083" s="123"/>
      <c r="J2083" s="5"/>
      <c r="K2083" s="12" t="s">
        <v>1</v>
      </c>
      <c r="L2083" s="32">
        <v>962831</v>
      </c>
    </row>
    <row r="2084" spans="1:12" x14ac:dyDescent="0.25">
      <c r="A2084" s="30" t="s">
        <v>65</v>
      </c>
      <c r="B2084" s="11"/>
      <c r="C2084" s="11"/>
      <c r="D2084" s="11"/>
      <c r="E2084" s="6"/>
      <c r="F2084" s="5"/>
      <c r="G2084" s="30" t="s">
        <v>364</v>
      </c>
      <c r="H2084" s="11"/>
      <c r="I2084" s="11"/>
      <c r="J2084" s="11"/>
      <c r="K2084" s="11"/>
      <c r="L2084" s="6"/>
    </row>
    <row r="2085" spans="1:12" x14ac:dyDescent="0.25">
      <c r="A2085" s="76" t="s">
        <v>435</v>
      </c>
      <c r="B2085" s="11"/>
      <c r="C2085" s="11"/>
      <c r="D2085" s="11"/>
      <c r="E2085" s="6"/>
      <c r="F2085" s="5"/>
      <c r="G2085" s="34"/>
      <c r="H2085" s="11"/>
      <c r="I2085" s="11"/>
      <c r="J2085" s="11"/>
      <c r="K2085" s="11"/>
      <c r="L2085" s="6"/>
    </row>
    <row r="2086" spans="1:12" x14ac:dyDescent="0.25">
      <c r="A2086" s="13"/>
      <c r="B2086" s="11"/>
      <c r="C2086" s="11"/>
      <c r="D2086" s="11"/>
      <c r="E2086" s="6"/>
      <c r="F2086" s="5"/>
      <c r="G2086" s="13"/>
      <c r="H2086" s="11"/>
      <c r="I2086" s="11"/>
      <c r="J2086" s="11"/>
      <c r="K2086" s="11"/>
      <c r="L2086" s="6"/>
    </row>
    <row r="2087" spans="1:12" x14ac:dyDescent="0.25">
      <c r="A2087" s="13"/>
      <c r="B2087" s="11"/>
      <c r="C2087" s="11"/>
      <c r="D2087" s="11"/>
      <c r="E2087" s="6"/>
      <c r="F2087" s="5"/>
      <c r="G2087" s="13"/>
      <c r="H2087" s="11"/>
      <c r="I2087" s="11"/>
      <c r="J2087" s="11"/>
      <c r="K2087" s="11"/>
      <c r="L2087" s="6"/>
    </row>
    <row r="2088" spans="1:12" ht="15.75" thickBot="1" x14ac:dyDescent="0.3">
      <c r="A2088" s="13"/>
      <c r="B2088" s="11"/>
      <c r="C2088" s="11" t="s">
        <v>29</v>
      </c>
      <c r="D2088" s="43"/>
      <c r="E2088" s="6"/>
      <c r="F2088" s="5"/>
      <c r="G2088" s="13"/>
      <c r="H2088" s="11"/>
      <c r="I2088" s="14" t="s">
        <v>28</v>
      </c>
      <c r="J2088" s="43"/>
      <c r="K2088" s="59"/>
      <c r="L2088" s="6"/>
    </row>
    <row r="2089" spans="1:12" ht="15.75" thickBot="1" x14ac:dyDescent="0.3">
      <c r="A2089" s="15" t="s">
        <v>10</v>
      </c>
      <c r="B2089" s="5"/>
      <c r="C2089" s="5"/>
      <c r="D2089" s="5"/>
      <c r="E2089" s="5"/>
      <c r="F2089" s="5"/>
      <c r="G2089" s="15" t="s">
        <v>14</v>
      </c>
      <c r="H2089" s="5"/>
      <c r="I2089" s="5"/>
      <c r="J2089" s="5"/>
      <c r="K2089" s="5"/>
      <c r="L2089" s="5"/>
    </row>
    <row r="2090" spans="1:12" ht="15.75" thickBot="1" x14ac:dyDescent="0.3">
      <c r="A2090" s="121" t="s">
        <v>11</v>
      </c>
      <c r="B2090" s="122"/>
      <c r="C2090" s="123"/>
      <c r="D2090" s="16" t="s">
        <v>12</v>
      </c>
      <c r="E2090" s="16" t="s">
        <v>13</v>
      </c>
      <c r="F2090" s="5"/>
      <c r="G2090" s="121" t="s">
        <v>15</v>
      </c>
      <c r="H2090" s="122"/>
      <c r="I2090" s="123"/>
      <c r="J2090" s="121"/>
      <c r="K2090" s="123"/>
      <c r="L2090" s="5"/>
    </row>
    <row r="2091" spans="1:12" x14ac:dyDescent="0.25">
      <c r="A2091" s="45" t="s">
        <v>451</v>
      </c>
      <c r="B2091" s="46" t="s">
        <v>66</v>
      </c>
      <c r="C2091" s="47"/>
      <c r="D2091" s="56">
        <v>263.29000000000002</v>
      </c>
      <c r="E2091" s="57">
        <v>5929.3</v>
      </c>
      <c r="F2091" s="44">
        <f>E2091/D2091</f>
        <v>22.520034942458885</v>
      </c>
      <c r="G2091" s="125" t="s">
        <v>69</v>
      </c>
      <c r="H2091" s="126"/>
      <c r="I2091" s="127"/>
      <c r="J2091" s="128">
        <v>0</v>
      </c>
      <c r="K2091" s="129"/>
      <c r="L2091" s="5"/>
    </row>
    <row r="2092" spans="1:12" x14ac:dyDescent="0.25">
      <c r="A2092" s="94" t="s">
        <v>445</v>
      </c>
      <c r="B2092" s="46" t="s">
        <v>441</v>
      </c>
      <c r="C2092" s="47"/>
      <c r="D2092" s="56">
        <v>120.17</v>
      </c>
      <c r="E2092" s="57">
        <v>2673.8</v>
      </c>
      <c r="F2092" s="44">
        <f>E2092/D2092</f>
        <v>22.250145627028378</v>
      </c>
      <c r="G2092" s="110" t="s">
        <v>59</v>
      </c>
      <c r="H2092" s="111"/>
      <c r="I2092" s="112"/>
      <c r="J2092" s="113"/>
      <c r="K2092" s="114"/>
      <c r="L2092" s="5"/>
    </row>
    <row r="2093" spans="1:12" x14ac:dyDescent="0.25">
      <c r="A2093" s="94" t="s">
        <v>447</v>
      </c>
      <c r="B2093" s="46" t="s">
        <v>66</v>
      </c>
      <c r="C2093" s="47"/>
      <c r="D2093" s="56">
        <v>635.37</v>
      </c>
      <c r="E2093" s="57">
        <v>14308.55</v>
      </c>
      <c r="F2093" s="44">
        <f>E2093/D2093</f>
        <v>22.520027700395044</v>
      </c>
      <c r="G2093" s="110" t="s">
        <v>61</v>
      </c>
      <c r="H2093" s="111"/>
      <c r="I2093" s="112"/>
      <c r="J2093" s="113"/>
      <c r="K2093" s="114"/>
      <c r="L2093" s="5"/>
    </row>
    <row r="2094" spans="1:12" x14ac:dyDescent="0.25">
      <c r="A2094" s="94" t="s">
        <v>453</v>
      </c>
      <c r="B2094" s="98" t="s">
        <v>47</v>
      </c>
      <c r="C2094" s="47"/>
      <c r="D2094" s="56">
        <v>413.93</v>
      </c>
      <c r="E2094" s="57">
        <v>9069.2099999999991</v>
      </c>
      <c r="F2094" s="44">
        <f>E2094/D2094</f>
        <v>21.910008938709442</v>
      </c>
      <c r="G2094" s="110" t="s">
        <v>51</v>
      </c>
      <c r="H2094" s="111"/>
      <c r="I2094" s="112"/>
      <c r="J2094" s="113"/>
      <c r="K2094" s="114"/>
      <c r="L2094" s="5"/>
    </row>
    <row r="2095" spans="1:12" x14ac:dyDescent="0.25">
      <c r="A2095" s="48"/>
      <c r="B2095" s="46"/>
      <c r="C2095" s="39"/>
      <c r="D2095" s="52"/>
      <c r="E2095" s="53"/>
      <c r="F2095" s="44"/>
      <c r="G2095" s="110" t="s">
        <v>58</v>
      </c>
      <c r="H2095" s="111"/>
      <c r="I2095" s="112"/>
      <c r="J2095" s="113"/>
      <c r="K2095" s="114"/>
      <c r="L2095" s="5"/>
    </row>
    <row r="2096" spans="1:12" x14ac:dyDescent="0.25">
      <c r="A2096" s="48"/>
      <c r="B2096" s="35"/>
      <c r="C2096" s="39"/>
      <c r="D2096" s="52"/>
      <c r="E2096" s="53"/>
      <c r="F2096" s="44"/>
      <c r="G2096" s="110" t="s">
        <v>51</v>
      </c>
      <c r="H2096" s="111"/>
      <c r="I2096" s="112"/>
      <c r="J2096" s="113"/>
      <c r="K2096" s="114"/>
      <c r="L2096" s="5"/>
    </row>
    <row r="2097" spans="1:12" x14ac:dyDescent="0.25">
      <c r="A2097" s="48"/>
      <c r="B2097" s="35"/>
      <c r="C2097" s="39"/>
      <c r="D2097" s="52"/>
      <c r="E2097" s="53"/>
      <c r="F2097" s="44"/>
      <c r="G2097" s="77"/>
      <c r="H2097" s="78" t="s">
        <v>69</v>
      </c>
      <c r="I2097" s="79"/>
      <c r="J2097" s="113"/>
      <c r="K2097" s="114"/>
      <c r="L2097" s="5"/>
    </row>
    <row r="2098" spans="1:12" x14ac:dyDescent="0.25">
      <c r="A2098" s="38"/>
      <c r="B2098" s="35"/>
      <c r="C2098" s="39"/>
      <c r="D2098" s="52"/>
      <c r="E2098" s="53"/>
      <c r="F2098" s="44"/>
      <c r="G2098" s="77"/>
      <c r="H2098" s="78" t="s">
        <v>72</v>
      </c>
      <c r="I2098" s="79"/>
      <c r="J2098" s="113"/>
      <c r="K2098" s="114"/>
      <c r="L2098" s="5"/>
    </row>
    <row r="2099" spans="1:12" ht="15.75" thickBot="1" x14ac:dyDescent="0.3">
      <c r="A2099" s="5"/>
      <c r="B2099" s="5"/>
      <c r="C2099" s="7" t="s">
        <v>35</v>
      </c>
      <c r="D2099" s="17">
        <f>SUM(D2091:D2098)</f>
        <v>1432.76</v>
      </c>
      <c r="E2099" s="17">
        <f>SUM(E2091:E2098)</f>
        <v>31980.86</v>
      </c>
      <c r="F2099" s="89">
        <f>AVERAGE(F2091:F2095)</f>
        <v>22.300054302147938</v>
      </c>
      <c r="G2099" s="110" t="s">
        <v>73</v>
      </c>
      <c r="H2099" s="111"/>
      <c r="I2099" s="112"/>
      <c r="J2099" s="113"/>
      <c r="K2099" s="114"/>
      <c r="L2099" s="7" t="s">
        <v>36</v>
      </c>
    </row>
    <row r="2100" spans="1:12" ht="15.75" thickBot="1" x14ac:dyDescent="0.3">
      <c r="A2100" s="5"/>
      <c r="B2100" s="5"/>
      <c r="C2100" s="5"/>
      <c r="D2100" s="5"/>
      <c r="E2100" s="5"/>
      <c r="F2100" s="5"/>
      <c r="G2100" s="130"/>
      <c r="H2100" s="131"/>
      <c r="I2100" s="132"/>
      <c r="J2100" s="133"/>
      <c r="K2100" s="134"/>
      <c r="L2100" s="18">
        <f>J2091+J2092+J2093+J2094+J2095+J2096+J2097+J2098+J2099</f>
        <v>0</v>
      </c>
    </row>
    <row r="2101" spans="1:12" ht="15.75" thickBot="1" x14ac:dyDescent="0.3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</row>
    <row r="2102" spans="1:12" ht="15.75" thickBot="1" x14ac:dyDescent="0.3">
      <c r="A2102" s="19"/>
      <c r="B2102" s="20"/>
      <c r="C2102" s="20"/>
      <c r="D2102" s="20"/>
      <c r="E2102" s="21" t="s">
        <v>13</v>
      </c>
      <c r="F2102" s="5"/>
      <c r="G2102" s="19"/>
      <c r="H2102" s="20"/>
      <c r="I2102" s="20"/>
      <c r="J2102" s="20"/>
      <c r="K2102" s="21" t="s">
        <v>13</v>
      </c>
      <c r="L2102" s="5"/>
    </row>
    <row r="2103" spans="1:12" x14ac:dyDescent="0.25">
      <c r="A2103" s="22" t="s">
        <v>31</v>
      </c>
      <c r="B2103" s="115">
        <v>19131</v>
      </c>
      <c r="C2103" s="116"/>
      <c r="D2103" s="116"/>
      <c r="E2103" s="117"/>
      <c r="F2103" s="5"/>
      <c r="G2103" s="22" t="s">
        <v>32</v>
      </c>
      <c r="H2103" s="115">
        <v>43195</v>
      </c>
      <c r="I2103" s="116"/>
      <c r="J2103" s="116"/>
      <c r="K2103" s="117"/>
      <c r="L2103" s="5"/>
    </row>
    <row r="2104" spans="1:12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</row>
    <row r="2105" spans="1:12" x14ac:dyDescent="0.25">
      <c r="A2105" s="7" t="s">
        <v>16</v>
      </c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</row>
    <row r="2106" spans="1:12" x14ac:dyDescent="0.25">
      <c r="A2106" s="9" t="s">
        <v>17</v>
      </c>
      <c r="B2106" s="23">
        <f>L2083-C2078</f>
        <v>3047</v>
      </c>
      <c r="C2106" s="5"/>
      <c r="D2106" s="106" t="s">
        <v>18</v>
      </c>
      <c r="E2106" s="107"/>
      <c r="F2106" s="24" t="s">
        <v>19</v>
      </c>
      <c r="G2106" s="9" t="s">
        <v>20</v>
      </c>
      <c r="H2106" s="118">
        <f>B2103+H2103</f>
        <v>62326</v>
      </c>
      <c r="I2106" s="119"/>
      <c r="J2106" s="60"/>
      <c r="K2106" s="5"/>
      <c r="L2106" s="5"/>
    </row>
    <row r="2107" spans="1:12" x14ac:dyDescent="0.25">
      <c r="A2107" s="9" t="s">
        <v>41</v>
      </c>
      <c r="B2107" s="40">
        <f>B2106/D2099</f>
        <v>2.1266646193361067</v>
      </c>
      <c r="C2107" s="5"/>
      <c r="D2107" s="102">
        <f>E2099</f>
        <v>31980.86</v>
      </c>
      <c r="E2107" s="103"/>
      <c r="F2107" s="25">
        <f>H2107/B2106</f>
        <v>11.424043321299639</v>
      </c>
      <c r="G2107" s="9" t="s">
        <v>21</v>
      </c>
      <c r="H2107" s="104">
        <f>L2100+D2107+D2109+D2111+D2113+A2110</f>
        <v>34809.06</v>
      </c>
      <c r="I2107" s="105"/>
      <c r="J2107" s="5"/>
      <c r="K2107" s="5"/>
      <c r="L2107" s="5"/>
    </row>
    <row r="2108" spans="1:12" x14ac:dyDescent="0.25">
      <c r="A2108" s="9" t="s">
        <v>43</v>
      </c>
      <c r="B2108" s="23">
        <f>D2099/B2106*100</f>
        <v>47.021988841483427</v>
      </c>
      <c r="C2108" s="5"/>
      <c r="D2108" s="106" t="s">
        <v>33</v>
      </c>
      <c r="E2108" s="107"/>
      <c r="F2108" s="5"/>
      <c r="G2108" s="13" t="s">
        <v>22</v>
      </c>
      <c r="H2108" s="6"/>
      <c r="I2108" s="26">
        <f>H2106-H2107</f>
        <v>27516.940000000002</v>
      </c>
      <c r="J2108" s="5"/>
      <c r="K2108" s="5"/>
      <c r="L2108" s="5"/>
    </row>
    <row r="2109" spans="1:12" x14ac:dyDescent="0.25">
      <c r="A2109" s="106" t="s">
        <v>40</v>
      </c>
      <c r="B2109" s="107"/>
      <c r="C2109" s="5"/>
      <c r="D2109" s="149">
        <v>1000</v>
      </c>
      <c r="E2109" s="150"/>
      <c r="F2109" s="5"/>
      <c r="G2109" s="5"/>
      <c r="H2109" s="5"/>
      <c r="I2109" s="5"/>
      <c r="J2109" s="5"/>
      <c r="K2109" s="5"/>
      <c r="L2109" s="5"/>
    </row>
    <row r="2110" spans="1:12" x14ac:dyDescent="0.25">
      <c r="A2110" s="108">
        <f>B2106*0.6</f>
        <v>1828.2</v>
      </c>
      <c r="B2110" s="109"/>
      <c r="C2110" s="5"/>
      <c r="D2110" s="106" t="s">
        <v>34</v>
      </c>
      <c r="E2110" s="107"/>
      <c r="F2110" s="5"/>
      <c r="G2110" s="145" t="s">
        <v>292</v>
      </c>
      <c r="H2110" s="146"/>
      <c r="I2110" s="23">
        <f>B2106/2.3</f>
        <v>1324.7826086956522</v>
      </c>
      <c r="J2110" s="60"/>
      <c r="K2110" s="5"/>
      <c r="L2110" s="5"/>
    </row>
    <row r="2111" spans="1:12" x14ac:dyDescent="0.25">
      <c r="A2111" s="5"/>
      <c r="B2111" s="5"/>
      <c r="C2111" s="5"/>
      <c r="D2111" s="108">
        <v>0</v>
      </c>
      <c r="E2111" s="109"/>
      <c r="F2111" s="5"/>
      <c r="G2111" s="145" t="s">
        <v>294</v>
      </c>
      <c r="H2111" s="146"/>
      <c r="I2111" s="23">
        <f>I2110-D2099</f>
        <v>-107.97739130434775</v>
      </c>
      <c r="J2111" s="5"/>
      <c r="K2111" s="5"/>
      <c r="L2111" s="5"/>
    </row>
    <row r="2112" spans="1:12" x14ac:dyDescent="0.25">
      <c r="A2112" s="5"/>
      <c r="B2112" s="5"/>
      <c r="C2112" s="5"/>
      <c r="D2112" s="106" t="s">
        <v>37</v>
      </c>
      <c r="E2112" s="107"/>
      <c r="F2112" s="5"/>
      <c r="G2112" s="147" t="s">
        <v>295</v>
      </c>
      <c r="H2112" s="148"/>
      <c r="I2112" s="86">
        <f>I2111*F2099</f>
        <v>-2407.9016894912315</v>
      </c>
      <c r="J2112" s="87">
        <f>I2108-I2112</f>
        <v>29924.841689491233</v>
      </c>
      <c r="K2112" s="5"/>
      <c r="L2112" s="5"/>
    </row>
    <row r="2113" spans="1:12" x14ac:dyDescent="0.25">
      <c r="A2113" s="5">
        <v>2214</v>
      </c>
      <c r="B2113" s="5">
        <v>1328.4</v>
      </c>
      <c r="C2113" s="5" t="s">
        <v>452</v>
      </c>
      <c r="D2113" s="108"/>
      <c r="E2113" s="109"/>
      <c r="F2113" s="5" t="s">
        <v>78</v>
      </c>
      <c r="G2113" s="5"/>
      <c r="H2113" s="5"/>
      <c r="I2113" s="5"/>
      <c r="J2113" s="88" t="s">
        <v>293</v>
      </c>
      <c r="K2113" s="44"/>
      <c r="L2113" s="5"/>
    </row>
    <row r="2114" spans="1:12" x14ac:dyDescent="0.25">
      <c r="A2114">
        <v>3047</v>
      </c>
      <c r="B2114">
        <v>1830</v>
      </c>
      <c r="C2114">
        <f>B2114-B2113</f>
        <v>501.59999999999991</v>
      </c>
      <c r="D2114" t="s">
        <v>457</v>
      </c>
    </row>
    <row r="2115" spans="1:12" s="49" customFormat="1" x14ac:dyDescent="0.25">
      <c r="A2115" s="49" t="s">
        <v>446</v>
      </c>
    </row>
    <row r="2118" spans="1:12" x14ac:dyDescent="0.25">
      <c r="A2118" s="120" t="s">
        <v>24</v>
      </c>
      <c r="B2118" s="120"/>
      <c r="C2118" s="120"/>
      <c r="D2118" s="120"/>
      <c r="E2118" s="120"/>
      <c r="F2118" s="120"/>
      <c r="G2118" s="120"/>
      <c r="H2118" s="120"/>
      <c r="I2118" s="120"/>
      <c r="J2118" s="120"/>
      <c r="K2118" s="120"/>
      <c r="L2118" s="120"/>
    </row>
    <row r="2119" spans="1:12" x14ac:dyDescent="0.25">
      <c r="A2119" s="120"/>
      <c r="B2119" s="120"/>
      <c r="C2119" s="120"/>
      <c r="D2119" s="120"/>
      <c r="E2119" s="120"/>
      <c r="F2119" s="120"/>
      <c r="G2119" s="120"/>
      <c r="H2119" s="120"/>
      <c r="I2119" s="120"/>
      <c r="J2119" s="120"/>
      <c r="K2119" s="120"/>
      <c r="L2119" s="120"/>
    </row>
    <row r="2120" spans="1:12" x14ac:dyDescent="0.25">
      <c r="A2120" s="1" t="s">
        <v>4</v>
      </c>
      <c r="B2120" s="2"/>
      <c r="C2120" s="90"/>
      <c r="D2120" s="2"/>
      <c r="E2120" s="2"/>
      <c r="F2120" s="2"/>
      <c r="G2120" s="3" t="s">
        <v>5</v>
      </c>
      <c r="H2120" s="3" t="s">
        <v>6</v>
      </c>
      <c r="I2120" s="4" t="s">
        <v>7</v>
      </c>
      <c r="J2120" s="5"/>
      <c r="K2120" s="5"/>
      <c r="L2120" s="5"/>
    </row>
    <row r="2121" spans="1:12" x14ac:dyDescent="0.25">
      <c r="A2121" s="91" t="s">
        <v>359</v>
      </c>
      <c r="B2121" s="92" t="s">
        <v>42</v>
      </c>
      <c r="C2121" s="64"/>
      <c r="D2121" s="66"/>
      <c r="E2121" s="2"/>
      <c r="F2121" s="2"/>
      <c r="G2121" s="91" t="s">
        <v>299</v>
      </c>
      <c r="H2121" s="66"/>
      <c r="I2121" s="33"/>
      <c r="J2121" s="6"/>
      <c r="K2121" s="33"/>
      <c r="L2121" s="6"/>
    </row>
    <row r="2122" spans="1:12" x14ac:dyDescent="0.25">
      <c r="A2122" s="7" t="s">
        <v>2</v>
      </c>
      <c r="B2122" s="5"/>
      <c r="C2122" s="5"/>
      <c r="D2122" s="5"/>
      <c r="E2122" s="5"/>
      <c r="F2122" s="5"/>
      <c r="G2122" s="8" t="s">
        <v>8</v>
      </c>
      <c r="H2122" s="93">
        <v>3</v>
      </c>
      <c r="I2122" s="5"/>
      <c r="J2122" s="5"/>
      <c r="K2122" s="5"/>
      <c r="L2122" s="5"/>
    </row>
    <row r="2123" spans="1:12" x14ac:dyDescent="0.25">
      <c r="A2123" s="7" t="s">
        <v>25</v>
      </c>
      <c r="B2123" s="5"/>
      <c r="C2123" s="7" t="s">
        <v>0</v>
      </c>
      <c r="D2123" s="5"/>
      <c r="E2123" s="5"/>
      <c r="F2123" s="5"/>
      <c r="G2123" s="7" t="s">
        <v>25</v>
      </c>
      <c r="H2123" s="5"/>
      <c r="I2123" s="7" t="s">
        <v>0</v>
      </c>
      <c r="J2123" s="5"/>
      <c r="K2123" s="5"/>
      <c r="L2123" s="5"/>
    </row>
    <row r="2124" spans="1:12" x14ac:dyDescent="0.25">
      <c r="A2124" s="42" t="s">
        <v>453</v>
      </c>
      <c r="B2124" s="6"/>
      <c r="C2124" s="31">
        <f>L2083</f>
        <v>962831</v>
      </c>
      <c r="D2124" s="5"/>
      <c r="E2124" s="5"/>
      <c r="F2124" s="5"/>
      <c r="G2124" s="42" t="s">
        <v>445</v>
      </c>
      <c r="H2124" s="6"/>
      <c r="I2124" s="9"/>
      <c r="J2124" s="5"/>
      <c r="K2124" s="5"/>
      <c r="L2124" s="5"/>
    </row>
    <row r="2125" spans="1:12" ht="16.5" thickBot="1" x14ac:dyDescent="0.3">
      <c r="A2125" s="7"/>
      <c r="B2125" s="62"/>
      <c r="C2125" s="62"/>
      <c r="D2125" s="62"/>
      <c r="E2125" s="5"/>
      <c r="F2125" s="5"/>
      <c r="G2125" s="10"/>
      <c r="H2125" s="5"/>
      <c r="I2125" s="5"/>
      <c r="J2125" s="5"/>
      <c r="K2125" s="5"/>
      <c r="L2125" s="5"/>
    </row>
    <row r="2126" spans="1:12" ht="15.75" thickBot="1" x14ac:dyDescent="0.3">
      <c r="A2126" s="121" t="s">
        <v>9</v>
      </c>
      <c r="B2126" s="122"/>
      <c r="C2126" s="123"/>
      <c r="D2126" s="5"/>
      <c r="E2126" s="5"/>
      <c r="F2126" s="5"/>
      <c r="G2126" s="121" t="s">
        <v>26</v>
      </c>
      <c r="H2126" s="122"/>
      <c r="I2126" s="123"/>
      <c r="J2126" s="5"/>
      <c r="K2126" s="5"/>
      <c r="L2126" s="5"/>
    </row>
    <row r="2127" spans="1:12" x14ac:dyDescent="0.25">
      <c r="A2127" s="30" t="s">
        <v>38</v>
      </c>
      <c r="B2127" s="11"/>
      <c r="C2127" s="11"/>
      <c r="D2127" s="11"/>
      <c r="E2127" s="6"/>
      <c r="F2127" s="5"/>
      <c r="G2127" s="30"/>
      <c r="H2127" s="11"/>
      <c r="I2127" s="11"/>
      <c r="J2127" s="11"/>
      <c r="K2127" s="11"/>
      <c r="L2127" s="6"/>
    </row>
    <row r="2128" spans="1:12" ht="15.75" thickBot="1" x14ac:dyDescent="0.3">
      <c r="A2128" s="7"/>
      <c r="B2128" s="7"/>
      <c r="C2128" s="7"/>
      <c r="D2128" s="5"/>
      <c r="E2128" s="5"/>
      <c r="F2128" s="5"/>
      <c r="G2128" s="7" t="str">
        <f>A2130</f>
        <v>Oshakati</v>
      </c>
      <c r="H2128" s="7"/>
      <c r="I2128" s="7"/>
      <c r="J2128" s="5"/>
      <c r="K2128" s="5"/>
      <c r="L2128" s="5"/>
    </row>
    <row r="2129" spans="1:12" ht="15.75" thickBot="1" x14ac:dyDescent="0.3">
      <c r="A2129" s="121"/>
      <c r="B2129" s="122"/>
      <c r="C2129" s="124"/>
      <c r="D2129" s="12" t="s">
        <v>1</v>
      </c>
      <c r="E2129" s="32"/>
      <c r="F2129" s="5"/>
      <c r="G2129" s="121" t="s">
        <v>27</v>
      </c>
      <c r="H2129" s="122"/>
      <c r="I2129" s="123"/>
      <c r="J2129" s="5"/>
      <c r="K2129" s="12" t="s">
        <v>1</v>
      </c>
      <c r="L2129" s="32">
        <v>964288</v>
      </c>
    </row>
    <row r="2130" spans="1:12" x14ac:dyDescent="0.25">
      <c r="A2130" s="30" t="s">
        <v>39</v>
      </c>
      <c r="B2130" s="11"/>
      <c r="C2130" s="11"/>
      <c r="D2130" s="11"/>
      <c r="E2130" s="6"/>
      <c r="F2130" s="5"/>
      <c r="G2130" s="30" t="s">
        <v>364</v>
      </c>
      <c r="H2130" s="11"/>
      <c r="I2130" s="11"/>
      <c r="J2130" s="11"/>
      <c r="K2130" s="11"/>
      <c r="L2130" s="6"/>
    </row>
    <row r="2131" spans="1:12" x14ac:dyDescent="0.25">
      <c r="A2131" s="76"/>
      <c r="B2131" s="11"/>
      <c r="C2131" s="11"/>
      <c r="D2131" s="11"/>
      <c r="E2131" s="6"/>
      <c r="F2131" s="5"/>
      <c r="G2131" s="34"/>
      <c r="H2131" s="11"/>
      <c r="I2131" s="11"/>
      <c r="J2131" s="11"/>
      <c r="K2131" s="11"/>
      <c r="L2131" s="6"/>
    </row>
    <row r="2132" spans="1:12" x14ac:dyDescent="0.25">
      <c r="A2132" s="13"/>
      <c r="B2132" s="11"/>
      <c r="C2132" s="11"/>
      <c r="D2132" s="11"/>
      <c r="E2132" s="6"/>
      <c r="F2132" s="5"/>
      <c r="G2132" s="13"/>
      <c r="H2132" s="11"/>
      <c r="I2132" s="11"/>
      <c r="J2132" s="11"/>
      <c r="K2132" s="11"/>
      <c r="L2132" s="6"/>
    </row>
    <row r="2133" spans="1:12" x14ac:dyDescent="0.25">
      <c r="A2133" s="13"/>
      <c r="B2133" s="11"/>
      <c r="C2133" s="11"/>
      <c r="D2133" s="11"/>
      <c r="E2133" s="6"/>
      <c r="F2133" s="5"/>
      <c r="G2133" s="13"/>
      <c r="H2133" s="11"/>
      <c r="I2133" s="11"/>
      <c r="J2133" s="11"/>
      <c r="K2133" s="11"/>
      <c r="L2133" s="6"/>
    </row>
    <row r="2134" spans="1:12" ht="15.75" thickBot="1" x14ac:dyDescent="0.3">
      <c r="A2134" s="13"/>
      <c r="B2134" s="11"/>
      <c r="C2134" s="11" t="s">
        <v>29</v>
      </c>
      <c r="D2134" s="43"/>
      <c r="E2134" s="6"/>
      <c r="F2134" s="5"/>
      <c r="G2134" s="13"/>
      <c r="H2134" s="11"/>
      <c r="I2134" s="14" t="s">
        <v>28</v>
      </c>
      <c r="J2134" s="43"/>
      <c r="K2134" s="59"/>
      <c r="L2134" s="6"/>
    </row>
    <row r="2135" spans="1:12" ht="15.75" thickBot="1" x14ac:dyDescent="0.3">
      <c r="A2135" s="15" t="s">
        <v>10</v>
      </c>
      <c r="B2135" s="5"/>
      <c r="C2135" s="5"/>
      <c r="D2135" s="5"/>
      <c r="E2135" s="5"/>
      <c r="F2135" s="5"/>
      <c r="G2135" s="15" t="s">
        <v>14</v>
      </c>
      <c r="H2135" s="5"/>
      <c r="I2135" s="5"/>
      <c r="J2135" s="5"/>
      <c r="K2135" s="5"/>
      <c r="L2135" s="5"/>
    </row>
    <row r="2136" spans="1:12" ht="15.75" thickBot="1" x14ac:dyDescent="0.3">
      <c r="A2136" s="121" t="s">
        <v>11</v>
      </c>
      <c r="B2136" s="122"/>
      <c r="C2136" s="123"/>
      <c r="D2136" s="16" t="s">
        <v>12</v>
      </c>
      <c r="E2136" s="16" t="s">
        <v>13</v>
      </c>
      <c r="F2136" s="5"/>
      <c r="G2136" s="121" t="s">
        <v>15</v>
      </c>
      <c r="H2136" s="122"/>
      <c r="I2136" s="123"/>
      <c r="J2136" s="121"/>
      <c r="K2136" s="123"/>
      <c r="L2136" s="5"/>
    </row>
    <row r="2137" spans="1:12" x14ac:dyDescent="0.25">
      <c r="A2137" s="45" t="s">
        <v>458</v>
      </c>
      <c r="B2137" s="46" t="s">
        <v>47</v>
      </c>
      <c r="C2137" s="47"/>
      <c r="D2137" s="56">
        <f>456.3+52.6</f>
        <v>508.90000000000003</v>
      </c>
      <c r="E2137" s="57">
        <v>11151.69</v>
      </c>
      <c r="F2137" s="44">
        <f>E2137/D2137</f>
        <v>21.913322853212811</v>
      </c>
      <c r="G2137" s="125" t="s">
        <v>69</v>
      </c>
      <c r="H2137" s="126"/>
      <c r="I2137" s="127"/>
      <c r="J2137" s="128">
        <v>0</v>
      </c>
      <c r="K2137" s="129"/>
      <c r="L2137" s="5"/>
    </row>
    <row r="2138" spans="1:12" x14ac:dyDescent="0.25">
      <c r="A2138" s="94"/>
      <c r="B2138" s="46"/>
      <c r="C2138" s="47"/>
      <c r="D2138" s="56"/>
      <c r="E2138" s="57"/>
      <c r="F2138" s="44"/>
      <c r="G2138" s="110" t="s">
        <v>59</v>
      </c>
      <c r="H2138" s="111"/>
      <c r="I2138" s="112"/>
      <c r="J2138" s="113"/>
      <c r="K2138" s="114"/>
      <c r="L2138" s="5"/>
    </row>
    <row r="2139" spans="1:12" x14ac:dyDescent="0.25">
      <c r="A2139" s="94"/>
      <c r="B2139" s="46"/>
      <c r="C2139" s="47"/>
      <c r="D2139" s="56"/>
      <c r="E2139" s="57"/>
      <c r="F2139" s="44"/>
      <c r="G2139" s="110" t="s">
        <v>61</v>
      </c>
      <c r="H2139" s="111"/>
      <c r="I2139" s="112"/>
      <c r="J2139" s="113"/>
      <c r="K2139" s="114"/>
      <c r="L2139" s="5"/>
    </row>
    <row r="2140" spans="1:12" x14ac:dyDescent="0.25">
      <c r="A2140" s="94"/>
      <c r="B2140" s="46"/>
      <c r="C2140" s="47"/>
      <c r="D2140" s="56"/>
      <c r="E2140" s="57"/>
      <c r="F2140" s="44"/>
      <c r="G2140" s="110" t="s">
        <v>51</v>
      </c>
      <c r="H2140" s="111"/>
      <c r="I2140" s="112"/>
      <c r="J2140" s="113"/>
      <c r="K2140" s="114"/>
      <c r="L2140" s="5"/>
    </row>
    <row r="2141" spans="1:12" x14ac:dyDescent="0.25">
      <c r="A2141" s="48"/>
      <c r="B2141" s="46"/>
      <c r="C2141" s="39"/>
      <c r="D2141" s="52"/>
      <c r="E2141" s="53"/>
      <c r="F2141" s="44"/>
      <c r="G2141" s="110" t="s">
        <v>58</v>
      </c>
      <c r="H2141" s="111"/>
      <c r="I2141" s="112"/>
      <c r="J2141" s="113"/>
      <c r="K2141" s="114"/>
      <c r="L2141" s="5"/>
    </row>
    <row r="2142" spans="1:12" x14ac:dyDescent="0.25">
      <c r="A2142" s="48"/>
      <c r="B2142" s="35"/>
      <c r="C2142" s="39"/>
      <c r="D2142" s="52"/>
      <c r="E2142" s="53"/>
      <c r="F2142" s="44"/>
      <c r="G2142" s="110" t="s">
        <v>51</v>
      </c>
      <c r="H2142" s="111"/>
      <c r="I2142" s="112"/>
      <c r="J2142" s="113"/>
      <c r="K2142" s="114"/>
      <c r="L2142" s="5"/>
    </row>
    <row r="2143" spans="1:12" x14ac:dyDescent="0.25">
      <c r="A2143" s="48"/>
      <c r="B2143" s="35"/>
      <c r="C2143" s="39"/>
      <c r="D2143" s="52"/>
      <c r="E2143" s="53"/>
      <c r="F2143" s="44"/>
      <c r="G2143" s="77"/>
      <c r="H2143" s="78" t="s">
        <v>69</v>
      </c>
      <c r="I2143" s="79"/>
      <c r="J2143" s="113"/>
      <c r="K2143" s="114"/>
      <c r="L2143" s="5"/>
    </row>
    <row r="2144" spans="1:12" x14ac:dyDescent="0.25">
      <c r="A2144" s="38"/>
      <c r="B2144" s="35"/>
      <c r="C2144" s="39"/>
      <c r="D2144" s="52"/>
      <c r="E2144" s="53"/>
      <c r="F2144" s="44"/>
      <c r="G2144" s="77"/>
      <c r="H2144" s="78" t="s">
        <v>72</v>
      </c>
      <c r="I2144" s="79"/>
      <c r="J2144" s="113"/>
      <c r="K2144" s="114"/>
      <c r="L2144" s="5"/>
    </row>
    <row r="2145" spans="1:12" ht="15.75" thickBot="1" x14ac:dyDescent="0.3">
      <c r="A2145" s="5"/>
      <c r="B2145" s="5"/>
      <c r="C2145" s="7" t="s">
        <v>35</v>
      </c>
      <c r="D2145" s="17">
        <f>SUM(D2137:D2144)</f>
        <v>508.90000000000003</v>
      </c>
      <c r="E2145" s="17">
        <f>SUM(E2137:E2144)</f>
        <v>11151.69</v>
      </c>
      <c r="F2145" s="89">
        <f>AVERAGE(F2137:F2141)</f>
        <v>21.913322853212811</v>
      </c>
      <c r="G2145" s="110" t="s">
        <v>73</v>
      </c>
      <c r="H2145" s="111"/>
      <c r="I2145" s="112"/>
      <c r="J2145" s="113"/>
      <c r="K2145" s="114"/>
      <c r="L2145" s="7" t="s">
        <v>36</v>
      </c>
    </row>
    <row r="2146" spans="1:12" ht="15.75" thickBot="1" x14ac:dyDescent="0.3">
      <c r="A2146" s="5"/>
      <c r="B2146" s="5"/>
      <c r="C2146" s="5"/>
      <c r="D2146" s="5"/>
      <c r="E2146" s="5"/>
      <c r="F2146" s="5"/>
      <c r="G2146" s="130"/>
      <c r="H2146" s="131"/>
      <c r="I2146" s="132"/>
      <c r="J2146" s="133"/>
      <c r="K2146" s="134"/>
      <c r="L2146" s="18">
        <f>J2137+J2138+J2139+J2140+J2141+J2142+J2143+J2144+J2145</f>
        <v>0</v>
      </c>
    </row>
    <row r="2147" spans="1:12" ht="15.75" thickBot="1" x14ac:dyDescent="0.3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</row>
    <row r="2148" spans="1:12" ht="15.75" thickBot="1" x14ac:dyDescent="0.3">
      <c r="A2148" s="19"/>
      <c r="B2148" s="20"/>
      <c r="C2148" s="20"/>
      <c r="D2148" s="20"/>
      <c r="E2148" s="21" t="s">
        <v>13</v>
      </c>
      <c r="F2148" s="5"/>
      <c r="G2148" s="19"/>
      <c r="H2148" s="20"/>
      <c r="I2148" s="20"/>
      <c r="J2148" s="20"/>
      <c r="K2148" s="21" t="s">
        <v>13</v>
      </c>
      <c r="L2148" s="5"/>
    </row>
    <row r="2149" spans="1:12" x14ac:dyDescent="0.25">
      <c r="A2149" s="22" t="s">
        <v>31</v>
      </c>
      <c r="B2149" s="115">
        <v>29253</v>
      </c>
      <c r="C2149" s="116"/>
      <c r="D2149" s="116"/>
      <c r="E2149" s="117"/>
      <c r="F2149" s="5"/>
      <c r="G2149" s="22" t="s">
        <v>32</v>
      </c>
      <c r="H2149" s="115">
        <v>0</v>
      </c>
      <c r="I2149" s="116"/>
      <c r="J2149" s="116"/>
      <c r="K2149" s="117"/>
      <c r="L2149" s="5"/>
    </row>
    <row r="2150" spans="1:12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</row>
    <row r="2151" spans="1:12" x14ac:dyDescent="0.25">
      <c r="A2151" s="7" t="s">
        <v>16</v>
      </c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</row>
    <row r="2152" spans="1:12" x14ac:dyDescent="0.25">
      <c r="A2152" s="9" t="s">
        <v>17</v>
      </c>
      <c r="B2152" s="23">
        <f>L2129-C2124</f>
        <v>1457</v>
      </c>
      <c r="C2152" s="5"/>
      <c r="D2152" s="106" t="s">
        <v>18</v>
      </c>
      <c r="E2152" s="107"/>
      <c r="F2152" s="24" t="s">
        <v>19</v>
      </c>
      <c r="G2152" s="9" t="s">
        <v>20</v>
      </c>
      <c r="H2152" s="118">
        <f>B2149+H2149</f>
        <v>29253</v>
      </c>
      <c r="I2152" s="119"/>
      <c r="J2152" s="60"/>
      <c r="K2152" s="5"/>
      <c r="L2152" s="5"/>
    </row>
    <row r="2153" spans="1:12" x14ac:dyDescent="0.25">
      <c r="A2153" s="9" t="s">
        <v>41</v>
      </c>
      <c r="B2153" s="40">
        <f>B2152/D2145</f>
        <v>2.8630379249361364</v>
      </c>
      <c r="C2153" s="5"/>
      <c r="D2153" s="102">
        <f>E2145</f>
        <v>11151.69</v>
      </c>
      <c r="E2153" s="103"/>
      <c r="F2153" s="25">
        <f>H2153/B2152</f>
        <v>8.5970418668496915</v>
      </c>
      <c r="G2153" s="9" t="s">
        <v>21</v>
      </c>
      <c r="H2153" s="104">
        <f>L2146+D2153+D2155+D2157+D2159+A2156</f>
        <v>12525.890000000001</v>
      </c>
      <c r="I2153" s="105"/>
      <c r="J2153" s="5"/>
      <c r="K2153" s="5"/>
      <c r="L2153" s="5"/>
    </row>
    <row r="2154" spans="1:12" x14ac:dyDescent="0.25">
      <c r="A2154" s="9" t="s">
        <v>43</v>
      </c>
      <c r="B2154" s="23">
        <f>D2145/B2152*100</f>
        <v>34.927934111187376</v>
      </c>
      <c r="C2154" s="5"/>
      <c r="D2154" s="106" t="s">
        <v>33</v>
      </c>
      <c r="E2154" s="107"/>
      <c r="F2154" s="5"/>
      <c r="G2154" s="13" t="s">
        <v>22</v>
      </c>
      <c r="H2154" s="6"/>
      <c r="I2154" s="26">
        <f>H2152-H2153</f>
        <v>16727.11</v>
      </c>
      <c r="J2154" s="5"/>
      <c r="K2154" s="5"/>
      <c r="L2154" s="5"/>
    </row>
    <row r="2155" spans="1:12" x14ac:dyDescent="0.25">
      <c r="A2155" s="106" t="s">
        <v>40</v>
      </c>
      <c r="B2155" s="107"/>
      <c r="C2155" s="5"/>
      <c r="D2155" s="149">
        <v>500</v>
      </c>
      <c r="E2155" s="150"/>
      <c r="F2155" s="5"/>
      <c r="G2155" s="5"/>
      <c r="H2155" s="5"/>
      <c r="I2155" s="5"/>
      <c r="J2155" s="5"/>
      <c r="K2155" s="5"/>
      <c r="L2155" s="5"/>
    </row>
    <row r="2156" spans="1:12" x14ac:dyDescent="0.25">
      <c r="A2156" s="108">
        <f>B2152*0.6</f>
        <v>874.19999999999993</v>
      </c>
      <c r="B2156" s="109"/>
      <c r="C2156" s="5"/>
      <c r="D2156" s="106" t="s">
        <v>34</v>
      </c>
      <c r="E2156" s="107"/>
      <c r="F2156" s="5"/>
      <c r="G2156" s="145" t="s">
        <v>292</v>
      </c>
      <c r="H2156" s="146"/>
      <c r="I2156" s="23">
        <f>B2152/2.3</f>
        <v>633.47826086956525</v>
      </c>
      <c r="J2156" s="60"/>
      <c r="K2156" s="5"/>
      <c r="L2156" s="5"/>
    </row>
    <row r="2157" spans="1:12" x14ac:dyDescent="0.25">
      <c r="A2157" s="5"/>
      <c r="B2157" s="5"/>
      <c r="C2157" s="5"/>
      <c r="D2157" s="108">
        <v>0</v>
      </c>
      <c r="E2157" s="109"/>
      <c r="F2157" s="5"/>
      <c r="G2157" s="145" t="s">
        <v>294</v>
      </c>
      <c r="H2157" s="146"/>
      <c r="I2157" s="23">
        <f>I2156-D2145</f>
        <v>124.57826086956521</v>
      </c>
      <c r="J2157" s="5"/>
      <c r="K2157" s="5"/>
      <c r="L2157" s="5"/>
    </row>
    <row r="2158" spans="1:12" x14ac:dyDescent="0.25">
      <c r="A2158" s="5"/>
      <c r="B2158" s="5"/>
      <c r="C2158" s="5"/>
      <c r="D2158" s="106" t="s">
        <v>37</v>
      </c>
      <c r="E2158" s="107"/>
      <c r="F2158" s="5"/>
      <c r="G2158" s="147" t="s">
        <v>295</v>
      </c>
      <c r="H2158" s="148"/>
      <c r="I2158" s="86">
        <f>I2157*F2145</f>
        <v>2729.9236509265506</v>
      </c>
      <c r="J2158" s="87">
        <f>I2154-I2158</f>
        <v>13997.18634907345</v>
      </c>
      <c r="K2158" s="5"/>
      <c r="L2158" s="5"/>
    </row>
    <row r="2159" spans="1:12" x14ac:dyDescent="0.25">
      <c r="A2159" s="5"/>
      <c r="B2159" s="5"/>
      <c r="C2159" s="5"/>
      <c r="D2159" s="108"/>
      <c r="E2159" s="109"/>
      <c r="F2159" s="5" t="s">
        <v>78</v>
      </c>
      <c r="G2159" s="5"/>
      <c r="H2159" s="5"/>
      <c r="I2159" s="5"/>
      <c r="J2159" s="88" t="s">
        <v>293</v>
      </c>
      <c r="K2159" s="44"/>
      <c r="L2159" s="5"/>
    </row>
    <row r="2161" spans="1:12" s="49" customFormat="1" x14ac:dyDescent="0.25"/>
    <row r="2164" spans="1:12" x14ac:dyDescent="0.25">
      <c r="A2164" s="120" t="s">
        <v>24</v>
      </c>
      <c r="B2164" s="120"/>
      <c r="C2164" s="120"/>
      <c r="D2164" s="120"/>
      <c r="E2164" s="120"/>
      <c r="F2164" s="120"/>
      <c r="G2164" s="120"/>
      <c r="H2164" s="120"/>
      <c r="I2164" s="120"/>
      <c r="J2164" s="120"/>
      <c r="K2164" s="120"/>
      <c r="L2164" s="120"/>
    </row>
    <row r="2165" spans="1:12" x14ac:dyDescent="0.25">
      <c r="A2165" s="120"/>
      <c r="B2165" s="120"/>
      <c r="C2165" s="120"/>
      <c r="D2165" s="120"/>
      <c r="E2165" s="120"/>
      <c r="F2165" s="120"/>
      <c r="G2165" s="120"/>
      <c r="H2165" s="120"/>
      <c r="I2165" s="120"/>
      <c r="J2165" s="120"/>
      <c r="K2165" s="120"/>
      <c r="L2165" s="120"/>
    </row>
    <row r="2166" spans="1:12" x14ac:dyDescent="0.25">
      <c r="A2166" s="1" t="s">
        <v>4</v>
      </c>
      <c r="B2166" s="2"/>
      <c r="C2166" s="90"/>
      <c r="D2166" s="2"/>
      <c r="E2166" s="2"/>
      <c r="F2166" s="2"/>
      <c r="G2166" s="3" t="s">
        <v>5</v>
      </c>
      <c r="H2166" s="3" t="s">
        <v>6</v>
      </c>
      <c r="I2166" s="4" t="s">
        <v>7</v>
      </c>
      <c r="J2166" s="5"/>
      <c r="K2166" s="5"/>
      <c r="L2166" s="5"/>
    </row>
    <row r="2167" spans="1:12" x14ac:dyDescent="0.25">
      <c r="A2167" s="91" t="s">
        <v>359</v>
      </c>
      <c r="B2167" s="92" t="s">
        <v>42</v>
      </c>
      <c r="C2167" s="64"/>
      <c r="D2167" s="66"/>
      <c r="E2167" s="2"/>
      <c r="F2167" s="2"/>
      <c r="G2167" s="91" t="s">
        <v>299</v>
      </c>
      <c r="H2167" s="66"/>
      <c r="I2167" s="33"/>
      <c r="J2167" s="6"/>
      <c r="K2167" s="33"/>
      <c r="L2167" s="6"/>
    </row>
    <row r="2168" spans="1:12" x14ac:dyDescent="0.25">
      <c r="A2168" s="7" t="s">
        <v>2</v>
      </c>
      <c r="B2168" s="5"/>
      <c r="C2168" s="5"/>
      <c r="D2168" s="5"/>
      <c r="E2168" s="5"/>
      <c r="F2168" s="5"/>
      <c r="G2168" s="8" t="s">
        <v>8</v>
      </c>
      <c r="H2168" s="93">
        <v>3</v>
      </c>
      <c r="I2168" s="5"/>
      <c r="J2168" s="5"/>
      <c r="K2168" s="5"/>
      <c r="L2168" s="5"/>
    </row>
    <row r="2169" spans="1:12" x14ac:dyDescent="0.25">
      <c r="A2169" s="7" t="s">
        <v>25</v>
      </c>
      <c r="B2169" s="5"/>
      <c r="C2169" s="7" t="s">
        <v>0</v>
      </c>
      <c r="D2169" s="5"/>
      <c r="E2169" s="5"/>
      <c r="F2169" s="5"/>
      <c r="G2169" s="7" t="s">
        <v>25</v>
      </c>
      <c r="H2169" s="5"/>
      <c r="I2169" s="7" t="s">
        <v>0</v>
      </c>
      <c r="J2169" s="5"/>
      <c r="K2169" s="5"/>
      <c r="L2169" s="5"/>
    </row>
    <row r="2170" spans="1:12" x14ac:dyDescent="0.25">
      <c r="A2170" s="42" t="s">
        <v>458</v>
      </c>
      <c r="B2170" s="6"/>
      <c r="C2170" s="31">
        <f>L2129</f>
        <v>964288</v>
      </c>
      <c r="D2170" s="5"/>
      <c r="E2170" s="5"/>
      <c r="F2170" s="5"/>
      <c r="G2170" s="42">
        <v>45661</v>
      </c>
      <c r="H2170" s="6"/>
      <c r="I2170" s="9"/>
      <c r="J2170" s="5"/>
      <c r="K2170" s="5"/>
      <c r="L2170" s="5"/>
    </row>
    <row r="2171" spans="1:12" ht="16.5" thickBot="1" x14ac:dyDescent="0.3">
      <c r="A2171" s="7"/>
      <c r="B2171" s="62"/>
      <c r="C2171" s="62"/>
      <c r="D2171" s="62"/>
      <c r="E2171" s="5"/>
      <c r="F2171" s="5"/>
      <c r="G2171" s="10"/>
      <c r="H2171" s="5"/>
      <c r="I2171" s="5"/>
      <c r="J2171" s="5"/>
      <c r="K2171" s="5"/>
      <c r="L2171" s="5"/>
    </row>
    <row r="2172" spans="1:12" ht="15.75" thickBot="1" x14ac:dyDescent="0.3">
      <c r="A2172" s="121" t="s">
        <v>9</v>
      </c>
      <c r="B2172" s="122"/>
      <c r="C2172" s="123"/>
      <c r="D2172" s="5"/>
      <c r="E2172" s="5"/>
      <c r="F2172" s="5"/>
      <c r="G2172" s="121" t="s">
        <v>26</v>
      </c>
      <c r="H2172" s="122"/>
      <c r="I2172" s="123"/>
      <c r="J2172" s="5"/>
      <c r="K2172" s="5"/>
      <c r="L2172" s="5"/>
    </row>
    <row r="2173" spans="1:12" x14ac:dyDescent="0.25">
      <c r="A2173" s="30" t="s">
        <v>38</v>
      </c>
      <c r="B2173" s="11"/>
      <c r="C2173" s="11"/>
      <c r="D2173" s="11"/>
      <c r="E2173" s="6"/>
      <c r="F2173" s="5"/>
      <c r="G2173" s="30"/>
      <c r="H2173" s="11"/>
      <c r="I2173" s="11"/>
      <c r="J2173" s="11"/>
      <c r="K2173" s="11"/>
      <c r="L2173" s="6"/>
    </row>
    <row r="2174" spans="1:12" ht="15.75" thickBot="1" x14ac:dyDescent="0.3">
      <c r="A2174" s="7"/>
      <c r="B2174" s="7"/>
      <c r="C2174" s="7"/>
      <c r="D2174" s="5"/>
      <c r="E2174" s="5"/>
      <c r="F2174" s="5"/>
      <c r="G2174" s="7" t="str">
        <f>A2176</f>
        <v>NBL - JHB</v>
      </c>
      <c r="H2174" s="7"/>
      <c r="I2174" s="7"/>
      <c r="J2174" s="5"/>
      <c r="K2174" s="5"/>
      <c r="L2174" s="5"/>
    </row>
    <row r="2175" spans="1:12" ht="15.75" thickBot="1" x14ac:dyDescent="0.3">
      <c r="A2175" s="121"/>
      <c r="B2175" s="122"/>
      <c r="C2175" s="124"/>
      <c r="D2175" s="12" t="s">
        <v>1</v>
      </c>
      <c r="E2175" s="32"/>
      <c r="F2175" s="5"/>
      <c r="G2175" s="121" t="s">
        <v>27</v>
      </c>
      <c r="H2175" s="122"/>
      <c r="I2175" s="123"/>
      <c r="J2175" s="5"/>
      <c r="K2175" s="12" t="s">
        <v>1</v>
      </c>
      <c r="L2175" s="32">
        <v>967251</v>
      </c>
    </row>
    <row r="2176" spans="1:12" x14ac:dyDescent="0.25">
      <c r="A2176" s="30" t="s">
        <v>459</v>
      </c>
      <c r="B2176" s="11"/>
      <c r="C2176" s="11"/>
      <c r="D2176" s="11"/>
      <c r="E2176" s="6"/>
      <c r="F2176" s="5"/>
      <c r="G2176" s="30" t="s">
        <v>364</v>
      </c>
      <c r="H2176" s="11"/>
      <c r="I2176" s="11"/>
      <c r="J2176" s="11"/>
      <c r="K2176" s="11"/>
      <c r="L2176" s="6"/>
    </row>
    <row r="2177" spans="1:12" x14ac:dyDescent="0.25">
      <c r="A2177" s="76"/>
      <c r="B2177" s="11"/>
      <c r="C2177" s="11"/>
      <c r="D2177" s="11"/>
      <c r="E2177" s="6"/>
      <c r="F2177" s="5"/>
      <c r="G2177" s="34"/>
      <c r="H2177" s="11"/>
      <c r="I2177" s="11"/>
      <c r="J2177" s="11"/>
      <c r="K2177" s="11"/>
      <c r="L2177" s="6"/>
    </row>
    <row r="2178" spans="1:12" x14ac:dyDescent="0.25">
      <c r="A2178" s="13"/>
      <c r="B2178" s="11"/>
      <c r="C2178" s="11"/>
      <c r="D2178" s="11"/>
      <c r="E2178" s="6"/>
      <c r="F2178" s="5"/>
      <c r="G2178" s="13"/>
      <c r="H2178" s="11"/>
      <c r="I2178" s="11"/>
      <c r="J2178" s="11"/>
      <c r="K2178" s="11"/>
      <c r="L2178" s="6"/>
    </row>
    <row r="2179" spans="1:12" x14ac:dyDescent="0.25">
      <c r="A2179" s="13"/>
      <c r="B2179" s="11"/>
      <c r="C2179" s="11"/>
      <c r="D2179" s="11"/>
      <c r="E2179" s="6"/>
      <c r="F2179" s="5"/>
      <c r="G2179" s="13"/>
      <c r="H2179" s="11"/>
      <c r="I2179" s="11"/>
      <c r="J2179" s="11"/>
      <c r="K2179" s="11"/>
      <c r="L2179" s="6"/>
    </row>
    <row r="2180" spans="1:12" ht="15.75" thickBot="1" x14ac:dyDescent="0.3">
      <c r="A2180" s="13"/>
      <c r="B2180" s="11"/>
      <c r="C2180" s="11" t="s">
        <v>29</v>
      </c>
      <c r="D2180" s="43"/>
      <c r="E2180" s="6"/>
      <c r="F2180" s="5"/>
      <c r="G2180" s="13"/>
      <c r="H2180" s="11"/>
      <c r="I2180" s="14" t="s">
        <v>28</v>
      </c>
      <c r="J2180" s="43"/>
      <c r="K2180" s="59"/>
      <c r="L2180" s="6"/>
    </row>
    <row r="2181" spans="1:12" ht="15.75" thickBot="1" x14ac:dyDescent="0.3">
      <c r="A2181" s="15" t="s">
        <v>10</v>
      </c>
      <c r="B2181" s="5"/>
      <c r="C2181" s="5"/>
      <c r="D2181" s="5"/>
      <c r="E2181" s="5"/>
      <c r="F2181" s="5"/>
      <c r="G2181" s="15" t="s">
        <v>14</v>
      </c>
      <c r="H2181" s="5"/>
      <c r="I2181" s="5"/>
      <c r="J2181" s="5"/>
      <c r="K2181" s="5"/>
      <c r="L2181" s="5"/>
    </row>
    <row r="2182" spans="1:12" ht="15.75" thickBot="1" x14ac:dyDescent="0.3">
      <c r="A2182" s="121" t="s">
        <v>11</v>
      </c>
      <c r="B2182" s="122"/>
      <c r="C2182" s="123"/>
      <c r="D2182" s="16" t="s">
        <v>12</v>
      </c>
      <c r="E2182" s="16" t="s">
        <v>13</v>
      </c>
      <c r="F2182" s="5"/>
      <c r="G2182" s="121" t="s">
        <v>15</v>
      </c>
      <c r="H2182" s="122"/>
      <c r="I2182" s="123"/>
      <c r="J2182" s="121"/>
      <c r="K2182" s="123"/>
      <c r="L2182" s="5"/>
    </row>
    <row r="2183" spans="1:12" x14ac:dyDescent="0.25">
      <c r="A2183" s="45">
        <v>45661</v>
      </c>
      <c r="B2183" s="46" t="s">
        <v>460</v>
      </c>
      <c r="C2183" s="47"/>
      <c r="D2183" s="56">
        <v>740.90899999999999</v>
      </c>
      <c r="E2183" s="57">
        <v>16863.099999999999</v>
      </c>
      <c r="F2183" s="44">
        <f>E2183/D2183</f>
        <v>22.760015062578532</v>
      </c>
      <c r="G2183" s="125" t="s">
        <v>69</v>
      </c>
      <c r="H2183" s="126"/>
      <c r="I2183" s="127"/>
      <c r="J2183" s="128">
        <v>0</v>
      </c>
      <c r="K2183" s="129"/>
      <c r="L2183" s="5"/>
    </row>
    <row r="2184" spans="1:12" x14ac:dyDescent="0.25">
      <c r="A2184" s="94">
        <v>45781</v>
      </c>
      <c r="B2184" s="46" t="s">
        <v>47</v>
      </c>
      <c r="C2184" s="47"/>
      <c r="D2184" s="56">
        <v>473.6</v>
      </c>
      <c r="E2184" s="57">
        <v>9999</v>
      </c>
      <c r="F2184" s="44">
        <f>E2184/D2184</f>
        <v>21.112753378378379</v>
      </c>
      <c r="G2184" s="110" t="s">
        <v>59</v>
      </c>
      <c r="H2184" s="111"/>
      <c r="I2184" s="112"/>
      <c r="J2184" s="113"/>
      <c r="K2184" s="114"/>
      <c r="L2184" s="5"/>
    </row>
    <row r="2185" spans="1:12" x14ac:dyDescent="0.25">
      <c r="A2185" s="94"/>
      <c r="B2185" s="46"/>
      <c r="C2185" s="47"/>
      <c r="D2185" s="56"/>
      <c r="E2185" s="57"/>
      <c r="F2185" s="44"/>
      <c r="G2185" s="110" t="s">
        <v>61</v>
      </c>
      <c r="H2185" s="111"/>
      <c r="I2185" s="112"/>
      <c r="J2185" s="113"/>
      <c r="K2185" s="114"/>
      <c r="L2185" s="5"/>
    </row>
    <row r="2186" spans="1:12" x14ac:dyDescent="0.25">
      <c r="A2186" s="94"/>
      <c r="B2186" s="46"/>
      <c r="C2186" s="47"/>
      <c r="D2186" s="56"/>
      <c r="E2186" s="57"/>
      <c r="F2186" s="44"/>
      <c r="G2186" s="110" t="s">
        <v>51</v>
      </c>
      <c r="H2186" s="111"/>
      <c r="I2186" s="112"/>
      <c r="J2186" s="113"/>
      <c r="K2186" s="114"/>
      <c r="L2186" s="5"/>
    </row>
    <row r="2187" spans="1:12" x14ac:dyDescent="0.25">
      <c r="A2187" s="48"/>
      <c r="B2187" s="46"/>
      <c r="C2187" s="39"/>
      <c r="D2187" s="52"/>
      <c r="E2187" s="53"/>
      <c r="F2187" s="44"/>
      <c r="G2187" s="110" t="s">
        <v>58</v>
      </c>
      <c r="H2187" s="111"/>
      <c r="I2187" s="112"/>
      <c r="J2187" s="113"/>
      <c r="K2187" s="114"/>
      <c r="L2187" s="5"/>
    </row>
    <row r="2188" spans="1:12" x14ac:dyDescent="0.25">
      <c r="A2188" s="48"/>
      <c r="B2188" s="35"/>
      <c r="C2188" s="39"/>
      <c r="D2188" s="52"/>
      <c r="E2188" s="53"/>
      <c r="F2188" s="44"/>
      <c r="G2188" s="110" t="s">
        <v>51</v>
      </c>
      <c r="H2188" s="111"/>
      <c r="I2188" s="112"/>
      <c r="J2188" s="113"/>
      <c r="K2188" s="114"/>
      <c r="L2188" s="5"/>
    </row>
    <row r="2189" spans="1:12" x14ac:dyDescent="0.25">
      <c r="A2189" s="48"/>
      <c r="B2189" s="35"/>
      <c r="C2189" s="39"/>
      <c r="D2189" s="52"/>
      <c r="E2189" s="53"/>
      <c r="F2189" s="44"/>
      <c r="G2189" s="77"/>
      <c r="H2189" s="78" t="s">
        <v>69</v>
      </c>
      <c r="I2189" s="79"/>
      <c r="J2189" s="113">
        <f>355+355</f>
        <v>710</v>
      </c>
      <c r="K2189" s="114"/>
      <c r="L2189" s="5"/>
    </row>
    <row r="2190" spans="1:12" x14ac:dyDescent="0.25">
      <c r="A2190" s="38"/>
      <c r="B2190" s="35"/>
      <c r="C2190" s="39"/>
      <c r="D2190" s="52"/>
      <c r="E2190" s="53"/>
      <c r="F2190" s="44"/>
      <c r="G2190" s="77"/>
      <c r="H2190" s="78" t="s">
        <v>72</v>
      </c>
      <c r="I2190" s="79"/>
      <c r="J2190" s="113"/>
      <c r="K2190" s="114"/>
      <c r="L2190" s="5"/>
    </row>
    <row r="2191" spans="1:12" ht="15.75" thickBot="1" x14ac:dyDescent="0.3">
      <c r="A2191" s="5"/>
      <c r="B2191" s="5"/>
      <c r="C2191" s="7" t="s">
        <v>35</v>
      </c>
      <c r="D2191" s="17">
        <f>SUM(D2183:D2190)</f>
        <v>1214.509</v>
      </c>
      <c r="E2191" s="17">
        <f>SUM(E2183:E2190)</f>
        <v>26862.1</v>
      </c>
      <c r="F2191" s="89">
        <f>AVERAGE(F2183:F2187)</f>
        <v>21.936384220478455</v>
      </c>
      <c r="G2191" s="110" t="s">
        <v>73</v>
      </c>
      <c r="H2191" s="111"/>
      <c r="I2191" s="112"/>
      <c r="J2191" s="113"/>
      <c r="K2191" s="114"/>
      <c r="L2191" s="7" t="s">
        <v>36</v>
      </c>
    </row>
    <row r="2192" spans="1:12" ht="15.75" thickBot="1" x14ac:dyDescent="0.3">
      <c r="A2192" s="5"/>
      <c r="B2192" s="5"/>
      <c r="C2192" s="5"/>
      <c r="D2192" s="5"/>
      <c r="E2192" s="5"/>
      <c r="F2192" s="5"/>
      <c r="G2192" s="130"/>
      <c r="H2192" s="131"/>
      <c r="I2192" s="132"/>
      <c r="J2192" s="133"/>
      <c r="K2192" s="134"/>
      <c r="L2192" s="18">
        <f>J2183+J2184+J2185+J2186+J2187+J2188+J2189+J2190+J2191</f>
        <v>710</v>
      </c>
    </row>
    <row r="2193" spans="1:12" ht="15.75" thickBot="1" x14ac:dyDescent="0.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</row>
    <row r="2194" spans="1:12" ht="15.75" thickBot="1" x14ac:dyDescent="0.3">
      <c r="A2194" s="19"/>
      <c r="B2194" s="20"/>
      <c r="C2194" s="20"/>
      <c r="D2194" s="20"/>
      <c r="E2194" s="21" t="s">
        <v>13</v>
      </c>
      <c r="F2194" s="5"/>
      <c r="G2194" s="19"/>
      <c r="H2194" s="20"/>
      <c r="I2194" s="20"/>
      <c r="J2194" s="20"/>
      <c r="K2194" s="21" t="s">
        <v>13</v>
      </c>
      <c r="L2194" s="5"/>
    </row>
    <row r="2195" spans="1:12" x14ac:dyDescent="0.25">
      <c r="A2195" s="22" t="s">
        <v>31</v>
      </c>
      <c r="B2195" s="115">
        <v>18328</v>
      </c>
      <c r="C2195" s="116"/>
      <c r="D2195" s="116"/>
      <c r="E2195" s="117"/>
      <c r="F2195" s="5"/>
      <c r="G2195" s="22" t="s">
        <v>32</v>
      </c>
      <c r="H2195" s="115">
        <v>43195</v>
      </c>
      <c r="I2195" s="116"/>
      <c r="J2195" s="116"/>
      <c r="K2195" s="117"/>
      <c r="L2195" s="5"/>
    </row>
    <row r="2196" spans="1:12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</row>
    <row r="2197" spans="1:12" x14ac:dyDescent="0.25">
      <c r="A2197" s="7" t="s">
        <v>16</v>
      </c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</row>
    <row r="2198" spans="1:12" x14ac:dyDescent="0.25">
      <c r="A2198" s="9" t="s">
        <v>17</v>
      </c>
      <c r="B2198" s="23">
        <f>L2175-C2170</f>
        <v>2963</v>
      </c>
      <c r="C2198" s="5"/>
      <c r="D2198" s="106" t="s">
        <v>18</v>
      </c>
      <c r="E2198" s="107"/>
      <c r="F2198" s="24" t="s">
        <v>19</v>
      </c>
      <c r="G2198" s="9" t="s">
        <v>20</v>
      </c>
      <c r="H2198" s="118">
        <f>B2195+H2195</f>
        <v>61523</v>
      </c>
      <c r="I2198" s="119"/>
      <c r="J2198" s="60"/>
      <c r="K2198" s="5"/>
      <c r="L2198" s="5"/>
    </row>
    <row r="2199" spans="1:12" x14ac:dyDescent="0.25">
      <c r="A2199" s="9" t="s">
        <v>41</v>
      </c>
      <c r="B2199" s="40">
        <f>B2198/D2191</f>
        <v>2.4396690349762742</v>
      </c>
      <c r="C2199" s="5"/>
      <c r="D2199" s="102">
        <f>E2191</f>
        <v>26862.1</v>
      </c>
      <c r="E2199" s="103"/>
      <c r="F2199" s="25">
        <f>H2199/B2198</f>
        <v>11.592946338170773</v>
      </c>
      <c r="G2199" s="9" t="s">
        <v>21</v>
      </c>
      <c r="H2199" s="104">
        <f>L2192+D2199+D2201+D2203+D2205+A2202</f>
        <v>34349.9</v>
      </c>
      <c r="I2199" s="105"/>
      <c r="J2199" s="5"/>
      <c r="K2199" s="5"/>
      <c r="L2199" s="5"/>
    </row>
    <row r="2200" spans="1:12" x14ac:dyDescent="0.25">
      <c r="A2200" s="9" t="s">
        <v>43</v>
      </c>
      <c r="B2200" s="23">
        <f>D2191/B2198*100</f>
        <v>40.989166385420184</v>
      </c>
      <c r="C2200" s="5"/>
      <c r="D2200" s="106" t="s">
        <v>33</v>
      </c>
      <c r="E2200" s="107"/>
      <c r="F2200" s="5"/>
      <c r="G2200" s="13" t="s">
        <v>22</v>
      </c>
      <c r="H2200" s="6"/>
      <c r="I2200" s="26">
        <f>H2198-H2199</f>
        <v>27173.1</v>
      </c>
      <c r="J2200" s="5"/>
      <c r="K2200" s="5"/>
      <c r="L2200" s="5"/>
    </row>
    <row r="2201" spans="1:12" x14ac:dyDescent="0.25">
      <c r="A2201" s="106" t="s">
        <v>40</v>
      </c>
      <c r="B2201" s="107"/>
      <c r="C2201" s="5"/>
      <c r="D2201" s="149">
        <v>1000</v>
      </c>
      <c r="E2201" s="150"/>
      <c r="F2201" s="5"/>
      <c r="G2201" s="5"/>
      <c r="H2201" s="5"/>
      <c r="I2201" s="5"/>
      <c r="J2201" s="5"/>
      <c r="K2201" s="5"/>
      <c r="L2201" s="5"/>
    </row>
    <row r="2202" spans="1:12" x14ac:dyDescent="0.25">
      <c r="A2202" s="108">
        <f>B2198*0.6</f>
        <v>1777.8</v>
      </c>
      <c r="B2202" s="109"/>
      <c r="C2202" s="5"/>
      <c r="D2202" s="106" t="s">
        <v>34</v>
      </c>
      <c r="E2202" s="107"/>
      <c r="F2202" s="5"/>
      <c r="G2202" s="145" t="s">
        <v>292</v>
      </c>
      <c r="H2202" s="146"/>
      <c r="I2202" s="23">
        <f>B2198/2.3</f>
        <v>1288.2608695652175</v>
      </c>
      <c r="J2202" s="60"/>
      <c r="K2202" s="5"/>
      <c r="L2202" s="5"/>
    </row>
    <row r="2203" spans="1:12" x14ac:dyDescent="0.25">
      <c r="A2203" s="5"/>
      <c r="B2203" s="5"/>
      <c r="C2203" s="5"/>
      <c r="D2203" s="108">
        <v>0</v>
      </c>
      <c r="E2203" s="109"/>
      <c r="F2203" s="5"/>
      <c r="G2203" s="145" t="s">
        <v>294</v>
      </c>
      <c r="H2203" s="146"/>
      <c r="I2203" s="23">
        <f>I2202-D2191</f>
        <v>73.751869565217476</v>
      </c>
      <c r="J2203" s="5"/>
      <c r="K2203" s="5"/>
      <c r="L2203" s="5"/>
    </row>
    <row r="2204" spans="1:12" x14ac:dyDescent="0.25">
      <c r="A2204" s="5"/>
      <c r="B2204" s="5"/>
      <c r="C2204" s="5"/>
      <c r="D2204" s="106" t="s">
        <v>37</v>
      </c>
      <c r="E2204" s="107"/>
      <c r="F2204" s="5"/>
      <c r="G2204" s="147" t="s">
        <v>295</v>
      </c>
      <c r="H2204" s="148"/>
      <c r="I2204" s="86">
        <f>I2203*F2191</f>
        <v>1617.8493477612219</v>
      </c>
      <c r="J2204" s="87">
        <f>I2200-I2204</f>
        <v>25555.250652238778</v>
      </c>
      <c r="K2204" s="5"/>
      <c r="L2204" s="5"/>
    </row>
    <row r="2205" spans="1:12" x14ac:dyDescent="0.25">
      <c r="A2205" s="5"/>
      <c r="B2205" s="5"/>
      <c r="C2205" s="5"/>
      <c r="D2205" s="108">
        <v>4000</v>
      </c>
      <c r="E2205" s="109"/>
      <c r="F2205" s="5" t="s">
        <v>78</v>
      </c>
      <c r="G2205" s="5"/>
      <c r="H2205" s="5"/>
      <c r="I2205" s="5"/>
      <c r="J2205" s="88" t="s">
        <v>293</v>
      </c>
      <c r="K2205" s="44"/>
      <c r="L2205" s="5"/>
    </row>
    <row r="2207" spans="1:12" s="49" customFormat="1" x14ac:dyDescent="0.25"/>
    <row r="2210" spans="1:12" x14ac:dyDescent="0.25">
      <c r="A2210" s="120" t="s">
        <v>24</v>
      </c>
      <c r="B2210" s="120"/>
      <c r="C2210" s="120"/>
      <c r="D2210" s="120"/>
      <c r="E2210" s="120"/>
      <c r="F2210" s="120"/>
      <c r="G2210" s="120"/>
      <c r="H2210" s="120"/>
      <c r="I2210" s="120"/>
      <c r="J2210" s="120"/>
      <c r="K2210" s="120"/>
      <c r="L2210" s="120"/>
    </row>
    <row r="2211" spans="1:12" x14ac:dyDescent="0.25">
      <c r="A2211" s="120"/>
      <c r="B2211" s="120"/>
      <c r="C2211" s="120"/>
      <c r="D2211" s="120"/>
      <c r="E2211" s="120"/>
      <c r="F2211" s="120"/>
      <c r="G2211" s="120"/>
      <c r="H2211" s="120"/>
      <c r="I2211" s="120"/>
      <c r="J2211" s="120"/>
      <c r="K2211" s="120"/>
      <c r="L2211" s="120"/>
    </row>
    <row r="2212" spans="1:12" x14ac:dyDescent="0.25">
      <c r="A2212" s="1" t="s">
        <v>4</v>
      </c>
      <c r="B2212" s="2"/>
      <c r="C2212" s="90"/>
      <c r="D2212" s="2"/>
      <c r="E2212" s="2"/>
      <c r="F2212" s="2"/>
      <c r="G2212" s="3" t="s">
        <v>5</v>
      </c>
      <c r="H2212" s="3" t="s">
        <v>6</v>
      </c>
      <c r="I2212" s="4" t="s">
        <v>7</v>
      </c>
      <c r="J2212" s="5"/>
      <c r="K2212" s="5"/>
      <c r="L2212" s="5"/>
    </row>
    <row r="2213" spans="1:12" x14ac:dyDescent="0.25">
      <c r="A2213" s="91" t="s">
        <v>359</v>
      </c>
      <c r="B2213" s="92" t="s">
        <v>42</v>
      </c>
      <c r="C2213" s="64"/>
      <c r="D2213" s="66"/>
      <c r="E2213" s="2"/>
      <c r="F2213" s="2"/>
      <c r="G2213" s="91" t="s">
        <v>299</v>
      </c>
      <c r="H2213" s="66"/>
      <c r="I2213" s="33"/>
      <c r="J2213" s="6"/>
      <c r="K2213" s="33"/>
      <c r="L2213" s="6"/>
    </row>
    <row r="2214" spans="1:12" x14ac:dyDescent="0.25">
      <c r="A2214" s="7" t="s">
        <v>2</v>
      </c>
      <c r="B2214" s="5"/>
      <c r="C2214" s="5"/>
      <c r="D2214" s="5"/>
      <c r="E2214" s="5"/>
      <c r="F2214" s="5"/>
      <c r="G2214" s="8" t="s">
        <v>8</v>
      </c>
      <c r="H2214" s="93">
        <v>3</v>
      </c>
      <c r="I2214" s="5"/>
      <c r="J2214" s="5"/>
      <c r="K2214" s="5"/>
      <c r="L2214" s="5"/>
    </row>
    <row r="2215" spans="1:12" x14ac:dyDescent="0.25">
      <c r="A2215" s="7" t="s">
        <v>25</v>
      </c>
      <c r="B2215" s="5"/>
      <c r="C2215" s="7" t="s">
        <v>0</v>
      </c>
      <c r="D2215" s="5"/>
      <c r="E2215" s="5"/>
      <c r="F2215" s="5"/>
      <c r="G2215" s="7" t="s">
        <v>25</v>
      </c>
      <c r="H2215" s="5"/>
      <c r="I2215" s="7" t="s">
        <v>0</v>
      </c>
      <c r="J2215" s="5"/>
      <c r="K2215" s="5"/>
      <c r="L2215" s="5"/>
    </row>
    <row r="2216" spans="1:12" x14ac:dyDescent="0.25">
      <c r="A2216" s="42">
        <v>45751</v>
      </c>
      <c r="B2216" s="6"/>
      <c r="C2216" s="31">
        <f>L2175</f>
        <v>967251</v>
      </c>
      <c r="D2216" s="5"/>
      <c r="E2216" s="5"/>
      <c r="F2216" s="5"/>
      <c r="G2216" s="42">
        <v>45842</v>
      </c>
      <c r="H2216" s="6"/>
      <c r="I2216" s="9"/>
      <c r="J2216" s="5"/>
      <c r="K2216" s="5"/>
      <c r="L2216" s="5"/>
    </row>
    <row r="2217" spans="1:12" ht="16.5" thickBot="1" x14ac:dyDescent="0.3">
      <c r="A2217" s="7"/>
      <c r="B2217" s="62"/>
      <c r="C2217" s="62"/>
      <c r="D2217" s="62"/>
      <c r="E2217" s="5"/>
      <c r="F2217" s="5"/>
      <c r="G2217" s="10"/>
      <c r="H2217" s="5"/>
      <c r="I2217" s="5"/>
      <c r="J2217" s="5"/>
      <c r="K2217" s="5"/>
      <c r="L2217" s="5"/>
    </row>
    <row r="2218" spans="1:12" ht="15.75" thickBot="1" x14ac:dyDescent="0.3">
      <c r="A2218" s="121" t="s">
        <v>9</v>
      </c>
      <c r="B2218" s="122"/>
      <c r="C2218" s="123"/>
      <c r="D2218" s="5"/>
      <c r="E2218" s="5"/>
      <c r="F2218" s="5"/>
      <c r="G2218" s="121" t="s">
        <v>26</v>
      </c>
      <c r="H2218" s="122"/>
      <c r="I2218" s="123"/>
      <c r="J2218" s="5"/>
      <c r="K2218" s="5"/>
      <c r="L2218" s="5"/>
    </row>
    <row r="2219" spans="1:12" x14ac:dyDescent="0.25">
      <c r="A2219" s="30" t="s">
        <v>38</v>
      </c>
      <c r="B2219" s="11"/>
      <c r="C2219" s="11"/>
      <c r="D2219" s="11"/>
      <c r="E2219" s="6"/>
      <c r="F2219" s="5"/>
      <c r="G2219" s="30"/>
      <c r="H2219" s="11"/>
      <c r="I2219" s="11"/>
      <c r="J2219" s="11"/>
      <c r="K2219" s="11"/>
      <c r="L2219" s="6"/>
    </row>
    <row r="2220" spans="1:12" ht="15.75" thickBot="1" x14ac:dyDescent="0.3">
      <c r="A2220" s="7"/>
      <c r="B2220" s="7"/>
      <c r="C2220" s="7"/>
      <c r="D2220" s="5"/>
      <c r="E2220" s="5"/>
      <c r="F2220" s="5"/>
      <c r="G2220" s="7" t="str">
        <f>A2222</f>
        <v>NBL - JHB</v>
      </c>
      <c r="H2220" s="7"/>
      <c r="I2220" s="7"/>
      <c r="J2220" s="5"/>
      <c r="K2220" s="5"/>
      <c r="L2220" s="5"/>
    </row>
    <row r="2221" spans="1:12" ht="15.75" thickBot="1" x14ac:dyDescent="0.3">
      <c r="A2221" s="121"/>
      <c r="B2221" s="122"/>
      <c r="C2221" s="124"/>
      <c r="D2221" s="12" t="s">
        <v>1</v>
      </c>
      <c r="E2221" s="32"/>
      <c r="F2221" s="5"/>
      <c r="G2221" s="121" t="s">
        <v>27</v>
      </c>
      <c r="H2221" s="122"/>
      <c r="I2221" s="123"/>
      <c r="J2221" s="5"/>
      <c r="K2221" s="12" t="s">
        <v>1</v>
      </c>
      <c r="L2221" s="32">
        <v>970291</v>
      </c>
    </row>
    <row r="2222" spans="1:12" x14ac:dyDescent="0.25">
      <c r="A2222" s="30" t="s">
        <v>459</v>
      </c>
      <c r="B2222" s="11"/>
      <c r="C2222" s="11"/>
      <c r="D2222" s="11"/>
      <c r="E2222" s="6"/>
      <c r="F2222" s="5"/>
      <c r="G2222" s="30" t="s">
        <v>364</v>
      </c>
      <c r="H2222" s="11"/>
      <c r="I2222" s="11"/>
      <c r="J2222" s="11"/>
      <c r="K2222" s="11"/>
      <c r="L2222" s="6"/>
    </row>
    <row r="2223" spans="1:12" x14ac:dyDescent="0.25">
      <c r="A2223" s="76" t="s">
        <v>461</v>
      </c>
      <c r="B2223" s="11"/>
      <c r="C2223" s="11"/>
      <c r="D2223" s="11"/>
      <c r="E2223" s="6"/>
      <c r="F2223" s="5"/>
      <c r="G2223" s="34"/>
      <c r="H2223" s="11"/>
      <c r="I2223" s="11"/>
      <c r="J2223" s="11"/>
      <c r="K2223" s="11"/>
      <c r="L2223" s="6"/>
    </row>
    <row r="2224" spans="1:12" x14ac:dyDescent="0.25">
      <c r="A2224" s="13"/>
      <c r="B2224" s="11"/>
      <c r="C2224" s="11"/>
      <c r="D2224" s="11"/>
      <c r="E2224" s="6"/>
      <c r="F2224" s="5"/>
      <c r="G2224" s="13"/>
      <c r="H2224" s="11"/>
      <c r="I2224" s="11"/>
      <c r="J2224" s="11"/>
      <c r="K2224" s="11"/>
      <c r="L2224" s="6"/>
    </row>
    <row r="2225" spans="1:12" x14ac:dyDescent="0.25">
      <c r="A2225" s="13"/>
      <c r="B2225" s="11"/>
      <c r="C2225" s="11"/>
      <c r="D2225" s="11"/>
      <c r="E2225" s="6"/>
      <c r="F2225" s="5"/>
      <c r="G2225" s="13"/>
      <c r="H2225" s="11"/>
      <c r="I2225" s="11"/>
      <c r="J2225" s="11"/>
      <c r="K2225" s="11"/>
      <c r="L2225" s="6"/>
    </row>
    <row r="2226" spans="1:12" ht="15.75" thickBot="1" x14ac:dyDescent="0.3">
      <c r="A2226" s="13"/>
      <c r="B2226" s="11"/>
      <c r="C2226" s="11" t="s">
        <v>29</v>
      </c>
      <c r="D2226" s="43"/>
      <c r="E2226" s="6"/>
      <c r="F2226" s="5"/>
      <c r="G2226" s="13"/>
      <c r="H2226" s="11"/>
      <c r="I2226" s="14" t="s">
        <v>28</v>
      </c>
      <c r="J2226" s="43"/>
      <c r="K2226" s="59"/>
      <c r="L2226" s="6"/>
    </row>
    <row r="2227" spans="1:12" ht="15.75" thickBot="1" x14ac:dyDescent="0.3">
      <c r="A2227" s="15" t="s">
        <v>10</v>
      </c>
      <c r="B2227" s="5"/>
      <c r="C2227" s="5"/>
      <c r="D2227" s="5"/>
      <c r="E2227" s="5"/>
      <c r="F2227" s="5"/>
      <c r="G2227" s="15" t="s">
        <v>14</v>
      </c>
      <c r="H2227" s="5"/>
      <c r="I2227" s="5"/>
      <c r="J2227" s="5"/>
      <c r="K2227" s="5"/>
      <c r="L2227" s="5"/>
    </row>
    <row r="2228" spans="1:12" ht="15.75" thickBot="1" x14ac:dyDescent="0.3">
      <c r="A2228" s="121" t="s">
        <v>11</v>
      </c>
      <c r="B2228" s="122"/>
      <c r="C2228" s="123"/>
      <c r="D2228" s="16" t="s">
        <v>12</v>
      </c>
      <c r="E2228" s="16" t="s">
        <v>13</v>
      </c>
      <c r="F2228" s="5"/>
      <c r="G2228" s="121" t="s">
        <v>15</v>
      </c>
      <c r="H2228" s="122"/>
      <c r="I2228" s="123"/>
      <c r="J2228" s="121"/>
      <c r="K2228" s="123"/>
      <c r="L2228" s="5"/>
    </row>
    <row r="2229" spans="1:12" x14ac:dyDescent="0.25">
      <c r="A2229" s="45">
        <v>45873</v>
      </c>
      <c r="B2229" s="46" t="s">
        <v>460</v>
      </c>
      <c r="C2229" s="47"/>
      <c r="D2229" s="56">
        <f>410.4+410.4</f>
        <v>820.8</v>
      </c>
      <c r="E2229" s="57">
        <v>18000</v>
      </c>
      <c r="F2229" s="44">
        <f>E2229/D2229</f>
        <v>21.92982456140351</v>
      </c>
      <c r="G2229" s="125" t="s">
        <v>69</v>
      </c>
      <c r="H2229" s="126"/>
      <c r="I2229" s="127"/>
      <c r="J2229" s="128">
        <v>0</v>
      </c>
      <c r="K2229" s="129"/>
      <c r="L2229" s="5"/>
    </row>
    <row r="2230" spans="1:12" x14ac:dyDescent="0.25">
      <c r="A2230" s="94">
        <v>45995</v>
      </c>
      <c r="B2230" s="46" t="s">
        <v>47</v>
      </c>
      <c r="C2230" s="47"/>
      <c r="D2230" s="56">
        <f>473.6+145.8</f>
        <v>619.40000000000009</v>
      </c>
      <c r="E2230" s="57">
        <v>13078.1</v>
      </c>
      <c r="F2230" s="44">
        <f>E2230/D2230</f>
        <v>21.114142718760089</v>
      </c>
      <c r="G2230" s="110" t="s">
        <v>59</v>
      </c>
      <c r="H2230" s="111"/>
      <c r="I2230" s="112"/>
      <c r="J2230" s="113"/>
      <c r="K2230" s="114"/>
      <c r="L2230" s="5"/>
    </row>
    <row r="2231" spans="1:12" x14ac:dyDescent="0.25">
      <c r="A2231" s="94"/>
      <c r="B2231" s="46"/>
      <c r="C2231" s="47"/>
      <c r="D2231" s="56"/>
      <c r="E2231" s="57"/>
      <c r="F2231" s="44"/>
      <c r="G2231" s="110" t="s">
        <v>61</v>
      </c>
      <c r="H2231" s="111"/>
      <c r="I2231" s="112"/>
      <c r="J2231" s="113"/>
      <c r="K2231" s="114"/>
      <c r="L2231" s="5"/>
    </row>
    <row r="2232" spans="1:12" x14ac:dyDescent="0.25">
      <c r="A2232" s="94"/>
      <c r="B2232" s="46"/>
      <c r="C2232" s="47"/>
      <c r="D2232" s="56"/>
      <c r="E2232" s="57"/>
      <c r="F2232" s="44"/>
      <c r="G2232" s="110" t="s">
        <v>51</v>
      </c>
      <c r="H2232" s="111"/>
      <c r="I2232" s="112"/>
      <c r="J2232" s="113"/>
      <c r="K2232" s="114"/>
      <c r="L2232" s="5"/>
    </row>
    <row r="2233" spans="1:12" x14ac:dyDescent="0.25">
      <c r="A2233" s="48"/>
      <c r="B2233" s="46"/>
      <c r="C2233" s="39"/>
      <c r="D2233" s="52"/>
      <c r="E2233" s="53"/>
      <c r="F2233" s="44"/>
      <c r="G2233" s="110" t="s">
        <v>58</v>
      </c>
      <c r="H2233" s="111"/>
      <c r="I2233" s="112"/>
      <c r="J2233" s="113"/>
      <c r="K2233" s="114"/>
      <c r="L2233" s="5"/>
    </row>
    <row r="2234" spans="1:12" x14ac:dyDescent="0.25">
      <c r="A2234" s="48"/>
      <c r="B2234" s="35"/>
      <c r="C2234" s="39"/>
      <c r="D2234" s="52"/>
      <c r="E2234" s="53"/>
      <c r="F2234" s="44"/>
      <c r="G2234" s="110" t="s">
        <v>51</v>
      </c>
      <c r="H2234" s="111"/>
      <c r="I2234" s="112"/>
      <c r="J2234" s="113"/>
      <c r="K2234" s="114"/>
      <c r="L2234" s="5"/>
    </row>
    <row r="2235" spans="1:12" x14ac:dyDescent="0.25">
      <c r="A2235" s="48"/>
      <c r="B2235" s="35"/>
      <c r="C2235" s="39"/>
      <c r="D2235" s="52"/>
      <c r="E2235" s="53"/>
      <c r="F2235" s="44"/>
      <c r="G2235" s="77"/>
      <c r="H2235" s="78" t="s">
        <v>69</v>
      </c>
      <c r="I2235" s="79"/>
      <c r="J2235" s="113">
        <f>355+355</f>
        <v>710</v>
      </c>
      <c r="K2235" s="114"/>
      <c r="L2235" s="5"/>
    </row>
    <row r="2236" spans="1:12" x14ac:dyDescent="0.25">
      <c r="A2236" s="38"/>
      <c r="B2236" s="35"/>
      <c r="C2236" s="39"/>
      <c r="D2236" s="52"/>
      <c r="E2236" s="53"/>
      <c r="F2236" s="44"/>
      <c r="G2236" s="77"/>
      <c r="H2236" s="78" t="s">
        <v>72</v>
      </c>
      <c r="I2236" s="79"/>
      <c r="J2236" s="113"/>
      <c r="K2236" s="114"/>
      <c r="L2236" s="5"/>
    </row>
    <row r="2237" spans="1:12" ht="15.75" thickBot="1" x14ac:dyDescent="0.3">
      <c r="A2237" s="5"/>
      <c r="B2237" s="5"/>
      <c r="C2237" s="7" t="s">
        <v>35</v>
      </c>
      <c r="D2237" s="17">
        <f>SUM(D2229:D2236)</f>
        <v>1440.2</v>
      </c>
      <c r="E2237" s="17">
        <f>SUM(E2229:E2236)</f>
        <v>31078.1</v>
      </c>
      <c r="F2237" s="89">
        <f>AVERAGE(F2229:F2233)</f>
        <v>21.5219836400818</v>
      </c>
      <c r="G2237" s="110" t="s">
        <v>73</v>
      </c>
      <c r="H2237" s="111"/>
      <c r="I2237" s="112"/>
      <c r="J2237" s="113"/>
      <c r="K2237" s="114"/>
      <c r="L2237" s="7" t="s">
        <v>36</v>
      </c>
    </row>
    <row r="2238" spans="1:12" ht="15.75" thickBot="1" x14ac:dyDescent="0.3">
      <c r="A2238" s="5"/>
      <c r="B2238" s="5"/>
      <c r="C2238" s="5"/>
      <c r="D2238" s="5"/>
      <c r="E2238" s="5"/>
      <c r="F2238" s="5"/>
      <c r="G2238" s="130"/>
      <c r="H2238" s="131"/>
      <c r="I2238" s="132"/>
      <c r="J2238" s="133"/>
      <c r="K2238" s="134"/>
      <c r="L2238" s="18">
        <f>J2229+J2230+J2231+J2232+J2233+J2234+J2235+J2236+J2237</f>
        <v>710</v>
      </c>
    </row>
    <row r="2239" spans="1:12" ht="15.75" thickBot="1" x14ac:dyDescent="0.3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</row>
    <row r="2240" spans="1:12" ht="15.75" thickBot="1" x14ac:dyDescent="0.3">
      <c r="A2240" s="19"/>
      <c r="B2240" s="20"/>
      <c r="C2240" s="20"/>
      <c r="D2240" s="20"/>
      <c r="E2240" s="21" t="s">
        <v>13</v>
      </c>
      <c r="F2240" s="5"/>
      <c r="G2240" s="19"/>
      <c r="H2240" s="20"/>
      <c r="I2240" s="20"/>
      <c r="J2240" s="20"/>
      <c r="K2240" s="21" t="s">
        <v>13</v>
      </c>
      <c r="L2240" s="5"/>
    </row>
    <row r="2241" spans="1:12" x14ac:dyDescent="0.25">
      <c r="A2241" s="22" t="s">
        <v>31</v>
      </c>
      <c r="B2241" s="115">
        <v>20930</v>
      </c>
      <c r="C2241" s="116"/>
      <c r="D2241" s="116"/>
      <c r="E2241" s="117"/>
      <c r="F2241" s="5"/>
      <c r="G2241" s="22" t="s">
        <v>32</v>
      </c>
      <c r="H2241" s="115">
        <v>43195</v>
      </c>
      <c r="I2241" s="116"/>
      <c r="J2241" s="116"/>
      <c r="K2241" s="117"/>
      <c r="L2241" s="5"/>
    </row>
    <row r="2242" spans="1:12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</row>
    <row r="2243" spans="1:12" x14ac:dyDescent="0.25">
      <c r="A2243" s="7" t="s">
        <v>16</v>
      </c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</row>
    <row r="2244" spans="1:12" x14ac:dyDescent="0.25">
      <c r="A2244" s="9" t="s">
        <v>17</v>
      </c>
      <c r="B2244" s="23">
        <f>L2221-C2216</f>
        <v>3040</v>
      </c>
      <c r="C2244" s="5"/>
      <c r="D2244" s="106" t="s">
        <v>18</v>
      </c>
      <c r="E2244" s="107"/>
      <c r="F2244" s="24" t="s">
        <v>19</v>
      </c>
      <c r="G2244" s="9" t="s">
        <v>20</v>
      </c>
      <c r="H2244" s="118">
        <f>B2241+H2241</f>
        <v>64125</v>
      </c>
      <c r="I2244" s="119"/>
      <c r="J2244" s="60"/>
      <c r="K2244" s="5"/>
      <c r="L2244" s="5"/>
    </row>
    <row r="2245" spans="1:12" x14ac:dyDescent="0.25">
      <c r="A2245" s="9" t="s">
        <v>41</v>
      </c>
      <c r="B2245" s="40">
        <f>B2244/D2237</f>
        <v>2.1108179419525066</v>
      </c>
      <c r="C2245" s="5"/>
      <c r="D2245" s="102">
        <f>E2237</f>
        <v>31078.1</v>
      </c>
      <c r="E2245" s="103"/>
      <c r="F2245" s="25">
        <f>H2245/B2244</f>
        <v>12.701348684210526</v>
      </c>
      <c r="G2245" s="9" t="s">
        <v>21</v>
      </c>
      <c r="H2245" s="104">
        <f>L2238+D2245+D2247+D2249+D2251+A2248</f>
        <v>38612.1</v>
      </c>
      <c r="I2245" s="105"/>
      <c r="J2245" s="5"/>
      <c r="K2245" s="5"/>
      <c r="L2245" s="5"/>
    </row>
    <row r="2246" spans="1:12" x14ac:dyDescent="0.25">
      <c r="A2246" s="9" t="s">
        <v>43</v>
      </c>
      <c r="B2246" s="23">
        <f>D2237/B2244*100</f>
        <v>47.375</v>
      </c>
      <c r="C2246" s="5"/>
      <c r="D2246" s="106" t="s">
        <v>33</v>
      </c>
      <c r="E2246" s="107"/>
      <c r="F2246" s="5"/>
      <c r="G2246" s="13" t="s">
        <v>22</v>
      </c>
      <c r="H2246" s="6"/>
      <c r="I2246" s="26">
        <f>H2244-H2245</f>
        <v>25512.9</v>
      </c>
      <c r="J2246" s="5"/>
      <c r="K2246" s="5"/>
      <c r="L2246" s="5"/>
    </row>
    <row r="2247" spans="1:12" x14ac:dyDescent="0.25">
      <c r="A2247" s="106" t="s">
        <v>40</v>
      </c>
      <c r="B2247" s="107"/>
      <c r="C2247" s="5"/>
      <c r="D2247" s="149">
        <v>1000</v>
      </c>
      <c r="E2247" s="150"/>
      <c r="F2247" s="5"/>
      <c r="G2247" s="5"/>
      <c r="H2247" s="5"/>
      <c r="I2247" s="5"/>
      <c r="J2247" s="5"/>
      <c r="K2247" s="5"/>
      <c r="L2247" s="5"/>
    </row>
    <row r="2248" spans="1:12" x14ac:dyDescent="0.25">
      <c r="A2248" s="108">
        <f>B2244*0.6</f>
        <v>1824</v>
      </c>
      <c r="B2248" s="109"/>
      <c r="C2248" s="5"/>
      <c r="D2248" s="106" t="s">
        <v>34</v>
      </c>
      <c r="E2248" s="107"/>
      <c r="F2248" s="5"/>
      <c r="G2248" s="145" t="s">
        <v>292</v>
      </c>
      <c r="H2248" s="146"/>
      <c r="I2248" s="23">
        <f>B2244/2.3</f>
        <v>1321.7391304347827</v>
      </c>
      <c r="J2248" s="60"/>
      <c r="K2248" s="5"/>
      <c r="L2248" s="5"/>
    </row>
    <row r="2249" spans="1:12" x14ac:dyDescent="0.25">
      <c r="A2249" s="5"/>
      <c r="B2249" s="5"/>
      <c r="C2249" s="5"/>
      <c r="D2249" s="108">
        <v>0</v>
      </c>
      <c r="E2249" s="109"/>
      <c r="F2249" s="5"/>
      <c r="G2249" s="145" t="s">
        <v>294</v>
      </c>
      <c r="H2249" s="146"/>
      <c r="I2249" s="23">
        <f>I2248-D2237</f>
        <v>-118.46086956521731</v>
      </c>
      <c r="J2249" s="5"/>
      <c r="K2249" s="5"/>
      <c r="L2249" s="5"/>
    </row>
    <row r="2250" spans="1:12" x14ac:dyDescent="0.25">
      <c r="A2250" s="5"/>
      <c r="B2250" s="5"/>
      <c r="C2250" s="5"/>
      <c r="D2250" s="106" t="s">
        <v>37</v>
      </c>
      <c r="E2250" s="107"/>
      <c r="F2250" s="5"/>
      <c r="G2250" s="147" t="s">
        <v>295</v>
      </c>
      <c r="H2250" s="148"/>
      <c r="I2250" s="86">
        <f>I2249*F2237</f>
        <v>-2549.5128967724709</v>
      </c>
      <c r="J2250" s="87">
        <f>I2246-I2250</f>
        <v>28062.412896772472</v>
      </c>
      <c r="K2250" s="5"/>
      <c r="L2250" s="5"/>
    </row>
    <row r="2251" spans="1:12" x14ac:dyDescent="0.25">
      <c r="A2251" s="5"/>
      <c r="B2251" s="5"/>
      <c r="C2251" s="5"/>
      <c r="D2251" s="108">
        <v>4000</v>
      </c>
      <c r="E2251" s="109"/>
      <c r="F2251" s="5" t="s">
        <v>78</v>
      </c>
      <c r="G2251" s="5"/>
      <c r="H2251" s="5"/>
      <c r="I2251" s="5"/>
      <c r="J2251" s="88" t="s">
        <v>293</v>
      </c>
      <c r="K2251" s="44"/>
      <c r="L2251" s="5"/>
    </row>
    <row r="2253" spans="1:12" s="49" customFormat="1" x14ac:dyDescent="0.25"/>
    <row r="2256" spans="1:12" x14ac:dyDescent="0.25">
      <c r="A2256" s="120" t="s">
        <v>24</v>
      </c>
      <c r="B2256" s="120"/>
      <c r="C2256" s="120"/>
      <c r="D2256" s="120"/>
      <c r="E2256" s="120"/>
      <c r="F2256" s="120"/>
      <c r="G2256" s="120"/>
      <c r="H2256" s="120"/>
      <c r="I2256" s="120"/>
      <c r="J2256" s="120"/>
      <c r="K2256" s="120"/>
      <c r="L2256" s="120"/>
    </row>
    <row r="2257" spans="1:12" x14ac:dyDescent="0.25">
      <c r="A2257" s="120"/>
      <c r="B2257" s="120"/>
      <c r="C2257" s="120"/>
      <c r="D2257" s="120"/>
      <c r="E2257" s="120"/>
      <c r="F2257" s="120"/>
      <c r="G2257" s="120"/>
      <c r="H2257" s="120"/>
      <c r="I2257" s="120"/>
      <c r="J2257" s="120"/>
      <c r="K2257" s="120"/>
      <c r="L2257" s="120"/>
    </row>
    <row r="2258" spans="1:12" x14ac:dyDescent="0.25">
      <c r="A2258" s="1" t="s">
        <v>4</v>
      </c>
      <c r="B2258" s="2"/>
      <c r="C2258" s="90"/>
      <c r="D2258" s="2"/>
      <c r="E2258" s="2"/>
      <c r="F2258" s="2"/>
      <c r="G2258" s="3" t="s">
        <v>5</v>
      </c>
      <c r="H2258" s="3" t="s">
        <v>6</v>
      </c>
      <c r="I2258" s="4" t="s">
        <v>7</v>
      </c>
      <c r="J2258" s="5"/>
      <c r="K2258" s="5"/>
      <c r="L2258" s="5"/>
    </row>
    <row r="2259" spans="1:12" x14ac:dyDescent="0.25">
      <c r="A2259" s="91" t="s">
        <v>359</v>
      </c>
      <c r="B2259" s="92" t="s">
        <v>42</v>
      </c>
      <c r="C2259" s="64"/>
      <c r="D2259" s="66"/>
      <c r="E2259" s="2"/>
      <c r="F2259" s="2"/>
      <c r="G2259" s="91" t="s">
        <v>299</v>
      </c>
      <c r="H2259" s="66"/>
      <c r="I2259" s="33"/>
      <c r="J2259" s="6"/>
      <c r="K2259" s="33"/>
      <c r="L2259" s="6"/>
    </row>
    <row r="2260" spans="1:12" x14ac:dyDescent="0.25">
      <c r="A2260" s="7" t="s">
        <v>2</v>
      </c>
      <c r="B2260" s="5"/>
      <c r="C2260" s="5"/>
      <c r="D2260" s="5"/>
      <c r="E2260" s="5"/>
      <c r="F2260" s="5"/>
      <c r="G2260" s="8" t="s">
        <v>8</v>
      </c>
      <c r="H2260" s="93">
        <v>3</v>
      </c>
      <c r="I2260" s="5"/>
      <c r="J2260" s="5"/>
      <c r="K2260" s="5"/>
      <c r="L2260" s="5"/>
    </row>
    <row r="2261" spans="1:12" x14ac:dyDescent="0.25">
      <c r="A2261" s="7" t="s">
        <v>25</v>
      </c>
      <c r="B2261" s="5"/>
      <c r="C2261" s="7" t="s">
        <v>0</v>
      </c>
      <c r="D2261" s="5"/>
      <c r="E2261" s="5"/>
      <c r="F2261" s="5"/>
      <c r="G2261" s="7" t="s">
        <v>25</v>
      </c>
      <c r="H2261" s="5"/>
      <c r="I2261" s="7" t="s">
        <v>0</v>
      </c>
      <c r="J2261" s="5"/>
      <c r="K2261" s="5"/>
      <c r="L2261" s="5"/>
    </row>
    <row r="2262" spans="1:12" x14ac:dyDescent="0.25">
      <c r="A2262" s="42">
        <v>45965</v>
      </c>
      <c r="B2262" s="6"/>
      <c r="C2262" s="31">
        <f>L2221</f>
        <v>970291</v>
      </c>
      <c r="D2262" s="5"/>
      <c r="E2262" s="5"/>
      <c r="F2262" s="5"/>
      <c r="G2262" s="42">
        <v>45842</v>
      </c>
      <c r="H2262" s="6"/>
      <c r="I2262" s="9"/>
      <c r="J2262" s="5"/>
      <c r="K2262" s="5"/>
      <c r="L2262" s="5"/>
    </row>
    <row r="2263" spans="1:12" ht="16.5" thickBot="1" x14ac:dyDescent="0.3">
      <c r="A2263" s="7"/>
      <c r="B2263" s="62"/>
      <c r="C2263" s="62"/>
      <c r="D2263" s="62"/>
      <c r="E2263" s="5"/>
      <c r="F2263" s="5"/>
      <c r="G2263" s="10"/>
      <c r="H2263" s="5"/>
      <c r="I2263" s="5"/>
      <c r="J2263" s="5"/>
      <c r="K2263" s="5"/>
      <c r="L2263" s="5"/>
    </row>
    <row r="2264" spans="1:12" ht="15.75" thickBot="1" x14ac:dyDescent="0.3">
      <c r="A2264" s="121" t="s">
        <v>9</v>
      </c>
      <c r="B2264" s="122"/>
      <c r="C2264" s="123"/>
      <c r="D2264" s="5"/>
      <c r="E2264" s="5"/>
      <c r="F2264" s="5"/>
      <c r="G2264" s="121" t="s">
        <v>26</v>
      </c>
      <c r="H2264" s="122"/>
      <c r="I2264" s="123"/>
      <c r="J2264" s="5"/>
      <c r="K2264" s="5"/>
      <c r="L2264" s="5"/>
    </row>
    <row r="2265" spans="1:12" x14ac:dyDescent="0.25">
      <c r="A2265" s="30" t="s">
        <v>38</v>
      </c>
      <c r="B2265" s="11"/>
      <c r="C2265" s="11"/>
      <c r="D2265" s="11"/>
      <c r="E2265" s="6"/>
      <c r="F2265" s="5"/>
      <c r="G2265" s="30"/>
      <c r="H2265" s="11"/>
      <c r="I2265" s="11"/>
      <c r="J2265" s="11"/>
      <c r="K2265" s="11"/>
      <c r="L2265" s="6"/>
    </row>
    <row r="2266" spans="1:12" ht="15.75" thickBot="1" x14ac:dyDescent="0.3">
      <c r="A2266" s="7"/>
      <c r="B2266" s="7"/>
      <c r="C2266" s="7"/>
      <c r="D2266" s="5"/>
      <c r="E2266" s="5"/>
      <c r="F2266" s="5"/>
      <c r="G2266" s="7" t="str">
        <f>A2268</f>
        <v xml:space="preserve">Cape Town </v>
      </c>
      <c r="H2266" s="7"/>
      <c r="I2266" s="7"/>
      <c r="J2266" s="5"/>
      <c r="K2266" s="5"/>
      <c r="L2266" s="5"/>
    </row>
    <row r="2267" spans="1:12" ht="15.75" thickBot="1" x14ac:dyDescent="0.3">
      <c r="A2267" s="121"/>
      <c r="B2267" s="122"/>
      <c r="C2267" s="124"/>
      <c r="D2267" s="12" t="s">
        <v>1</v>
      </c>
      <c r="E2267" s="32"/>
      <c r="F2267" s="5"/>
      <c r="G2267" s="121" t="s">
        <v>27</v>
      </c>
      <c r="H2267" s="122"/>
      <c r="I2267" s="123"/>
      <c r="J2267" s="5"/>
      <c r="K2267" s="12" t="s">
        <v>1</v>
      </c>
      <c r="L2267" s="32">
        <v>974166</v>
      </c>
    </row>
    <row r="2268" spans="1:12" x14ac:dyDescent="0.25">
      <c r="A2268" s="30" t="s">
        <v>462</v>
      </c>
      <c r="B2268" s="11"/>
      <c r="C2268" s="11"/>
      <c r="D2268" s="11"/>
      <c r="E2268" s="6"/>
      <c r="F2268" s="5"/>
      <c r="G2268" s="30" t="s">
        <v>364</v>
      </c>
      <c r="H2268" s="11"/>
      <c r="I2268" s="11"/>
      <c r="J2268" s="11"/>
      <c r="K2268" s="11"/>
      <c r="L2268" s="6"/>
    </row>
    <row r="2269" spans="1:12" x14ac:dyDescent="0.25">
      <c r="A2269" s="76" t="s">
        <v>435</v>
      </c>
      <c r="B2269" s="11"/>
      <c r="C2269" s="11"/>
      <c r="D2269" s="11"/>
      <c r="E2269" s="6"/>
      <c r="F2269" s="5"/>
      <c r="G2269" s="34"/>
      <c r="H2269" s="11"/>
      <c r="I2269" s="11"/>
      <c r="J2269" s="11"/>
      <c r="K2269" s="11"/>
      <c r="L2269" s="6"/>
    </row>
    <row r="2270" spans="1:12" x14ac:dyDescent="0.25">
      <c r="A2270" s="13" t="s">
        <v>463</v>
      </c>
      <c r="B2270" s="11"/>
      <c r="C2270" s="11"/>
      <c r="D2270" s="11"/>
      <c r="E2270" s="6"/>
      <c r="F2270" s="5"/>
      <c r="G2270" s="13"/>
      <c r="H2270" s="11"/>
      <c r="I2270" s="11"/>
      <c r="J2270" s="11"/>
      <c r="K2270" s="11"/>
      <c r="L2270" s="6"/>
    </row>
    <row r="2271" spans="1:12" x14ac:dyDescent="0.25">
      <c r="A2271" s="13"/>
      <c r="B2271" s="11"/>
      <c r="C2271" s="11"/>
      <c r="D2271" s="11"/>
      <c r="E2271" s="6"/>
      <c r="F2271" s="5"/>
      <c r="G2271" s="13"/>
      <c r="H2271" s="11"/>
      <c r="I2271" s="11"/>
      <c r="J2271" s="11"/>
      <c r="K2271" s="11"/>
      <c r="L2271" s="6"/>
    </row>
    <row r="2272" spans="1:12" ht="15.75" thickBot="1" x14ac:dyDescent="0.3">
      <c r="A2272" s="13"/>
      <c r="B2272" s="11"/>
      <c r="C2272" s="11" t="s">
        <v>29</v>
      </c>
      <c r="D2272" s="43"/>
      <c r="E2272" s="6"/>
      <c r="F2272" s="5"/>
      <c r="G2272" s="13"/>
      <c r="H2272" s="11"/>
      <c r="I2272" s="14" t="s">
        <v>28</v>
      </c>
      <c r="J2272" s="43"/>
      <c r="K2272" s="59"/>
      <c r="L2272" s="6"/>
    </row>
    <row r="2273" spans="1:12" ht="15.75" thickBot="1" x14ac:dyDescent="0.3">
      <c r="A2273" s="15" t="s">
        <v>10</v>
      </c>
      <c r="B2273" s="5"/>
      <c r="C2273" s="5"/>
      <c r="D2273" s="5"/>
      <c r="E2273" s="5"/>
      <c r="F2273" s="5"/>
      <c r="G2273" s="15" t="s">
        <v>14</v>
      </c>
      <c r="H2273" s="5"/>
      <c r="I2273" s="5"/>
      <c r="J2273" s="5"/>
      <c r="K2273" s="5"/>
      <c r="L2273" s="5"/>
    </row>
    <row r="2274" spans="1:12" ht="15.75" thickBot="1" x14ac:dyDescent="0.3">
      <c r="A2274" s="121" t="s">
        <v>11</v>
      </c>
      <c r="B2274" s="122"/>
      <c r="C2274" s="123"/>
      <c r="D2274" s="16" t="s">
        <v>12</v>
      </c>
      <c r="E2274" s="16" t="s">
        <v>13</v>
      </c>
      <c r="F2274" s="5"/>
      <c r="G2274" s="121" t="s">
        <v>15</v>
      </c>
      <c r="H2274" s="122"/>
      <c r="I2274" s="123"/>
      <c r="J2274" s="121"/>
      <c r="K2274" s="123"/>
      <c r="L2274" s="5"/>
    </row>
    <row r="2275" spans="1:12" x14ac:dyDescent="0.25">
      <c r="A2275" s="45" t="s">
        <v>464</v>
      </c>
      <c r="B2275" s="46" t="s">
        <v>66</v>
      </c>
      <c r="C2275" s="47"/>
      <c r="D2275" s="56">
        <v>283.13</v>
      </c>
      <c r="E2275" s="57">
        <v>6149.6</v>
      </c>
      <c r="F2275" s="44">
        <f>E2275/D2275</f>
        <v>21.720057923921875</v>
      </c>
      <c r="G2275" s="125" t="s">
        <v>69</v>
      </c>
      <c r="H2275" s="126"/>
      <c r="I2275" s="127"/>
      <c r="J2275" s="128">
        <v>0</v>
      </c>
      <c r="K2275" s="129"/>
      <c r="L2275" s="5"/>
    </row>
    <row r="2276" spans="1:12" x14ac:dyDescent="0.25">
      <c r="A2276" s="94" t="s">
        <v>454</v>
      </c>
      <c r="B2276" s="46" t="s">
        <v>305</v>
      </c>
      <c r="C2276" s="47"/>
      <c r="D2276" s="56">
        <v>200</v>
      </c>
      <c r="E2276" s="57">
        <v>4238</v>
      </c>
      <c r="F2276" s="44">
        <f>E2276/D2276</f>
        <v>21.19</v>
      </c>
      <c r="G2276" s="110" t="s">
        <v>59</v>
      </c>
      <c r="H2276" s="111"/>
      <c r="I2276" s="112"/>
      <c r="J2276" s="113"/>
      <c r="K2276" s="114"/>
      <c r="L2276" s="5"/>
    </row>
    <row r="2277" spans="1:12" x14ac:dyDescent="0.25">
      <c r="A2277" s="94" t="s">
        <v>454</v>
      </c>
      <c r="B2277" s="46" t="s">
        <v>66</v>
      </c>
      <c r="C2277" s="47"/>
      <c r="D2277" s="56">
        <v>488.43</v>
      </c>
      <c r="E2277" s="57">
        <v>10608.7</v>
      </c>
      <c r="F2277" s="44">
        <f>E2277/D2277</f>
        <v>21.720000818950517</v>
      </c>
      <c r="G2277" s="110" t="s">
        <v>61</v>
      </c>
      <c r="H2277" s="111"/>
      <c r="I2277" s="112"/>
      <c r="J2277" s="113"/>
      <c r="K2277" s="114"/>
      <c r="L2277" s="5"/>
    </row>
    <row r="2278" spans="1:12" x14ac:dyDescent="0.25">
      <c r="A2278" s="94" t="s">
        <v>455</v>
      </c>
      <c r="B2278" s="46" t="s">
        <v>57</v>
      </c>
      <c r="C2278" s="47"/>
      <c r="D2278" s="56">
        <v>593.80999999999995</v>
      </c>
      <c r="E2278" s="57">
        <v>12244.27</v>
      </c>
      <c r="F2278" s="44">
        <f>E2278/D2278</f>
        <v>20.61984473147977</v>
      </c>
      <c r="G2278" s="110" t="s">
        <v>51</v>
      </c>
      <c r="H2278" s="111"/>
      <c r="I2278" s="112"/>
      <c r="J2278" s="113"/>
      <c r="K2278" s="114"/>
      <c r="L2278" s="5"/>
    </row>
    <row r="2279" spans="1:12" x14ac:dyDescent="0.25">
      <c r="A2279" s="48" t="s">
        <v>465</v>
      </c>
      <c r="B2279" s="46" t="s">
        <v>47</v>
      </c>
      <c r="C2279" s="39"/>
      <c r="D2279" s="52">
        <v>150</v>
      </c>
      <c r="E2279" s="53">
        <v>3168.19</v>
      </c>
      <c r="F2279" s="44">
        <f>E2279/D2279</f>
        <v>21.121266666666667</v>
      </c>
      <c r="G2279" s="110" t="s">
        <v>58</v>
      </c>
      <c r="H2279" s="111"/>
      <c r="I2279" s="112"/>
      <c r="J2279" s="113"/>
      <c r="K2279" s="114"/>
      <c r="L2279" s="5"/>
    </row>
    <row r="2280" spans="1:12" x14ac:dyDescent="0.25">
      <c r="A2280" s="48"/>
      <c r="B2280" s="35"/>
      <c r="C2280" s="39"/>
      <c r="D2280" s="52"/>
      <c r="E2280" s="53"/>
      <c r="F2280" s="44"/>
      <c r="G2280" s="110" t="s">
        <v>51</v>
      </c>
      <c r="H2280" s="111"/>
      <c r="I2280" s="112"/>
      <c r="J2280" s="113"/>
      <c r="K2280" s="114"/>
      <c r="L2280" s="5"/>
    </row>
    <row r="2281" spans="1:12" x14ac:dyDescent="0.25">
      <c r="A2281" s="48"/>
      <c r="B2281" s="35"/>
      <c r="C2281" s="39"/>
      <c r="D2281" s="52"/>
      <c r="E2281" s="53"/>
      <c r="F2281" s="44"/>
      <c r="G2281" s="77"/>
      <c r="H2281" s="78" t="s">
        <v>69</v>
      </c>
      <c r="I2281" s="79"/>
      <c r="J2281" s="113">
        <v>0</v>
      </c>
      <c r="K2281" s="114"/>
      <c r="L2281" s="5"/>
    </row>
    <row r="2282" spans="1:12" x14ac:dyDescent="0.25">
      <c r="A2282" s="38"/>
      <c r="B2282" s="35"/>
      <c r="C2282" s="39"/>
      <c r="D2282" s="52"/>
      <c r="E2282" s="53"/>
      <c r="F2282" s="44"/>
      <c r="G2282" s="77"/>
      <c r="H2282" s="78" t="s">
        <v>72</v>
      </c>
      <c r="I2282" s="79"/>
      <c r="J2282" s="113"/>
      <c r="K2282" s="114"/>
      <c r="L2282" s="5"/>
    </row>
    <row r="2283" spans="1:12" ht="15.75" thickBot="1" x14ac:dyDescent="0.3">
      <c r="A2283" s="5"/>
      <c r="B2283" s="5"/>
      <c r="C2283" s="7" t="s">
        <v>35</v>
      </c>
      <c r="D2283" s="17">
        <f>SUM(D2275:D2282)</f>
        <v>1715.37</v>
      </c>
      <c r="E2283" s="17">
        <f>SUM(E2275:E2282)</f>
        <v>36408.760000000009</v>
      </c>
      <c r="F2283" s="89">
        <f>AVERAGE(F2275:F2279)</f>
        <v>21.274234028203768</v>
      </c>
      <c r="G2283" s="110" t="s">
        <v>73</v>
      </c>
      <c r="H2283" s="111"/>
      <c r="I2283" s="112"/>
      <c r="J2283" s="113"/>
      <c r="K2283" s="114"/>
      <c r="L2283" s="7" t="s">
        <v>36</v>
      </c>
    </row>
    <row r="2284" spans="1:12" ht="15.75" thickBot="1" x14ac:dyDescent="0.3">
      <c r="A2284" s="5"/>
      <c r="B2284" s="5"/>
      <c r="C2284" s="5"/>
      <c r="D2284" s="5"/>
      <c r="E2284" s="5"/>
      <c r="F2284" s="5"/>
      <c r="G2284" s="130"/>
      <c r="H2284" s="131"/>
      <c r="I2284" s="132"/>
      <c r="J2284" s="133"/>
      <c r="K2284" s="134"/>
      <c r="L2284" s="18">
        <f>J2275+J2276+J2277+J2278+J2279+J2280+J2281+J2282+J2283</f>
        <v>0</v>
      </c>
    </row>
    <row r="2285" spans="1:12" ht="15.75" thickBot="1" x14ac:dyDescent="0.3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</row>
    <row r="2286" spans="1:12" ht="15.75" thickBot="1" x14ac:dyDescent="0.3">
      <c r="A2286" s="19"/>
      <c r="B2286" s="20"/>
      <c r="C2286" s="20"/>
      <c r="D2286" s="20"/>
      <c r="E2286" s="21" t="s">
        <v>13</v>
      </c>
      <c r="F2286" s="5"/>
      <c r="G2286" s="19"/>
      <c r="H2286" s="20"/>
      <c r="I2286" s="20"/>
      <c r="J2286" s="20"/>
      <c r="K2286" s="21" t="s">
        <v>13</v>
      </c>
      <c r="L2286" s="5"/>
    </row>
    <row r="2287" spans="1:12" x14ac:dyDescent="0.25">
      <c r="A2287" s="22" t="s">
        <v>31</v>
      </c>
      <c r="B2287" s="115">
        <v>18998</v>
      </c>
      <c r="C2287" s="116"/>
      <c r="D2287" s="116"/>
      <c r="E2287" s="117"/>
      <c r="F2287" s="5"/>
      <c r="G2287" s="22" t="s">
        <v>32</v>
      </c>
      <c r="H2287" s="115">
        <f>43195+14883</f>
        <v>58078</v>
      </c>
      <c r="I2287" s="116"/>
      <c r="J2287" s="116"/>
      <c r="K2287" s="117"/>
      <c r="L2287" s="5"/>
    </row>
    <row r="2288" spans="1:12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</row>
    <row r="2289" spans="1:12" x14ac:dyDescent="0.25">
      <c r="A2289" s="7" t="s">
        <v>16</v>
      </c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</row>
    <row r="2290" spans="1:12" x14ac:dyDescent="0.25">
      <c r="A2290" s="9" t="s">
        <v>17</v>
      </c>
      <c r="B2290" s="23">
        <f>L2267-C2262</f>
        <v>3875</v>
      </c>
      <c r="C2290" s="5"/>
      <c r="D2290" s="106" t="s">
        <v>18</v>
      </c>
      <c r="E2290" s="107"/>
      <c r="F2290" s="24" t="s">
        <v>19</v>
      </c>
      <c r="G2290" s="9" t="s">
        <v>20</v>
      </c>
      <c r="H2290" s="118">
        <f>B2287+H2287</f>
        <v>77076</v>
      </c>
      <c r="I2290" s="119"/>
      <c r="J2290" s="60"/>
      <c r="K2290" s="5"/>
      <c r="L2290" s="5"/>
    </row>
    <row r="2291" spans="1:12" x14ac:dyDescent="0.25">
      <c r="A2291" s="9" t="s">
        <v>41</v>
      </c>
      <c r="B2291" s="40">
        <f>B2290/D2283</f>
        <v>2.2589878568472108</v>
      </c>
      <c r="C2291" s="5"/>
      <c r="D2291" s="102">
        <f>E2283</f>
        <v>36408.760000000009</v>
      </c>
      <c r="E2291" s="103"/>
      <c r="F2291" s="25">
        <f>H2291/B2290</f>
        <v>10.408712258064519</v>
      </c>
      <c r="G2291" s="9" t="s">
        <v>21</v>
      </c>
      <c r="H2291" s="104">
        <f>L2284+D2291+D2293+D2295+D2297+A2294</f>
        <v>40333.760000000009</v>
      </c>
      <c r="I2291" s="105"/>
      <c r="J2291" s="5"/>
      <c r="K2291" s="5"/>
      <c r="L2291" s="5"/>
    </row>
    <row r="2292" spans="1:12" x14ac:dyDescent="0.25">
      <c r="A2292" s="9" t="s">
        <v>43</v>
      </c>
      <c r="B2292" s="23">
        <f>D2283/B2290*100</f>
        <v>44.267612903225803</v>
      </c>
      <c r="C2292" s="5"/>
      <c r="D2292" s="106" t="s">
        <v>33</v>
      </c>
      <c r="E2292" s="107"/>
      <c r="F2292" s="5"/>
      <c r="G2292" s="13" t="s">
        <v>22</v>
      </c>
      <c r="H2292" s="6"/>
      <c r="I2292" s="26">
        <f>H2290-H2291</f>
        <v>36742.239999999991</v>
      </c>
      <c r="J2292" s="5"/>
      <c r="K2292" s="5"/>
      <c r="L2292" s="5"/>
    </row>
    <row r="2293" spans="1:12" x14ac:dyDescent="0.25">
      <c r="A2293" s="106" t="s">
        <v>40</v>
      </c>
      <c r="B2293" s="107"/>
      <c r="C2293" s="5"/>
      <c r="D2293" s="149">
        <v>1100</v>
      </c>
      <c r="E2293" s="150"/>
      <c r="F2293" s="5"/>
      <c r="G2293" s="5"/>
      <c r="H2293" s="5"/>
      <c r="I2293" s="5"/>
      <c r="J2293" s="5"/>
      <c r="K2293" s="5"/>
      <c r="L2293" s="5"/>
    </row>
    <row r="2294" spans="1:12" x14ac:dyDescent="0.25">
      <c r="A2294" s="108">
        <f>B2290*0.6</f>
        <v>2325</v>
      </c>
      <c r="B2294" s="109"/>
      <c r="C2294" s="5"/>
      <c r="D2294" s="106" t="s">
        <v>34</v>
      </c>
      <c r="E2294" s="107"/>
      <c r="F2294" s="5"/>
      <c r="G2294" s="145" t="s">
        <v>292</v>
      </c>
      <c r="H2294" s="146"/>
      <c r="I2294" s="23">
        <f>B2290/2.3</f>
        <v>1684.7826086956522</v>
      </c>
      <c r="J2294" s="60"/>
      <c r="K2294" s="5"/>
      <c r="L2294" s="5"/>
    </row>
    <row r="2295" spans="1:12" x14ac:dyDescent="0.25">
      <c r="A2295" s="5"/>
      <c r="B2295" s="5"/>
      <c r="C2295" s="5"/>
      <c r="D2295" s="108">
        <v>500</v>
      </c>
      <c r="E2295" s="109"/>
      <c r="F2295" s="5"/>
      <c r="G2295" s="145" t="s">
        <v>294</v>
      </c>
      <c r="H2295" s="146"/>
      <c r="I2295" s="23">
        <f>I2294-D2283</f>
        <v>-30.587391304347648</v>
      </c>
      <c r="J2295" s="5"/>
      <c r="K2295" s="5"/>
      <c r="L2295" s="5"/>
    </row>
    <row r="2296" spans="1:12" x14ac:dyDescent="0.25">
      <c r="A2296" s="5"/>
      <c r="B2296" s="5"/>
      <c r="C2296" s="5"/>
      <c r="D2296" s="106" t="s">
        <v>37</v>
      </c>
      <c r="E2296" s="107"/>
      <c r="F2296" s="5"/>
      <c r="G2296" s="147" t="s">
        <v>295</v>
      </c>
      <c r="H2296" s="148"/>
      <c r="I2296" s="86">
        <f>I2295*F2283</f>
        <v>-650.72332092093677</v>
      </c>
      <c r="J2296" s="87">
        <f>I2292-I2296</f>
        <v>37392.963320920928</v>
      </c>
      <c r="K2296" s="5"/>
      <c r="L2296" s="5"/>
    </row>
    <row r="2297" spans="1:12" x14ac:dyDescent="0.25">
      <c r="A2297" s="5"/>
      <c r="B2297" s="5"/>
      <c r="C2297" s="5"/>
      <c r="D2297" s="108">
        <v>0</v>
      </c>
      <c r="E2297" s="109"/>
      <c r="F2297" s="5" t="s">
        <v>78</v>
      </c>
      <c r="G2297" s="5"/>
      <c r="H2297" s="5"/>
      <c r="I2297" s="5"/>
      <c r="J2297" s="88" t="s">
        <v>293</v>
      </c>
      <c r="K2297" s="44"/>
      <c r="L2297" s="5"/>
    </row>
    <row r="2299" spans="1:12" s="49" customFormat="1" x14ac:dyDescent="0.25"/>
    <row r="2302" spans="1:12" x14ac:dyDescent="0.25">
      <c r="A2302" s="120" t="s">
        <v>24</v>
      </c>
      <c r="B2302" s="120"/>
      <c r="C2302" s="120"/>
      <c r="D2302" s="120"/>
      <c r="E2302" s="120"/>
      <c r="F2302" s="120"/>
      <c r="G2302" s="120"/>
      <c r="H2302" s="120"/>
      <c r="I2302" s="120"/>
      <c r="J2302" s="120"/>
      <c r="K2302" s="120"/>
      <c r="L2302" s="120"/>
    </row>
    <row r="2303" spans="1:12" x14ac:dyDescent="0.25">
      <c r="A2303" s="120"/>
      <c r="B2303" s="120"/>
      <c r="C2303" s="120"/>
      <c r="D2303" s="120"/>
      <c r="E2303" s="120"/>
      <c r="F2303" s="120"/>
      <c r="G2303" s="120"/>
      <c r="H2303" s="120"/>
      <c r="I2303" s="120"/>
      <c r="J2303" s="120"/>
      <c r="K2303" s="120"/>
      <c r="L2303" s="120"/>
    </row>
    <row r="2304" spans="1:12" x14ac:dyDescent="0.25">
      <c r="A2304" s="1" t="s">
        <v>4</v>
      </c>
      <c r="B2304" s="2"/>
      <c r="C2304" s="90"/>
      <c r="D2304" s="2"/>
      <c r="E2304" s="2"/>
      <c r="F2304" s="2"/>
      <c r="G2304" s="3" t="s">
        <v>5</v>
      </c>
      <c r="H2304" s="3" t="s">
        <v>6</v>
      </c>
      <c r="I2304" s="4" t="s">
        <v>7</v>
      </c>
      <c r="J2304" s="5"/>
      <c r="K2304" s="5"/>
      <c r="L2304" s="5"/>
    </row>
    <row r="2305" spans="1:12" x14ac:dyDescent="0.25">
      <c r="A2305" s="91" t="s">
        <v>359</v>
      </c>
      <c r="B2305" s="92" t="s">
        <v>42</v>
      </c>
      <c r="C2305" s="64"/>
      <c r="D2305" s="66"/>
      <c r="E2305" s="2"/>
      <c r="F2305" s="2"/>
      <c r="G2305" s="91" t="s">
        <v>299</v>
      </c>
      <c r="H2305" s="66"/>
      <c r="I2305" s="33"/>
      <c r="J2305" s="6"/>
      <c r="K2305" s="33"/>
      <c r="L2305" s="6"/>
    </row>
    <row r="2306" spans="1:12" x14ac:dyDescent="0.25">
      <c r="A2306" s="7" t="s">
        <v>2</v>
      </c>
      <c r="B2306" s="5"/>
      <c r="C2306" s="5"/>
      <c r="D2306" s="5"/>
      <c r="E2306" s="5"/>
      <c r="F2306" s="5"/>
      <c r="G2306" s="8" t="s">
        <v>8</v>
      </c>
      <c r="H2306" s="93">
        <v>3</v>
      </c>
      <c r="I2306" s="5"/>
      <c r="J2306" s="5"/>
      <c r="K2306" s="5"/>
      <c r="L2306" s="5"/>
    </row>
    <row r="2307" spans="1:12" x14ac:dyDescent="0.25">
      <c r="A2307" s="7" t="s">
        <v>25</v>
      </c>
      <c r="B2307" s="5"/>
      <c r="C2307" s="7" t="s">
        <v>0</v>
      </c>
      <c r="D2307" s="5"/>
      <c r="E2307" s="5"/>
      <c r="F2307" s="5"/>
      <c r="G2307" s="7" t="s">
        <v>25</v>
      </c>
      <c r="H2307" s="5"/>
      <c r="I2307" s="7" t="s">
        <v>0</v>
      </c>
      <c r="J2307" s="5"/>
      <c r="K2307" s="5"/>
      <c r="L2307" s="5"/>
    </row>
    <row r="2308" spans="1:12" x14ac:dyDescent="0.25">
      <c r="A2308" s="42" t="s">
        <v>466</v>
      </c>
      <c r="B2308" s="6"/>
      <c r="C2308" s="31">
        <f>L2267</f>
        <v>974166</v>
      </c>
      <c r="D2308" s="5"/>
      <c r="E2308" s="5"/>
      <c r="F2308" s="5"/>
      <c r="G2308" s="42" t="s">
        <v>468</v>
      </c>
      <c r="H2308" s="6"/>
      <c r="I2308" s="9"/>
      <c r="J2308" s="5"/>
      <c r="K2308" s="5"/>
      <c r="L2308" s="5"/>
    </row>
    <row r="2309" spans="1:12" ht="16.5" thickBot="1" x14ac:dyDescent="0.3">
      <c r="A2309" s="7"/>
      <c r="B2309" s="62"/>
      <c r="C2309" s="62"/>
      <c r="D2309" s="62"/>
      <c r="E2309" s="5"/>
      <c r="F2309" s="5"/>
      <c r="G2309" s="10"/>
      <c r="H2309" s="5"/>
      <c r="I2309" s="5"/>
      <c r="J2309" s="5"/>
      <c r="K2309" s="5"/>
      <c r="L2309" s="5"/>
    </row>
    <row r="2310" spans="1:12" ht="15.75" thickBot="1" x14ac:dyDescent="0.3">
      <c r="A2310" s="121" t="s">
        <v>9</v>
      </c>
      <c r="B2310" s="122"/>
      <c r="C2310" s="123"/>
      <c r="D2310" s="5"/>
      <c r="E2310" s="5"/>
      <c r="F2310" s="5"/>
      <c r="G2310" s="121" t="s">
        <v>26</v>
      </c>
      <c r="H2310" s="122"/>
      <c r="I2310" s="123"/>
      <c r="J2310" s="5"/>
      <c r="K2310" s="5"/>
      <c r="L2310" s="5"/>
    </row>
    <row r="2311" spans="1:12" x14ac:dyDescent="0.25">
      <c r="A2311" s="30" t="s">
        <v>38</v>
      </c>
      <c r="B2311" s="11"/>
      <c r="C2311" s="11"/>
      <c r="D2311" s="11"/>
      <c r="E2311" s="6"/>
      <c r="F2311" s="5"/>
      <c r="G2311" s="30"/>
      <c r="H2311" s="11"/>
      <c r="I2311" s="11"/>
      <c r="J2311" s="11"/>
      <c r="K2311" s="11"/>
      <c r="L2311" s="6"/>
    </row>
    <row r="2312" spans="1:12" ht="15.75" thickBot="1" x14ac:dyDescent="0.3">
      <c r="A2312" s="7"/>
      <c r="B2312" s="7"/>
      <c r="C2312" s="7"/>
      <c r="D2312" s="5"/>
      <c r="E2312" s="5"/>
      <c r="F2312" s="5"/>
      <c r="G2312" s="7" t="str">
        <f>A2314</f>
        <v>Oshkati</v>
      </c>
      <c r="H2312" s="7"/>
      <c r="I2312" s="7"/>
      <c r="J2312" s="5"/>
      <c r="K2312" s="5"/>
      <c r="L2312" s="5"/>
    </row>
    <row r="2313" spans="1:12" ht="15.75" thickBot="1" x14ac:dyDescent="0.3">
      <c r="A2313" s="121"/>
      <c r="B2313" s="122"/>
      <c r="C2313" s="124"/>
      <c r="D2313" s="12" t="s">
        <v>1</v>
      </c>
      <c r="E2313" s="32"/>
      <c r="F2313" s="5"/>
      <c r="G2313" s="121" t="s">
        <v>27</v>
      </c>
      <c r="H2313" s="122"/>
      <c r="I2313" s="123"/>
      <c r="J2313" s="5"/>
      <c r="K2313" s="12" t="s">
        <v>1</v>
      </c>
      <c r="L2313" s="32">
        <v>975640</v>
      </c>
    </row>
    <row r="2314" spans="1:12" x14ac:dyDescent="0.25">
      <c r="A2314" s="30" t="s">
        <v>467</v>
      </c>
      <c r="B2314" s="11"/>
      <c r="C2314" s="11"/>
      <c r="D2314" s="11"/>
      <c r="E2314" s="6"/>
      <c r="F2314" s="5"/>
      <c r="G2314" s="30" t="s">
        <v>364</v>
      </c>
      <c r="H2314" s="11"/>
      <c r="I2314" s="11"/>
      <c r="J2314" s="11"/>
      <c r="K2314" s="11"/>
      <c r="L2314" s="6"/>
    </row>
    <row r="2315" spans="1:12" x14ac:dyDescent="0.25">
      <c r="A2315" s="76" t="s">
        <v>469</v>
      </c>
      <c r="B2315" s="11"/>
      <c r="C2315" s="11"/>
      <c r="D2315" s="11"/>
      <c r="E2315" s="6"/>
      <c r="F2315" s="5"/>
      <c r="G2315" s="34"/>
      <c r="H2315" s="11"/>
      <c r="I2315" s="11"/>
      <c r="J2315" s="11"/>
      <c r="K2315" s="11"/>
      <c r="L2315" s="6"/>
    </row>
    <row r="2316" spans="1:12" x14ac:dyDescent="0.25">
      <c r="A2316" s="13"/>
      <c r="B2316" s="11"/>
      <c r="C2316" s="11"/>
      <c r="D2316" s="11"/>
      <c r="E2316" s="6"/>
      <c r="F2316" s="5"/>
      <c r="G2316" s="13"/>
      <c r="H2316" s="11"/>
      <c r="I2316" s="11"/>
      <c r="J2316" s="11"/>
      <c r="K2316" s="11"/>
      <c r="L2316" s="6"/>
    </row>
    <row r="2317" spans="1:12" x14ac:dyDescent="0.25">
      <c r="A2317" s="13"/>
      <c r="B2317" s="11"/>
      <c r="C2317" s="11"/>
      <c r="D2317" s="11"/>
      <c r="E2317" s="6"/>
      <c r="F2317" s="5"/>
      <c r="G2317" s="13"/>
      <c r="H2317" s="11"/>
      <c r="I2317" s="11"/>
      <c r="J2317" s="11"/>
      <c r="K2317" s="11"/>
      <c r="L2317" s="6"/>
    </row>
    <row r="2318" spans="1:12" ht="15.75" thickBot="1" x14ac:dyDescent="0.3">
      <c r="A2318" s="13"/>
      <c r="B2318" s="11"/>
      <c r="C2318" s="11" t="s">
        <v>29</v>
      </c>
      <c r="D2318" s="43"/>
      <c r="E2318" s="6"/>
      <c r="F2318" s="5"/>
      <c r="G2318" s="13"/>
      <c r="H2318" s="11"/>
      <c r="I2318" s="14" t="s">
        <v>28</v>
      </c>
      <c r="J2318" s="43"/>
      <c r="K2318" s="59"/>
      <c r="L2318" s="6"/>
    </row>
    <row r="2319" spans="1:12" ht="15.75" thickBot="1" x14ac:dyDescent="0.3">
      <c r="A2319" s="15" t="s">
        <v>10</v>
      </c>
      <c r="B2319" s="5"/>
      <c r="C2319" s="5"/>
      <c r="D2319" s="5"/>
      <c r="E2319" s="5"/>
      <c r="F2319" s="5"/>
      <c r="G2319" s="15" t="s">
        <v>14</v>
      </c>
      <c r="H2319" s="5"/>
      <c r="I2319" s="5"/>
      <c r="J2319" s="5"/>
      <c r="K2319" s="5"/>
      <c r="L2319" s="5"/>
    </row>
    <row r="2320" spans="1:12" ht="15.75" thickBot="1" x14ac:dyDescent="0.3">
      <c r="A2320" s="121" t="s">
        <v>11</v>
      </c>
      <c r="B2320" s="122"/>
      <c r="C2320" s="123"/>
      <c r="D2320" s="16" t="s">
        <v>12</v>
      </c>
      <c r="E2320" s="16" t="s">
        <v>13</v>
      </c>
      <c r="F2320" s="5"/>
      <c r="G2320" s="121" t="s">
        <v>15</v>
      </c>
      <c r="H2320" s="122"/>
      <c r="I2320" s="123"/>
      <c r="J2320" s="121"/>
      <c r="K2320" s="123"/>
      <c r="L2320" s="5"/>
    </row>
    <row r="2321" spans="1:12" x14ac:dyDescent="0.25">
      <c r="A2321" s="45" t="s">
        <v>468</v>
      </c>
      <c r="B2321" s="46" t="s">
        <v>47</v>
      </c>
      <c r="C2321" s="47"/>
      <c r="D2321" s="56">
        <v>473.6</v>
      </c>
      <c r="E2321" s="57">
        <v>9999</v>
      </c>
      <c r="F2321" s="44">
        <f>E2321/D2321</f>
        <v>21.112753378378379</v>
      </c>
      <c r="G2321" s="125" t="s">
        <v>69</v>
      </c>
      <c r="H2321" s="126"/>
      <c r="I2321" s="127"/>
      <c r="J2321" s="128">
        <v>0</v>
      </c>
      <c r="K2321" s="129"/>
      <c r="L2321" s="5"/>
    </row>
    <row r="2322" spans="1:12" x14ac:dyDescent="0.25">
      <c r="A2322" s="94"/>
      <c r="B2322" s="46"/>
      <c r="C2322" s="47"/>
      <c r="D2322" s="56"/>
      <c r="E2322" s="57"/>
      <c r="F2322" s="44"/>
      <c r="G2322" s="110" t="s">
        <v>59</v>
      </c>
      <c r="H2322" s="111"/>
      <c r="I2322" s="112"/>
      <c r="J2322" s="113"/>
      <c r="K2322" s="114"/>
      <c r="L2322" s="5"/>
    </row>
    <row r="2323" spans="1:12" x14ac:dyDescent="0.25">
      <c r="A2323" s="94"/>
      <c r="B2323" s="46"/>
      <c r="C2323" s="47"/>
      <c r="D2323" s="56"/>
      <c r="E2323" s="57"/>
      <c r="F2323" s="44"/>
      <c r="G2323" s="110" t="s">
        <v>61</v>
      </c>
      <c r="H2323" s="111"/>
      <c r="I2323" s="112"/>
      <c r="J2323" s="113"/>
      <c r="K2323" s="114"/>
      <c r="L2323" s="5"/>
    </row>
    <row r="2324" spans="1:12" x14ac:dyDescent="0.25">
      <c r="A2324" s="94"/>
      <c r="B2324" s="46"/>
      <c r="C2324" s="47"/>
      <c r="D2324" s="56"/>
      <c r="E2324" s="57"/>
      <c r="F2324" s="44"/>
      <c r="G2324" s="110" t="s">
        <v>51</v>
      </c>
      <c r="H2324" s="111"/>
      <c r="I2324" s="112"/>
      <c r="J2324" s="113"/>
      <c r="K2324" s="114"/>
      <c r="L2324" s="5"/>
    </row>
    <row r="2325" spans="1:12" x14ac:dyDescent="0.25">
      <c r="A2325" s="48"/>
      <c r="B2325" s="46"/>
      <c r="C2325" s="39"/>
      <c r="D2325" s="52"/>
      <c r="E2325" s="53"/>
      <c r="F2325" s="44"/>
      <c r="G2325" s="110" t="s">
        <v>58</v>
      </c>
      <c r="H2325" s="111"/>
      <c r="I2325" s="112"/>
      <c r="J2325" s="113"/>
      <c r="K2325" s="114"/>
      <c r="L2325" s="5"/>
    </row>
    <row r="2326" spans="1:12" x14ac:dyDescent="0.25">
      <c r="A2326" s="48"/>
      <c r="B2326" s="35"/>
      <c r="C2326" s="39"/>
      <c r="D2326" s="52"/>
      <c r="E2326" s="53"/>
      <c r="F2326" s="44"/>
      <c r="G2326" s="110" t="s">
        <v>51</v>
      </c>
      <c r="H2326" s="111"/>
      <c r="I2326" s="112"/>
      <c r="J2326" s="113"/>
      <c r="K2326" s="114"/>
      <c r="L2326" s="5"/>
    </row>
    <row r="2327" spans="1:12" x14ac:dyDescent="0.25">
      <c r="A2327" s="48"/>
      <c r="B2327" s="35"/>
      <c r="C2327" s="39"/>
      <c r="D2327" s="52"/>
      <c r="E2327" s="53"/>
      <c r="F2327" s="44"/>
      <c r="G2327" s="77"/>
      <c r="H2327" s="78" t="s">
        <v>69</v>
      </c>
      <c r="I2327" s="79"/>
      <c r="J2327" s="113">
        <v>0</v>
      </c>
      <c r="K2327" s="114"/>
      <c r="L2327" s="5"/>
    </row>
    <row r="2328" spans="1:12" x14ac:dyDescent="0.25">
      <c r="A2328" s="38"/>
      <c r="B2328" s="35"/>
      <c r="C2328" s="39"/>
      <c r="D2328" s="52"/>
      <c r="E2328" s="53"/>
      <c r="F2328" s="44"/>
      <c r="G2328" s="77"/>
      <c r="H2328" s="78" t="s">
        <v>72</v>
      </c>
      <c r="I2328" s="79"/>
      <c r="J2328" s="113"/>
      <c r="K2328" s="114"/>
      <c r="L2328" s="5"/>
    </row>
    <row r="2329" spans="1:12" ht="15.75" thickBot="1" x14ac:dyDescent="0.3">
      <c r="A2329" s="5"/>
      <c r="B2329" s="5"/>
      <c r="C2329" s="7" t="s">
        <v>35</v>
      </c>
      <c r="D2329" s="17">
        <f>SUM(D2321:D2328)</f>
        <v>473.6</v>
      </c>
      <c r="E2329" s="17">
        <f>SUM(E2321:E2328)</f>
        <v>9999</v>
      </c>
      <c r="F2329" s="89">
        <f>AVERAGE(F2321:F2325)</f>
        <v>21.112753378378379</v>
      </c>
      <c r="G2329" s="110" t="s">
        <v>73</v>
      </c>
      <c r="H2329" s="111"/>
      <c r="I2329" s="112"/>
      <c r="J2329" s="113"/>
      <c r="K2329" s="114"/>
      <c r="L2329" s="7" t="s">
        <v>36</v>
      </c>
    </row>
    <row r="2330" spans="1:12" ht="15.75" thickBot="1" x14ac:dyDescent="0.3">
      <c r="A2330" s="5"/>
      <c r="B2330" s="5"/>
      <c r="C2330" s="5"/>
      <c r="D2330" s="5"/>
      <c r="E2330" s="5"/>
      <c r="F2330" s="5"/>
      <c r="G2330" s="130"/>
      <c r="H2330" s="131"/>
      <c r="I2330" s="132"/>
      <c r="J2330" s="133"/>
      <c r="K2330" s="134"/>
      <c r="L2330" s="18">
        <f>J2321+J2322+J2323+J2324+J2325+J2326+J2327+J2328+J2329</f>
        <v>0</v>
      </c>
    </row>
    <row r="2331" spans="1:12" ht="15.75" thickBot="1" x14ac:dyDescent="0.3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</row>
    <row r="2332" spans="1:12" ht="15.75" thickBot="1" x14ac:dyDescent="0.3">
      <c r="A2332" s="19"/>
      <c r="B2332" s="20"/>
      <c r="C2332" s="20"/>
      <c r="D2332" s="20"/>
      <c r="E2332" s="21" t="s">
        <v>13</v>
      </c>
      <c r="F2332" s="5"/>
      <c r="G2332" s="19"/>
      <c r="H2332" s="20"/>
      <c r="I2332" s="20"/>
      <c r="J2332" s="20"/>
      <c r="K2332" s="21" t="s">
        <v>13</v>
      </c>
      <c r="L2332" s="5"/>
    </row>
    <row r="2333" spans="1:12" x14ac:dyDescent="0.25">
      <c r="A2333" s="22" t="s">
        <v>31</v>
      </c>
      <c r="B2333" s="115">
        <v>28111</v>
      </c>
      <c r="C2333" s="116"/>
      <c r="D2333" s="116"/>
      <c r="E2333" s="117"/>
      <c r="F2333" s="5"/>
      <c r="G2333" s="22" t="s">
        <v>32</v>
      </c>
      <c r="H2333" s="115"/>
      <c r="I2333" s="116"/>
      <c r="J2333" s="116"/>
      <c r="K2333" s="117"/>
      <c r="L2333" s="5"/>
    </row>
    <row r="2334" spans="1:12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</row>
    <row r="2335" spans="1:12" x14ac:dyDescent="0.25">
      <c r="A2335" s="7" t="s">
        <v>16</v>
      </c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</row>
    <row r="2336" spans="1:12" x14ac:dyDescent="0.25">
      <c r="A2336" s="9" t="s">
        <v>17</v>
      </c>
      <c r="B2336" s="23">
        <f>L2313-C2308</f>
        <v>1474</v>
      </c>
      <c r="C2336" s="5"/>
      <c r="D2336" s="106" t="s">
        <v>18</v>
      </c>
      <c r="E2336" s="107"/>
      <c r="F2336" s="24" t="s">
        <v>19</v>
      </c>
      <c r="G2336" s="9" t="s">
        <v>20</v>
      </c>
      <c r="H2336" s="118">
        <f>B2333+H2333</f>
        <v>28111</v>
      </c>
      <c r="I2336" s="119"/>
      <c r="J2336" s="60"/>
      <c r="K2336" s="5"/>
      <c r="L2336" s="5"/>
    </row>
    <row r="2337" spans="1:12" x14ac:dyDescent="0.25">
      <c r="A2337" s="9" t="s">
        <v>41</v>
      </c>
      <c r="B2337" s="40">
        <f>B2336/D2329</f>
        <v>3.1123310810810811</v>
      </c>
      <c r="C2337" s="5"/>
      <c r="D2337" s="102">
        <f>E2329</f>
        <v>9999</v>
      </c>
      <c r="E2337" s="103"/>
      <c r="F2337" s="25">
        <f>H2337/B2336</f>
        <v>7.7227951153324286</v>
      </c>
      <c r="G2337" s="9" t="s">
        <v>21</v>
      </c>
      <c r="H2337" s="104">
        <f>L2330+D2337+D2339+D2341+D2343+A2340</f>
        <v>11383.4</v>
      </c>
      <c r="I2337" s="105"/>
      <c r="J2337" s="5"/>
      <c r="K2337" s="5"/>
      <c r="L2337" s="5"/>
    </row>
    <row r="2338" spans="1:12" x14ac:dyDescent="0.25">
      <c r="A2338" s="9" t="s">
        <v>43</v>
      </c>
      <c r="B2338" s="23">
        <f>D2329/B2336*100</f>
        <v>32.130257801899589</v>
      </c>
      <c r="C2338" s="5"/>
      <c r="D2338" s="106" t="s">
        <v>33</v>
      </c>
      <c r="E2338" s="107"/>
      <c r="F2338" s="5"/>
      <c r="G2338" s="13" t="s">
        <v>22</v>
      </c>
      <c r="H2338" s="6"/>
      <c r="I2338" s="26">
        <f>H2336-H2337</f>
        <v>16727.599999999999</v>
      </c>
      <c r="J2338" s="5"/>
      <c r="K2338" s="5"/>
      <c r="L2338" s="5"/>
    </row>
    <row r="2339" spans="1:12" x14ac:dyDescent="0.25">
      <c r="A2339" s="106" t="s">
        <v>40</v>
      </c>
      <c r="B2339" s="107"/>
      <c r="C2339" s="5"/>
      <c r="D2339" s="149">
        <v>500</v>
      </c>
      <c r="E2339" s="150"/>
      <c r="F2339" s="5"/>
      <c r="G2339" s="5"/>
      <c r="H2339" s="5"/>
      <c r="I2339" s="5"/>
      <c r="J2339" s="5"/>
      <c r="K2339" s="5"/>
      <c r="L2339" s="5"/>
    </row>
    <row r="2340" spans="1:12" x14ac:dyDescent="0.25">
      <c r="A2340" s="108">
        <f>B2336*0.6</f>
        <v>884.4</v>
      </c>
      <c r="B2340" s="109"/>
      <c r="C2340" s="5"/>
      <c r="D2340" s="106" t="s">
        <v>34</v>
      </c>
      <c r="E2340" s="107"/>
      <c r="F2340" s="5"/>
      <c r="G2340" s="145" t="s">
        <v>292</v>
      </c>
      <c r="H2340" s="146"/>
      <c r="I2340" s="23">
        <f>B2336/2.3</f>
        <v>640.86956521739137</v>
      </c>
      <c r="J2340" s="60"/>
      <c r="K2340" s="5"/>
      <c r="L2340" s="5"/>
    </row>
    <row r="2341" spans="1:12" x14ac:dyDescent="0.25">
      <c r="A2341" s="5"/>
      <c r="B2341" s="5"/>
      <c r="C2341" s="5"/>
      <c r="D2341" s="108">
        <v>0</v>
      </c>
      <c r="E2341" s="109"/>
      <c r="F2341" s="5"/>
      <c r="G2341" s="145" t="s">
        <v>294</v>
      </c>
      <c r="H2341" s="146"/>
      <c r="I2341" s="23">
        <f>I2340-D2329</f>
        <v>167.26956521739135</v>
      </c>
      <c r="J2341" s="5"/>
      <c r="K2341" s="5"/>
      <c r="L2341" s="5"/>
    </row>
    <row r="2342" spans="1:12" x14ac:dyDescent="0.25">
      <c r="A2342" s="5"/>
      <c r="B2342" s="5"/>
      <c r="C2342" s="5"/>
      <c r="D2342" s="106" t="s">
        <v>37</v>
      </c>
      <c r="E2342" s="107"/>
      <c r="F2342" s="5"/>
      <c r="G2342" s="147" t="s">
        <v>295</v>
      </c>
      <c r="H2342" s="148"/>
      <c r="I2342" s="86">
        <f>I2341*F2329</f>
        <v>3531.5210781433616</v>
      </c>
      <c r="J2342" s="87">
        <f>I2338-I2342</f>
        <v>13196.078921856637</v>
      </c>
      <c r="K2342" s="5"/>
      <c r="L2342" s="5"/>
    </row>
    <row r="2343" spans="1:12" x14ac:dyDescent="0.25">
      <c r="A2343" s="5"/>
      <c r="B2343" s="5"/>
      <c r="C2343" s="5"/>
      <c r="D2343" s="108">
        <v>0</v>
      </c>
      <c r="E2343" s="109"/>
      <c r="F2343" s="5" t="s">
        <v>78</v>
      </c>
      <c r="G2343" s="5"/>
      <c r="H2343" s="5"/>
      <c r="I2343" s="5"/>
      <c r="J2343" s="88" t="s">
        <v>293</v>
      </c>
      <c r="K2343" s="44"/>
      <c r="L2343" s="5"/>
    </row>
    <row r="2345" spans="1:12" s="49" customFormat="1" x14ac:dyDescent="0.25"/>
    <row r="2348" spans="1:12" x14ac:dyDescent="0.25">
      <c r="A2348" s="120" t="s">
        <v>24</v>
      </c>
      <c r="B2348" s="120"/>
      <c r="C2348" s="120"/>
      <c r="D2348" s="120"/>
      <c r="E2348" s="120"/>
      <c r="F2348" s="120"/>
      <c r="G2348" s="120"/>
      <c r="H2348" s="120"/>
      <c r="I2348" s="120"/>
      <c r="J2348" s="120"/>
      <c r="K2348" s="120"/>
      <c r="L2348" s="120"/>
    </row>
    <row r="2349" spans="1:12" x14ac:dyDescent="0.25">
      <c r="A2349" s="120"/>
      <c r="B2349" s="120"/>
      <c r="C2349" s="120"/>
      <c r="D2349" s="120"/>
      <c r="E2349" s="120"/>
      <c r="F2349" s="120"/>
      <c r="G2349" s="120"/>
      <c r="H2349" s="120"/>
      <c r="I2349" s="120"/>
      <c r="J2349" s="120"/>
      <c r="K2349" s="120"/>
      <c r="L2349" s="120"/>
    </row>
    <row r="2350" spans="1:12" x14ac:dyDescent="0.25">
      <c r="A2350" s="1" t="s">
        <v>4</v>
      </c>
      <c r="B2350" s="2"/>
      <c r="C2350" s="90"/>
      <c r="D2350" s="2"/>
      <c r="E2350" s="2"/>
      <c r="F2350" s="2"/>
      <c r="G2350" s="3" t="s">
        <v>5</v>
      </c>
      <c r="H2350" s="3" t="s">
        <v>6</v>
      </c>
      <c r="I2350" s="4" t="s">
        <v>7</v>
      </c>
      <c r="J2350" s="5"/>
      <c r="K2350" s="5"/>
      <c r="L2350" s="5"/>
    </row>
    <row r="2351" spans="1:12" x14ac:dyDescent="0.25">
      <c r="A2351" s="91" t="s">
        <v>359</v>
      </c>
      <c r="B2351" s="92" t="s">
        <v>42</v>
      </c>
      <c r="C2351" s="64"/>
      <c r="D2351" s="66"/>
      <c r="E2351" s="2"/>
      <c r="F2351" s="2"/>
      <c r="G2351" s="91" t="s">
        <v>299</v>
      </c>
      <c r="H2351" s="66"/>
      <c r="I2351" s="33"/>
      <c r="J2351" s="6"/>
      <c r="K2351" s="33"/>
      <c r="L2351" s="6"/>
    </row>
    <row r="2352" spans="1:12" x14ac:dyDescent="0.25">
      <c r="A2352" s="7" t="s">
        <v>2</v>
      </c>
      <c r="B2352" s="5"/>
      <c r="C2352" s="5"/>
      <c r="D2352" s="5"/>
      <c r="E2352" s="5"/>
      <c r="F2352" s="5"/>
      <c r="G2352" s="8" t="s">
        <v>8</v>
      </c>
      <c r="H2352" s="93">
        <v>3</v>
      </c>
      <c r="I2352" s="5"/>
      <c r="J2352" s="5"/>
      <c r="K2352" s="5"/>
      <c r="L2352" s="5"/>
    </row>
    <row r="2353" spans="1:12" x14ac:dyDescent="0.25">
      <c r="A2353" s="7" t="s">
        <v>25</v>
      </c>
      <c r="B2353" s="5"/>
      <c r="C2353" s="7" t="s">
        <v>0</v>
      </c>
      <c r="D2353" s="5"/>
      <c r="E2353" s="5"/>
      <c r="F2353" s="5"/>
      <c r="G2353" s="7" t="s">
        <v>25</v>
      </c>
      <c r="H2353" s="5"/>
      <c r="I2353" s="7" t="s">
        <v>0</v>
      </c>
      <c r="J2353" s="5"/>
      <c r="K2353" s="5"/>
      <c r="L2353" s="5"/>
    </row>
    <row r="2354" spans="1:12" x14ac:dyDescent="0.25">
      <c r="A2354" s="42" t="s">
        <v>468</v>
      </c>
      <c r="B2354" s="6"/>
      <c r="C2354" s="31">
        <f>L2313</f>
        <v>975640</v>
      </c>
      <c r="D2354" s="5"/>
      <c r="E2354" s="5"/>
      <c r="F2354" s="5"/>
      <c r="G2354" s="42" t="s">
        <v>470</v>
      </c>
      <c r="H2354" s="6"/>
      <c r="I2354" s="9"/>
      <c r="J2354" s="5"/>
      <c r="K2354" s="5"/>
      <c r="L2354" s="5"/>
    </row>
    <row r="2355" spans="1:12" ht="16.5" thickBot="1" x14ac:dyDescent="0.3">
      <c r="A2355" s="7"/>
      <c r="B2355" s="62"/>
      <c r="C2355" s="62"/>
      <c r="D2355" s="62"/>
      <c r="E2355" s="5"/>
      <c r="F2355" s="5"/>
      <c r="G2355" s="10"/>
      <c r="H2355" s="5"/>
      <c r="I2355" s="5"/>
      <c r="J2355" s="5"/>
      <c r="K2355" s="5"/>
      <c r="L2355" s="5"/>
    </row>
    <row r="2356" spans="1:12" ht="15.75" thickBot="1" x14ac:dyDescent="0.3">
      <c r="A2356" s="121" t="s">
        <v>9</v>
      </c>
      <c r="B2356" s="122"/>
      <c r="C2356" s="123"/>
      <c r="D2356" s="5"/>
      <c r="E2356" s="5"/>
      <c r="F2356" s="5"/>
      <c r="G2356" s="121" t="s">
        <v>26</v>
      </c>
      <c r="H2356" s="122"/>
      <c r="I2356" s="123"/>
      <c r="J2356" s="5"/>
      <c r="K2356" s="5"/>
      <c r="L2356" s="5"/>
    </row>
    <row r="2357" spans="1:12" x14ac:dyDescent="0.25">
      <c r="A2357" s="30" t="s">
        <v>38</v>
      </c>
      <c r="B2357" s="11"/>
      <c r="C2357" s="11"/>
      <c r="D2357" s="11"/>
      <c r="E2357" s="6"/>
      <c r="F2357" s="5"/>
      <c r="G2357" s="30" t="str">
        <f>A2360</f>
        <v>Cape Town</v>
      </c>
      <c r="H2357" s="11">
        <v>64209249</v>
      </c>
      <c r="I2357" s="11"/>
      <c r="J2357" s="11"/>
      <c r="K2357" s="11"/>
      <c r="L2357" s="6"/>
    </row>
    <row r="2358" spans="1:12" ht="15.75" thickBot="1" x14ac:dyDescent="0.3">
      <c r="A2358" s="7"/>
      <c r="B2358" s="7"/>
      <c r="C2358" s="7"/>
      <c r="D2358" s="5"/>
      <c r="E2358" s="5"/>
      <c r="F2358" s="5"/>
      <c r="G2358" s="7" t="str">
        <f>A2360</f>
        <v>Cape Town</v>
      </c>
      <c r="H2358" s="7"/>
      <c r="I2358" s="7"/>
      <c r="J2358" s="5"/>
      <c r="K2358" s="5"/>
      <c r="L2358" s="5"/>
    </row>
    <row r="2359" spans="1:12" ht="15.75" thickBot="1" x14ac:dyDescent="0.3">
      <c r="A2359" s="121"/>
      <c r="B2359" s="122"/>
      <c r="C2359" s="124"/>
      <c r="D2359" s="12" t="s">
        <v>1</v>
      </c>
      <c r="E2359" s="32"/>
      <c r="F2359" s="5"/>
      <c r="G2359" s="121" t="s">
        <v>27</v>
      </c>
      <c r="H2359" s="122"/>
      <c r="I2359" s="123"/>
      <c r="J2359" s="5"/>
      <c r="K2359" s="12" t="s">
        <v>1</v>
      </c>
      <c r="L2359" s="32">
        <v>978697</v>
      </c>
    </row>
    <row r="2360" spans="1:12" x14ac:dyDescent="0.25">
      <c r="A2360" s="30" t="s">
        <v>65</v>
      </c>
      <c r="B2360" s="11"/>
      <c r="C2360" s="11"/>
      <c r="D2360" s="11"/>
      <c r="E2360" s="6"/>
      <c r="F2360" s="5"/>
      <c r="G2360" s="30" t="s">
        <v>364</v>
      </c>
      <c r="H2360" s="11"/>
      <c r="I2360" s="11"/>
      <c r="J2360" s="11"/>
      <c r="K2360" s="11"/>
      <c r="L2360" s="6"/>
    </row>
    <row r="2361" spans="1:12" x14ac:dyDescent="0.25">
      <c r="A2361" s="76" t="s">
        <v>435</v>
      </c>
      <c r="B2361" s="11"/>
      <c r="C2361" s="11"/>
      <c r="D2361" s="11"/>
      <c r="E2361" s="6"/>
      <c r="F2361" s="5"/>
      <c r="G2361" s="34"/>
      <c r="H2361" s="11"/>
      <c r="I2361" s="11"/>
      <c r="J2361" s="11"/>
      <c r="K2361" s="11"/>
      <c r="L2361" s="6"/>
    </row>
    <row r="2362" spans="1:12" x14ac:dyDescent="0.25">
      <c r="A2362" s="13"/>
      <c r="B2362" s="11"/>
      <c r="C2362" s="11"/>
      <c r="D2362" s="11"/>
      <c r="E2362" s="6"/>
      <c r="F2362" s="5"/>
      <c r="G2362" s="13"/>
      <c r="H2362" s="11"/>
      <c r="I2362" s="11"/>
      <c r="J2362" s="11"/>
      <c r="K2362" s="11"/>
      <c r="L2362" s="6"/>
    </row>
    <row r="2363" spans="1:12" x14ac:dyDescent="0.25">
      <c r="A2363" s="13"/>
      <c r="B2363" s="11"/>
      <c r="C2363" s="11"/>
      <c r="D2363" s="11"/>
      <c r="E2363" s="6"/>
      <c r="F2363" s="5"/>
      <c r="G2363" s="13"/>
      <c r="H2363" s="11"/>
      <c r="I2363" s="11"/>
      <c r="J2363" s="11"/>
      <c r="K2363" s="11"/>
      <c r="L2363" s="6"/>
    </row>
    <row r="2364" spans="1:12" ht="15.75" thickBot="1" x14ac:dyDescent="0.3">
      <c r="A2364" s="13"/>
      <c r="B2364" s="11"/>
      <c r="C2364" s="11" t="s">
        <v>29</v>
      </c>
      <c r="D2364" s="43"/>
      <c r="E2364" s="6"/>
      <c r="F2364" s="5"/>
      <c r="G2364" s="13"/>
      <c r="H2364" s="11"/>
      <c r="I2364" s="14" t="s">
        <v>28</v>
      </c>
      <c r="J2364" s="43"/>
      <c r="K2364" s="59"/>
      <c r="L2364" s="6"/>
    </row>
    <row r="2365" spans="1:12" ht="15.75" thickBot="1" x14ac:dyDescent="0.3">
      <c r="A2365" s="15" t="s">
        <v>10</v>
      </c>
      <c r="B2365" s="5"/>
      <c r="C2365" s="5"/>
      <c r="D2365" s="5"/>
      <c r="E2365" s="5"/>
      <c r="F2365" s="5"/>
      <c r="G2365" s="15" t="s">
        <v>14</v>
      </c>
      <c r="H2365" s="5"/>
      <c r="I2365" s="5"/>
      <c r="J2365" s="5"/>
      <c r="K2365" s="5"/>
      <c r="L2365" s="5"/>
    </row>
    <row r="2366" spans="1:12" ht="15.75" thickBot="1" x14ac:dyDescent="0.3">
      <c r="A2366" s="121" t="s">
        <v>11</v>
      </c>
      <c r="B2366" s="122"/>
      <c r="C2366" s="123"/>
      <c r="D2366" s="16" t="s">
        <v>12</v>
      </c>
      <c r="E2366" s="16" t="s">
        <v>13</v>
      </c>
      <c r="F2366" s="5"/>
      <c r="G2366" s="121" t="s">
        <v>15</v>
      </c>
      <c r="H2366" s="122"/>
      <c r="I2366" s="123"/>
      <c r="J2366" s="121"/>
      <c r="K2366" s="123"/>
      <c r="L2366" s="5"/>
    </row>
    <row r="2367" spans="1:12" x14ac:dyDescent="0.25">
      <c r="A2367" s="45" t="s">
        <v>456</v>
      </c>
      <c r="B2367" s="46" t="s">
        <v>66</v>
      </c>
      <c r="C2367" s="47"/>
      <c r="D2367" s="56">
        <v>296.99599999999998</v>
      </c>
      <c r="E2367" s="57">
        <v>6450.8</v>
      </c>
      <c r="F2367" s="44">
        <f>E2367/D2367</f>
        <v>21.720157847243737</v>
      </c>
      <c r="G2367" s="125" t="s">
        <v>69</v>
      </c>
      <c r="H2367" s="126"/>
      <c r="I2367" s="127"/>
      <c r="J2367" s="128">
        <v>0</v>
      </c>
      <c r="K2367" s="129"/>
      <c r="L2367" s="5"/>
    </row>
    <row r="2368" spans="1:12" x14ac:dyDescent="0.25">
      <c r="A2368" s="94" t="s">
        <v>470</v>
      </c>
      <c r="B2368" s="46" t="s">
        <v>471</v>
      </c>
      <c r="C2368" s="47"/>
      <c r="D2368" s="56">
        <v>200</v>
      </c>
      <c r="E2368" s="57">
        <v>4324</v>
      </c>
      <c r="F2368" s="44">
        <f>E2368/D2368</f>
        <v>21.62</v>
      </c>
      <c r="G2368" s="110" t="s">
        <v>59</v>
      </c>
      <c r="H2368" s="111"/>
      <c r="I2368" s="112"/>
      <c r="J2368" s="113"/>
      <c r="K2368" s="114"/>
      <c r="L2368" s="5"/>
    </row>
    <row r="2369" spans="1:12" x14ac:dyDescent="0.25">
      <c r="A2369" s="94" t="s">
        <v>472</v>
      </c>
      <c r="B2369" s="46" t="s">
        <v>66</v>
      </c>
      <c r="C2369" s="47"/>
      <c r="D2369" s="56">
        <v>530.40300000000002</v>
      </c>
      <c r="E2369" s="57">
        <v>11520.35</v>
      </c>
      <c r="F2369" s="44">
        <f>E2369/D2369</f>
        <v>21.719994042265974</v>
      </c>
      <c r="G2369" s="110" t="s">
        <v>61</v>
      </c>
      <c r="H2369" s="111"/>
      <c r="I2369" s="112"/>
      <c r="J2369" s="113"/>
      <c r="K2369" s="114"/>
      <c r="L2369" s="5"/>
    </row>
    <row r="2370" spans="1:12" x14ac:dyDescent="0.25">
      <c r="A2370" s="94" t="s">
        <v>473</v>
      </c>
      <c r="B2370" s="46" t="s">
        <v>47</v>
      </c>
      <c r="C2370" s="47"/>
      <c r="D2370" s="56">
        <v>446.47</v>
      </c>
      <c r="E2370" s="57">
        <v>9424.98</v>
      </c>
      <c r="F2370" s="44">
        <f>E2370/D2370</f>
        <v>21.109996192353346</v>
      </c>
      <c r="G2370" s="110" t="s">
        <v>51</v>
      </c>
      <c r="H2370" s="111"/>
      <c r="I2370" s="112"/>
      <c r="J2370" s="113"/>
      <c r="K2370" s="114"/>
      <c r="L2370" s="5"/>
    </row>
    <row r="2371" spans="1:12" x14ac:dyDescent="0.25">
      <c r="A2371" s="48"/>
      <c r="B2371" s="46"/>
      <c r="C2371" s="39"/>
      <c r="D2371" s="52"/>
      <c r="E2371" s="53"/>
      <c r="F2371" s="44"/>
      <c r="G2371" s="110" t="s">
        <v>58</v>
      </c>
      <c r="H2371" s="111"/>
      <c r="I2371" s="112"/>
      <c r="J2371" s="113"/>
      <c r="K2371" s="114"/>
      <c r="L2371" s="5"/>
    </row>
    <row r="2372" spans="1:12" x14ac:dyDescent="0.25">
      <c r="A2372" s="48"/>
      <c r="B2372" s="35"/>
      <c r="C2372" s="39"/>
      <c r="D2372" s="52"/>
      <c r="E2372" s="53"/>
      <c r="F2372" s="44"/>
      <c r="G2372" s="110" t="s">
        <v>51</v>
      </c>
      <c r="H2372" s="111"/>
      <c r="I2372" s="112"/>
      <c r="J2372" s="113"/>
      <c r="K2372" s="114"/>
      <c r="L2372" s="5"/>
    </row>
    <row r="2373" spans="1:12" x14ac:dyDescent="0.25">
      <c r="A2373" s="48"/>
      <c r="B2373" s="35"/>
      <c r="C2373" s="39"/>
      <c r="D2373" s="52"/>
      <c r="E2373" s="53"/>
      <c r="F2373" s="44"/>
      <c r="G2373" s="77"/>
      <c r="H2373" s="78" t="s">
        <v>69</v>
      </c>
      <c r="I2373" s="79"/>
      <c r="J2373" s="113">
        <v>0</v>
      </c>
      <c r="K2373" s="114"/>
      <c r="L2373" s="5"/>
    </row>
    <row r="2374" spans="1:12" x14ac:dyDescent="0.25">
      <c r="A2374" s="38"/>
      <c r="B2374" s="35"/>
      <c r="C2374" s="39"/>
      <c r="D2374" s="52"/>
      <c r="E2374" s="53"/>
      <c r="F2374" s="44"/>
      <c r="G2374" s="77"/>
      <c r="H2374" s="78" t="s">
        <v>72</v>
      </c>
      <c r="I2374" s="79"/>
      <c r="J2374" s="113"/>
      <c r="K2374" s="114"/>
      <c r="L2374" s="5"/>
    </row>
    <row r="2375" spans="1:12" ht="15.75" thickBot="1" x14ac:dyDescent="0.3">
      <c r="A2375" s="5"/>
      <c r="B2375" s="5"/>
      <c r="C2375" s="7" t="s">
        <v>35</v>
      </c>
      <c r="D2375" s="17">
        <f>SUM(D2367:D2374)</f>
        <v>1473.8689999999999</v>
      </c>
      <c r="E2375" s="17">
        <f>SUM(E2367:E2374)</f>
        <v>31720.13</v>
      </c>
      <c r="F2375" s="89">
        <f>AVERAGE(F2367:F2371)</f>
        <v>21.542537020465765</v>
      </c>
      <c r="G2375" s="110" t="s">
        <v>73</v>
      </c>
      <c r="H2375" s="111"/>
      <c r="I2375" s="112"/>
      <c r="J2375" s="113"/>
      <c r="K2375" s="114"/>
      <c r="L2375" s="7" t="s">
        <v>36</v>
      </c>
    </row>
    <row r="2376" spans="1:12" ht="15.75" thickBot="1" x14ac:dyDescent="0.3">
      <c r="A2376" s="5"/>
      <c r="B2376" s="5"/>
      <c r="C2376" s="5"/>
      <c r="D2376" s="5"/>
      <c r="E2376" s="5"/>
      <c r="F2376" s="5"/>
      <c r="G2376" s="130"/>
      <c r="H2376" s="131"/>
      <c r="I2376" s="132"/>
      <c r="J2376" s="133"/>
      <c r="K2376" s="134"/>
      <c r="L2376" s="18">
        <f>J2367+J2368+J2369+J2370+J2371+J2372+J2373+J2374+J2375</f>
        <v>0</v>
      </c>
    </row>
    <row r="2377" spans="1:12" ht="15.75" thickBot="1" x14ac:dyDescent="0.3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</row>
    <row r="2378" spans="1:12" ht="15.75" thickBot="1" x14ac:dyDescent="0.3">
      <c r="A2378" s="19"/>
      <c r="B2378" s="20"/>
      <c r="C2378" s="20"/>
      <c r="D2378" s="20"/>
      <c r="E2378" s="21" t="s">
        <v>13</v>
      </c>
      <c r="F2378" s="5"/>
      <c r="G2378" s="19"/>
      <c r="H2378" s="20"/>
      <c r="I2378" s="20"/>
      <c r="J2378" s="20"/>
      <c r="K2378" s="21" t="s">
        <v>13</v>
      </c>
      <c r="L2378" s="5"/>
    </row>
    <row r="2379" spans="1:12" x14ac:dyDescent="0.25">
      <c r="A2379" s="22" t="s">
        <v>31</v>
      </c>
      <c r="B2379" s="115">
        <v>18998</v>
      </c>
      <c r="C2379" s="116"/>
      <c r="D2379" s="116"/>
      <c r="E2379" s="117"/>
      <c r="F2379" s="5"/>
      <c r="G2379" s="22" t="s">
        <v>32</v>
      </c>
      <c r="H2379" s="115">
        <v>43195</v>
      </c>
      <c r="I2379" s="116"/>
      <c r="J2379" s="116"/>
      <c r="K2379" s="117"/>
      <c r="L2379" s="5"/>
    </row>
    <row r="2380" spans="1:12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</row>
    <row r="2381" spans="1:12" x14ac:dyDescent="0.25">
      <c r="A2381" s="7" t="s">
        <v>16</v>
      </c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</row>
    <row r="2382" spans="1:12" x14ac:dyDescent="0.25">
      <c r="A2382" s="9" t="s">
        <v>17</v>
      </c>
      <c r="B2382" s="23">
        <f>L2359-C2354</f>
        <v>3057</v>
      </c>
      <c r="C2382" s="5"/>
      <c r="D2382" s="106" t="s">
        <v>18</v>
      </c>
      <c r="E2382" s="107"/>
      <c r="F2382" s="24" t="s">
        <v>19</v>
      </c>
      <c r="G2382" s="9" t="s">
        <v>20</v>
      </c>
      <c r="H2382" s="118">
        <f>B2379+H2379</f>
        <v>62193</v>
      </c>
      <c r="I2382" s="119"/>
      <c r="J2382" s="60"/>
      <c r="K2382" s="5"/>
      <c r="L2382" s="5"/>
    </row>
    <row r="2383" spans="1:12" x14ac:dyDescent="0.25">
      <c r="A2383" s="9" t="s">
        <v>41</v>
      </c>
      <c r="B2383" s="40">
        <f>B2382/D2375</f>
        <v>2.0741327757080175</v>
      </c>
      <c r="C2383" s="5"/>
      <c r="D2383" s="102">
        <f>E2375</f>
        <v>31720.13</v>
      </c>
      <c r="E2383" s="103"/>
      <c r="F2383" s="25">
        <f>H2383/B2382</f>
        <v>11.336058227019954</v>
      </c>
      <c r="G2383" s="9" t="s">
        <v>21</v>
      </c>
      <c r="H2383" s="104">
        <f>L2376+D2383+D2385+D2387+D2389+A2386</f>
        <v>34654.33</v>
      </c>
      <c r="I2383" s="105"/>
      <c r="J2383" s="5"/>
      <c r="K2383" s="5"/>
      <c r="L2383" s="5"/>
    </row>
    <row r="2384" spans="1:12" x14ac:dyDescent="0.25">
      <c r="A2384" s="9" t="s">
        <v>43</v>
      </c>
      <c r="B2384" s="23">
        <f>D2375/B2382*100</f>
        <v>48.212921164540397</v>
      </c>
      <c r="C2384" s="5"/>
      <c r="D2384" s="106" t="s">
        <v>33</v>
      </c>
      <c r="E2384" s="107"/>
      <c r="F2384" s="5"/>
      <c r="G2384" s="13" t="s">
        <v>22</v>
      </c>
      <c r="H2384" s="6"/>
      <c r="I2384" s="26">
        <f>H2382-H2383</f>
        <v>27538.67</v>
      </c>
      <c r="J2384" s="5"/>
      <c r="K2384" s="5"/>
      <c r="L2384" s="5"/>
    </row>
    <row r="2385" spans="1:12" x14ac:dyDescent="0.25">
      <c r="A2385" s="106" t="s">
        <v>40</v>
      </c>
      <c r="B2385" s="107"/>
      <c r="C2385" s="5"/>
      <c r="D2385" s="149">
        <v>1100</v>
      </c>
      <c r="E2385" s="150"/>
      <c r="F2385" s="5"/>
      <c r="G2385" s="5"/>
      <c r="H2385" s="5"/>
      <c r="I2385" s="5"/>
      <c r="J2385" s="5"/>
      <c r="K2385" s="5"/>
      <c r="L2385" s="5"/>
    </row>
    <row r="2386" spans="1:12" x14ac:dyDescent="0.25">
      <c r="A2386" s="108">
        <f>B2382*0.6</f>
        <v>1834.2</v>
      </c>
      <c r="B2386" s="109"/>
      <c r="C2386" s="5"/>
      <c r="D2386" s="106" t="s">
        <v>34</v>
      </c>
      <c r="E2386" s="107"/>
      <c r="F2386" s="5"/>
      <c r="G2386" s="145" t="s">
        <v>292</v>
      </c>
      <c r="H2386" s="146"/>
      <c r="I2386" s="23">
        <f>B2382/2.3</f>
        <v>1329.1304347826087</v>
      </c>
      <c r="J2386" s="60"/>
      <c r="K2386" s="5"/>
      <c r="L2386" s="5"/>
    </row>
    <row r="2387" spans="1:12" x14ac:dyDescent="0.25">
      <c r="A2387" s="5"/>
      <c r="B2387" s="5"/>
      <c r="C2387" s="5"/>
      <c r="D2387" s="108">
        <v>0</v>
      </c>
      <c r="E2387" s="109"/>
      <c r="F2387" s="5"/>
      <c r="G2387" s="145" t="s">
        <v>294</v>
      </c>
      <c r="H2387" s="146"/>
      <c r="I2387" s="23">
        <f>I2386-D2375</f>
        <v>-144.73856521739117</v>
      </c>
      <c r="J2387" s="5"/>
      <c r="K2387" s="5"/>
      <c r="L2387" s="5"/>
    </row>
    <row r="2388" spans="1:12" x14ac:dyDescent="0.25">
      <c r="A2388" s="5"/>
      <c r="B2388" s="5"/>
      <c r="C2388" s="5"/>
      <c r="D2388" s="106" t="s">
        <v>37</v>
      </c>
      <c r="E2388" s="107"/>
      <c r="F2388" s="5"/>
      <c r="G2388" s="147" t="s">
        <v>295</v>
      </c>
      <c r="H2388" s="148"/>
      <c r="I2388" s="86">
        <f>I2387*F2375</f>
        <v>-3118.0358994847479</v>
      </c>
      <c r="J2388" s="87">
        <f>I2384-I2388</f>
        <v>30656.705899484747</v>
      </c>
      <c r="K2388" s="5"/>
      <c r="L2388" s="5"/>
    </row>
    <row r="2389" spans="1:12" x14ac:dyDescent="0.25">
      <c r="A2389" s="5"/>
      <c r="B2389" s="5"/>
      <c r="C2389" s="5"/>
      <c r="D2389" s="108">
        <v>0</v>
      </c>
      <c r="E2389" s="109"/>
      <c r="F2389" s="5" t="s">
        <v>78</v>
      </c>
      <c r="G2389" s="5"/>
      <c r="H2389" s="5"/>
      <c r="I2389" s="5"/>
      <c r="J2389" s="88" t="s">
        <v>293</v>
      </c>
      <c r="K2389" s="44"/>
      <c r="L2389" s="5"/>
    </row>
    <row r="2391" spans="1:12" s="49" customFormat="1" x14ac:dyDescent="0.25"/>
    <row r="2394" spans="1:12" x14ac:dyDescent="0.25">
      <c r="A2394" s="120" t="s">
        <v>24</v>
      </c>
      <c r="B2394" s="120"/>
      <c r="C2394" s="120"/>
      <c r="D2394" s="120"/>
      <c r="E2394" s="120"/>
      <c r="F2394" s="120"/>
      <c r="G2394" s="120"/>
      <c r="H2394" s="120"/>
      <c r="I2394" s="120"/>
      <c r="J2394" s="120"/>
      <c r="K2394" s="120"/>
      <c r="L2394" s="120"/>
    </row>
    <row r="2395" spans="1:12" x14ac:dyDescent="0.25">
      <c r="A2395" s="120"/>
      <c r="B2395" s="120"/>
      <c r="C2395" s="120"/>
      <c r="D2395" s="120"/>
      <c r="E2395" s="120"/>
      <c r="F2395" s="120"/>
      <c r="G2395" s="120"/>
      <c r="H2395" s="120"/>
      <c r="I2395" s="120"/>
      <c r="J2395" s="120"/>
      <c r="K2395" s="120"/>
      <c r="L2395" s="120"/>
    </row>
    <row r="2396" spans="1:12" x14ac:dyDescent="0.25">
      <c r="A2396" s="1" t="s">
        <v>4</v>
      </c>
      <c r="B2396" s="2"/>
      <c r="C2396" s="90"/>
      <c r="D2396" s="2"/>
      <c r="E2396" s="2"/>
      <c r="F2396" s="2"/>
      <c r="G2396" s="3" t="s">
        <v>5</v>
      </c>
      <c r="H2396" s="3" t="s">
        <v>6</v>
      </c>
      <c r="I2396" s="4" t="s">
        <v>7</v>
      </c>
      <c r="J2396" s="5"/>
      <c r="K2396" s="5"/>
      <c r="L2396" s="5"/>
    </row>
    <row r="2397" spans="1:12" x14ac:dyDescent="0.25">
      <c r="A2397" s="91" t="s">
        <v>359</v>
      </c>
      <c r="B2397" s="92" t="s">
        <v>42</v>
      </c>
      <c r="C2397" s="64"/>
      <c r="D2397" s="66"/>
      <c r="E2397" s="2"/>
      <c r="F2397" s="2"/>
      <c r="G2397" s="91" t="s">
        <v>299</v>
      </c>
      <c r="H2397" s="66"/>
      <c r="I2397" s="33"/>
      <c r="J2397" s="6"/>
      <c r="K2397" s="33"/>
      <c r="L2397" s="6"/>
    </row>
    <row r="2398" spans="1:12" x14ac:dyDescent="0.25">
      <c r="A2398" s="7" t="s">
        <v>2</v>
      </c>
      <c r="B2398" s="5"/>
      <c r="C2398" s="5"/>
      <c r="D2398" s="5"/>
      <c r="E2398" s="5"/>
      <c r="F2398" s="5"/>
      <c r="G2398" s="8" t="s">
        <v>8</v>
      </c>
      <c r="H2398" s="93">
        <v>3</v>
      </c>
      <c r="I2398" s="5"/>
      <c r="J2398" s="5"/>
      <c r="K2398" s="5"/>
      <c r="L2398" s="5"/>
    </row>
    <row r="2399" spans="1:12" x14ac:dyDescent="0.25">
      <c r="A2399" s="7" t="s">
        <v>25</v>
      </c>
      <c r="B2399" s="5"/>
      <c r="C2399" s="7" t="s">
        <v>0</v>
      </c>
      <c r="D2399" s="5"/>
      <c r="E2399" s="5"/>
      <c r="F2399" s="5"/>
      <c r="G2399" s="7" t="s">
        <v>25</v>
      </c>
      <c r="H2399" s="5"/>
      <c r="I2399" s="7" t="s">
        <v>0</v>
      </c>
      <c r="J2399" s="5"/>
      <c r="K2399" s="5"/>
      <c r="L2399" s="5"/>
    </row>
    <row r="2400" spans="1:12" x14ac:dyDescent="0.25">
      <c r="A2400" s="42" t="s">
        <v>474</v>
      </c>
      <c r="B2400" s="6"/>
      <c r="C2400" s="31">
        <f>L2359</f>
        <v>978697</v>
      </c>
      <c r="D2400" s="5"/>
      <c r="E2400" s="5"/>
      <c r="F2400" s="5"/>
      <c r="G2400" s="42" t="s">
        <v>470</v>
      </c>
      <c r="H2400" s="6"/>
      <c r="I2400" s="9"/>
      <c r="J2400" s="5"/>
      <c r="K2400" s="5"/>
      <c r="L2400" s="5"/>
    </row>
    <row r="2401" spans="1:12" ht="16.5" thickBot="1" x14ac:dyDescent="0.3">
      <c r="A2401" s="7"/>
      <c r="B2401" s="62"/>
      <c r="C2401" s="62"/>
      <c r="D2401" s="62"/>
      <c r="E2401" s="5"/>
      <c r="F2401" s="5"/>
      <c r="G2401" s="10"/>
      <c r="H2401" s="5"/>
      <c r="I2401" s="5"/>
      <c r="J2401" s="5"/>
      <c r="K2401" s="5"/>
      <c r="L2401" s="5"/>
    </row>
    <row r="2402" spans="1:12" ht="15.75" thickBot="1" x14ac:dyDescent="0.3">
      <c r="A2402" s="121" t="s">
        <v>9</v>
      </c>
      <c r="B2402" s="122"/>
      <c r="C2402" s="123"/>
      <c r="D2402" s="5"/>
      <c r="E2402" s="5"/>
      <c r="F2402" s="5"/>
      <c r="G2402" s="121" t="s">
        <v>26</v>
      </c>
      <c r="H2402" s="122"/>
      <c r="I2402" s="123"/>
      <c r="J2402" s="5"/>
      <c r="K2402" s="5"/>
      <c r="L2402" s="5"/>
    </row>
    <row r="2403" spans="1:12" x14ac:dyDescent="0.25">
      <c r="A2403" s="30" t="s">
        <v>38</v>
      </c>
      <c r="B2403" s="11"/>
      <c r="C2403" s="11"/>
      <c r="D2403" s="11"/>
      <c r="E2403" s="6"/>
      <c r="F2403" s="5"/>
      <c r="G2403" s="30" t="str">
        <f>A2406</f>
        <v>Cape Town</v>
      </c>
      <c r="H2403" s="11">
        <v>64232802</v>
      </c>
      <c r="I2403" s="11"/>
      <c r="J2403" s="11"/>
      <c r="K2403" s="11"/>
      <c r="L2403" s="6"/>
    </row>
    <row r="2404" spans="1:12" ht="15.75" thickBot="1" x14ac:dyDescent="0.3">
      <c r="A2404" s="7"/>
      <c r="B2404" s="7"/>
      <c r="C2404" s="7"/>
      <c r="D2404" s="5"/>
      <c r="E2404" s="5"/>
      <c r="F2404" s="5"/>
      <c r="G2404" s="7" t="str">
        <f>A2406</f>
        <v>Cape Town</v>
      </c>
      <c r="H2404" s="7"/>
      <c r="I2404" s="7"/>
      <c r="J2404" s="5"/>
      <c r="K2404" s="5"/>
      <c r="L2404" s="5"/>
    </row>
    <row r="2405" spans="1:12" ht="15.75" thickBot="1" x14ac:dyDescent="0.3">
      <c r="A2405" s="121"/>
      <c r="B2405" s="122"/>
      <c r="C2405" s="124"/>
      <c r="D2405" s="12" t="s">
        <v>1</v>
      </c>
      <c r="E2405" s="32"/>
      <c r="F2405" s="5"/>
      <c r="G2405" s="121" t="s">
        <v>27</v>
      </c>
      <c r="H2405" s="122"/>
      <c r="I2405" s="123"/>
      <c r="J2405" s="5"/>
      <c r="K2405" s="12" t="s">
        <v>1</v>
      </c>
      <c r="L2405" s="32">
        <v>981770</v>
      </c>
    </row>
    <row r="2406" spans="1:12" x14ac:dyDescent="0.25">
      <c r="A2406" s="30" t="s">
        <v>65</v>
      </c>
      <c r="B2406" s="11"/>
      <c r="C2406" s="11"/>
      <c r="D2406" s="11"/>
      <c r="E2406" s="6"/>
      <c r="F2406" s="5"/>
      <c r="G2406" s="30" t="s">
        <v>364</v>
      </c>
      <c r="H2406" s="11"/>
      <c r="I2406" s="11"/>
      <c r="J2406" s="11"/>
      <c r="K2406" s="11"/>
      <c r="L2406" s="6"/>
    </row>
    <row r="2407" spans="1:12" x14ac:dyDescent="0.25">
      <c r="A2407" s="76" t="s">
        <v>435</v>
      </c>
      <c r="B2407" s="11"/>
      <c r="C2407" s="11"/>
      <c r="D2407" s="11"/>
      <c r="E2407" s="6"/>
      <c r="F2407" s="5"/>
      <c r="G2407" s="34"/>
      <c r="H2407" s="11"/>
      <c r="I2407" s="11"/>
      <c r="J2407" s="11"/>
      <c r="K2407" s="11"/>
      <c r="L2407" s="6"/>
    </row>
    <row r="2408" spans="1:12" x14ac:dyDescent="0.25">
      <c r="A2408" s="13"/>
      <c r="B2408" s="11"/>
      <c r="C2408" s="11"/>
      <c r="D2408" s="11"/>
      <c r="E2408" s="6"/>
      <c r="F2408" s="5"/>
      <c r="G2408" s="13"/>
      <c r="H2408" s="11"/>
      <c r="I2408" s="11"/>
      <c r="J2408" s="11"/>
      <c r="K2408" s="11"/>
      <c r="L2408" s="6"/>
    </row>
    <row r="2409" spans="1:12" x14ac:dyDescent="0.25">
      <c r="A2409" s="13"/>
      <c r="B2409" s="11"/>
      <c r="C2409" s="11"/>
      <c r="D2409" s="11"/>
      <c r="E2409" s="6"/>
      <c r="F2409" s="5"/>
      <c r="G2409" s="13"/>
      <c r="H2409" s="11"/>
      <c r="I2409" s="11"/>
      <c r="J2409" s="11"/>
      <c r="K2409" s="11"/>
      <c r="L2409" s="6"/>
    </row>
    <row r="2410" spans="1:12" ht="15.75" thickBot="1" x14ac:dyDescent="0.3">
      <c r="A2410" s="13"/>
      <c r="B2410" s="11"/>
      <c r="C2410" s="11" t="s">
        <v>29</v>
      </c>
      <c r="D2410" s="43"/>
      <c r="E2410" s="6"/>
      <c r="F2410" s="5"/>
      <c r="G2410" s="13"/>
      <c r="H2410" s="11"/>
      <c r="I2410" s="14" t="s">
        <v>28</v>
      </c>
      <c r="J2410" s="43"/>
      <c r="K2410" s="59"/>
      <c r="L2410" s="6"/>
    </row>
    <row r="2411" spans="1:12" ht="15.75" thickBot="1" x14ac:dyDescent="0.3">
      <c r="A2411" s="15" t="s">
        <v>10</v>
      </c>
      <c r="B2411" s="5"/>
      <c r="C2411" s="5"/>
      <c r="D2411" s="5"/>
      <c r="E2411" s="5"/>
      <c r="F2411" s="5"/>
      <c r="G2411" s="15" t="s">
        <v>14</v>
      </c>
      <c r="H2411" s="5"/>
      <c r="I2411" s="5"/>
      <c r="J2411" s="5"/>
      <c r="K2411" s="5"/>
      <c r="L2411" s="5"/>
    </row>
    <row r="2412" spans="1:12" ht="15.75" thickBot="1" x14ac:dyDescent="0.3">
      <c r="A2412" s="121" t="s">
        <v>11</v>
      </c>
      <c r="B2412" s="122"/>
      <c r="C2412" s="123"/>
      <c r="D2412" s="16" t="s">
        <v>12</v>
      </c>
      <c r="E2412" s="16" t="s">
        <v>13</v>
      </c>
      <c r="F2412" s="5"/>
      <c r="G2412" s="121" t="s">
        <v>15</v>
      </c>
      <c r="H2412" s="122"/>
      <c r="I2412" s="123"/>
      <c r="J2412" s="121"/>
      <c r="K2412" s="123"/>
      <c r="L2412" s="5"/>
    </row>
    <row r="2413" spans="1:12" x14ac:dyDescent="0.25">
      <c r="A2413" s="45">
        <v>45662</v>
      </c>
      <c r="B2413" s="46" t="s">
        <v>66</v>
      </c>
      <c r="C2413" s="47"/>
      <c r="D2413" s="56">
        <v>268.22000000000003</v>
      </c>
      <c r="E2413" s="57">
        <v>5825.74</v>
      </c>
      <c r="F2413" s="44">
        <f>E2413/D2413</f>
        <v>21.720005965252401</v>
      </c>
      <c r="G2413" s="125" t="s">
        <v>69</v>
      </c>
      <c r="H2413" s="126"/>
      <c r="I2413" s="127"/>
      <c r="J2413" s="128">
        <v>0</v>
      </c>
      <c r="K2413" s="129"/>
      <c r="L2413" s="5"/>
    </row>
    <row r="2414" spans="1:12" x14ac:dyDescent="0.25">
      <c r="A2414" s="94">
        <v>45721</v>
      </c>
      <c r="B2414" s="46" t="s">
        <v>305</v>
      </c>
      <c r="C2414" s="47"/>
      <c r="D2414" s="56">
        <v>200</v>
      </c>
      <c r="E2414" s="57">
        <v>4238</v>
      </c>
      <c r="F2414" s="44">
        <f>E2414/D2414</f>
        <v>21.19</v>
      </c>
      <c r="G2414" s="110" t="s">
        <v>59</v>
      </c>
      <c r="H2414" s="111"/>
      <c r="I2414" s="112"/>
      <c r="J2414" s="113"/>
      <c r="K2414" s="114"/>
      <c r="L2414" s="5"/>
    </row>
    <row r="2415" spans="1:12" x14ac:dyDescent="0.25">
      <c r="A2415" s="94">
        <v>45721</v>
      </c>
      <c r="B2415" s="46" t="s">
        <v>66</v>
      </c>
      <c r="C2415" s="47"/>
      <c r="D2415" s="56">
        <v>535.74400000000003</v>
      </c>
      <c r="E2415" s="57">
        <v>11636.35</v>
      </c>
      <c r="F2415" s="44">
        <f>E2415/D2415</f>
        <v>21.719981931668855</v>
      </c>
      <c r="G2415" s="110" t="s">
        <v>61</v>
      </c>
      <c r="H2415" s="111"/>
      <c r="I2415" s="112"/>
      <c r="J2415" s="113"/>
      <c r="K2415" s="114"/>
      <c r="L2415" s="5"/>
    </row>
    <row r="2416" spans="1:12" x14ac:dyDescent="0.25">
      <c r="A2416" s="94">
        <v>45843</v>
      </c>
      <c r="B2416" s="46" t="s">
        <v>47</v>
      </c>
      <c r="C2416" s="47"/>
      <c r="D2416" s="56">
        <v>397</v>
      </c>
      <c r="E2416" s="57">
        <v>8380.67</v>
      </c>
      <c r="F2416" s="44">
        <f>E2416/D2416</f>
        <v>21.11</v>
      </c>
      <c r="G2416" s="110" t="s">
        <v>51</v>
      </c>
      <c r="H2416" s="111"/>
      <c r="I2416" s="112"/>
      <c r="J2416" s="113"/>
      <c r="K2416" s="114"/>
      <c r="L2416" s="5"/>
    </row>
    <row r="2417" spans="1:12" x14ac:dyDescent="0.25">
      <c r="A2417" s="48"/>
      <c r="B2417" s="46"/>
      <c r="C2417" s="39"/>
      <c r="D2417" s="52"/>
      <c r="E2417" s="53"/>
      <c r="F2417" s="44"/>
      <c r="G2417" s="110" t="s">
        <v>58</v>
      </c>
      <c r="H2417" s="111"/>
      <c r="I2417" s="112"/>
      <c r="J2417" s="113"/>
      <c r="K2417" s="114"/>
      <c r="L2417" s="5"/>
    </row>
    <row r="2418" spans="1:12" x14ac:dyDescent="0.25">
      <c r="A2418" s="48"/>
      <c r="B2418" s="35"/>
      <c r="C2418" s="39"/>
      <c r="D2418" s="52"/>
      <c r="E2418" s="53"/>
      <c r="F2418" s="44"/>
      <c r="G2418" s="110" t="s">
        <v>51</v>
      </c>
      <c r="H2418" s="111"/>
      <c r="I2418" s="112"/>
      <c r="J2418" s="113"/>
      <c r="K2418" s="114"/>
      <c r="L2418" s="5"/>
    </row>
    <row r="2419" spans="1:12" x14ac:dyDescent="0.25">
      <c r="A2419" s="48"/>
      <c r="B2419" s="35"/>
      <c r="C2419" s="39"/>
      <c r="D2419" s="52"/>
      <c r="E2419" s="53"/>
      <c r="F2419" s="44"/>
      <c r="G2419" s="77"/>
      <c r="H2419" s="78" t="s">
        <v>69</v>
      </c>
      <c r="I2419" s="79"/>
      <c r="J2419" s="113">
        <v>0</v>
      </c>
      <c r="K2419" s="114"/>
      <c r="L2419" s="5"/>
    </row>
    <row r="2420" spans="1:12" x14ac:dyDescent="0.25">
      <c r="A2420" s="38"/>
      <c r="B2420" s="35"/>
      <c r="C2420" s="39"/>
      <c r="D2420" s="52"/>
      <c r="E2420" s="53"/>
      <c r="F2420" s="44"/>
      <c r="G2420" s="77"/>
      <c r="H2420" s="78" t="s">
        <v>72</v>
      </c>
      <c r="I2420" s="79"/>
      <c r="J2420" s="113"/>
      <c r="K2420" s="114"/>
      <c r="L2420" s="5"/>
    </row>
    <row r="2421" spans="1:12" ht="15.75" thickBot="1" x14ac:dyDescent="0.3">
      <c r="A2421" s="5"/>
      <c r="B2421" s="5"/>
      <c r="C2421" s="7" t="s">
        <v>35</v>
      </c>
      <c r="D2421" s="17">
        <f>SUM(D2413:D2420)</f>
        <v>1400.9639999999999</v>
      </c>
      <c r="E2421" s="17">
        <f>SUM(E2413:E2420)</f>
        <v>30080.760000000002</v>
      </c>
      <c r="F2421" s="89">
        <f>AVERAGE(F2413:F2417)</f>
        <v>21.434996974230312</v>
      </c>
      <c r="G2421" s="110" t="s">
        <v>73</v>
      </c>
      <c r="H2421" s="111"/>
      <c r="I2421" s="112"/>
      <c r="J2421" s="113"/>
      <c r="K2421" s="114"/>
      <c r="L2421" s="7" t="s">
        <v>36</v>
      </c>
    </row>
    <row r="2422" spans="1:12" ht="15.75" thickBot="1" x14ac:dyDescent="0.3">
      <c r="A2422" s="5"/>
      <c r="B2422" s="5"/>
      <c r="C2422" s="5"/>
      <c r="D2422" s="5"/>
      <c r="E2422" s="5"/>
      <c r="F2422" s="5"/>
      <c r="G2422" s="130"/>
      <c r="H2422" s="131"/>
      <c r="I2422" s="132"/>
      <c r="J2422" s="133"/>
      <c r="K2422" s="134"/>
      <c r="L2422" s="18">
        <f>J2413+J2414+J2415+J2416+J2417+J2418+J2419+J2420+J2421</f>
        <v>0</v>
      </c>
    </row>
    <row r="2423" spans="1:12" ht="15.75" thickBot="1" x14ac:dyDescent="0.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</row>
    <row r="2424" spans="1:12" ht="15.75" thickBot="1" x14ac:dyDescent="0.3">
      <c r="A2424" s="19"/>
      <c r="B2424" s="20"/>
      <c r="C2424" s="20"/>
      <c r="D2424" s="20"/>
      <c r="E2424" s="21" t="s">
        <v>13</v>
      </c>
      <c r="F2424" s="5"/>
      <c r="G2424" s="19"/>
      <c r="H2424" s="20"/>
      <c r="I2424" s="20"/>
      <c r="J2424" s="20"/>
      <c r="K2424" s="21" t="s">
        <v>13</v>
      </c>
      <c r="L2424" s="5"/>
    </row>
    <row r="2425" spans="1:12" x14ac:dyDescent="0.25">
      <c r="A2425" s="22" t="s">
        <v>31</v>
      </c>
      <c r="B2425" s="115">
        <v>18998</v>
      </c>
      <c r="C2425" s="116"/>
      <c r="D2425" s="116"/>
      <c r="E2425" s="117"/>
      <c r="F2425" s="5"/>
      <c r="G2425" s="22" t="s">
        <v>32</v>
      </c>
      <c r="H2425" s="115">
        <v>43195</v>
      </c>
      <c r="I2425" s="116"/>
      <c r="J2425" s="116"/>
      <c r="K2425" s="117"/>
      <c r="L2425" s="5"/>
    </row>
    <row r="2426" spans="1:12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</row>
    <row r="2427" spans="1:12" x14ac:dyDescent="0.25">
      <c r="A2427" s="7" t="s">
        <v>16</v>
      </c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</row>
    <row r="2428" spans="1:12" x14ac:dyDescent="0.25">
      <c r="A2428" s="9" t="s">
        <v>17</v>
      </c>
      <c r="B2428" s="23">
        <f>L2405-C2400</f>
        <v>3073</v>
      </c>
      <c r="C2428" s="5"/>
      <c r="D2428" s="106" t="s">
        <v>18</v>
      </c>
      <c r="E2428" s="107"/>
      <c r="F2428" s="24" t="s">
        <v>19</v>
      </c>
      <c r="G2428" s="9" t="s">
        <v>20</v>
      </c>
      <c r="H2428" s="118">
        <f>B2425+H2425</f>
        <v>62193</v>
      </c>
      <c r="I2428" s="119"/>
      <c r="J2428" s="60"/>
      <c r="K2428" s="5"/>
      <c r="L2428" s="5"/>
    </row>
    <row r="2429" spans="1:12" x14ac:dyDescent="0.25">
      <c r="A2429" s="9" t="s">
        <v>41</v>
      </c>
      <c r="B2429" s="40">
        <f>B2428/D2421</f>
        <v>2.1934896257148648</v>
      </c>
      <c r="C2429" s="5"/>
      <c r="D2429" s="102">
        <f>E2421</f>
        <v>30080.760000000002</v>
      </c>
      <c r="E2429" s="103"/>
      <c r="F2429" s="25">
        <f>H2429/B2428</f>
        <v>10.746684022128216</v>
      </c>
      <c r="G2429" s="9" t="s">
        <v>21</v>
      </c>
      <c r="H2429" s="104">
        <f>L2422+D2429+D2431+D2433+D2435+A2432</f>
        <v>33024.560000000005</v>
      </c>
      <c r="I2429" s="105"/>
      <c r="J2429" s="5"/>
      <c r="K2429" s="5"/>
      <c r="L2429" s="5"/>
    </row>
    <row r="2430" spans="1:12" x14ac:dyDescent="0.25">
      <c r="A2430" s="9" t="s">
        <v>43</v>
      </c>
      <c r="B2430" s="23">
        <f>D2421/B2428*100</f>
        <v>45.589456557110317</v>
      </c>
      <c r="C2430" s="5"/>
      <c r="D2430" s="106" t="s">
        <v>33</v>
      </c>
      <c r="E2430" s="107"/>
      <c r="F2430" s="5"/>
      <c r="G2430" s="13" t="s">
        <v>22</v>
      </c>
      <c r="H2430" s="6"/>
      <c r="I2430" s="26">
        <f>H2428-H2429</f>
        <v>29168.439999999995</v>
      </c>
      <c r="J2430" s="5"/>
      <c r="K2430" s="5"/>
      <c r="L2430" s="5"/>
    </row>
    <row r="2431" spans="1:12" x14ac:dyDescent="0.25">
      <c r="A2431" s="106" t="s">
        <v>40</v>
      </c>
      <c r="B2431" s="107"/>
      <c r="C2431" s="5"/>
      <c r="D2431" s="149">
        <v>1100</v>
      </c>
      <c r="E2431" s="150"/>
      <c r="F2431" s="5"/>
      <c r="G2431" s="5"/>
      <c r="H2431" s="5"/>
      <c r="I2431" s="5"/>
      <c r="J2431" s="5"/>
      <c r="K2431" s="5"/>
      <c r="L2431" s="5"/>
    </row>
    <row r="2432" spans="1:12" x14ac:dyDescent="0.25">
      <c r="A2432" s="108">
        <f>B2428*0.6</f>
        <v>1843.8</v>
      </c>
      <c r="B2432" s="109"/>
      <c r="C2432" s="5"/>
      <c r="D2432" s="106" t="s">
        <v>34</v>
      </c>
      <c r="E2432" s="107"/>
      <c r="F2432" s="5"/>
      <c r="G2432" s="145" t="s">
        <v>292</v>
      </c>
      <c r="H2432" s="146"/>
      <c r="I2432" s="23">
        <f>B2428/2.3</f>
        <v>1336.0869565217392</v>
      </c>
      <c r="J2432" s="60"/>
      <c r="K2432" s="5"/>
      <c r="L2432" s="5"/>
    </row>
    <row r="2433" spans="1:12" x14ac:dyDescent="0.25">
      <c r="A2433" s="5"/>
      <c r="B2433" s="5"/>
      <c r="C2433" s="5"/>
      <c r="D2433" s="108">
        <v>0</v>
      </c>
      <c r="E2433" s="109"/>
      <c r="F2433" s="5"/>
      <c r="G2433" s="145" t="s">
        <v>294</v>
      </c>
      <c r="H2433" s="146"/>
      <c r="I2433" s="23">
        <f>I2432-D2421</f>
        <v>-64.877043478260703</v>
      </c>
      <c r="J2433" s="5"/>
      <c r="K2433" s="5"/>
      <c r="L2433" s="5"/>
    </row>
    <row r="2434" spans="1:12" x14ac:dyDescent="0.25">
      <c r="A2434" s="5"/>
      <c r="B2434" s="5"/>
      <c r="C2434" s="5"/>
      <c r="D2434" s="106" t="s">
        <v>37</v>
      </c>
      <c r="E2434" s="107"/>
      <c r="F2434" s="5"/>
      <c r="G2434" s="147" t="s">
        <v>295</v>
      </c>
      <c r="H2434" s="148"/>
      <c r="I2434" s="86">
        <f>I2433*F2421</f>
        <v>-1390.6392306535265</v>
      </c>
      <c r="J2434" s="87">
        <f>I2430-I2434</f>
        <v>30559.079230653522</v>
      </c>
      <c r="K2434" s="5"/>
      <c r="L2434" s="5"/>
    </row>
    <row r="2435" spans="1:12" x14ac:dyDescent="0.25">
      <c r="A2435" s="5"/>
      <c r="B2435" s="5"/>
      <c r="C2435" s="5"/>
      <c r="D2435" s="108">
        <v>0</v>
      </c>
      <c r="E2435" s="109"/>
      <c r="F2435" s="5" t="s">
        <v>78</v>
      </c>
      <c r="G2435" s="5"/>
      <c r="H2435" s="5"/>
      <c r="I2435" s="5"/>
      <c r="J2435" s="88" t="s">
        <v>293</v>
      </c>
      <c r="K2435" s="44"/>
      <c r="L2435" s="5"/>
    </row>
    <row r="2437" spans="1:12" s="49" customFormat="1" x14ac:dyDescent="0.25"/>
    <row r="2440" spans="1:12" x14ac:dyDescent="0.25">
      <c r="A2440" s="120" t="s">
        <v>24</v>
      </c>
      <c r="B2440" s="120"/>
      <c r="C2440" s="120"/>
      <c r="D2440" s="120"/>
      <c r="E2440" s="120"/>
      <c r="F2440" s="120"/>
      <c r="G2440" s="120"/>
      <c r="H2440" s="120"/>
      <c r="I2440" s="120"/>
      <c r="J2440" s="120"/>
      <c r="K2440" s="120"/>
      <c r="L2440" s="120"/>
    </row>
    <row r="2441" spans="1:12" x14ac:dyDescent="0.25">
      <c r="A2441" s="120"/>
      <c r="B2441" s="120"/>
      <c r="C2441" s="120"/>
      <c r="D2441" s="120"/>
      <c r="E2441" s="120"/>
      <c r="F2441" s="120"/>
      <c r="G2441" s="120"/>
      <c r="H2441" s="120"/>
      <c r="I2441" s="120"/>
      <c r="J2441" s="120"/>
      <c r="K2441" s="120"/>
      <c r="L2441" s="120"/>
    </row>
    <row r="2442" spans="1:12" x14ac:dyDescent="0.25">
      <c r="A2442" s="1" t="s">
        <v>4</v>
      </c>
      <c r="B2442" s="2"/>
      <c r="C2442" s="90"/>
      <c r="D2442" s="2"/>
      <c r="E2442" s="2"/>
      <c r="F2442" s="2"/>
      <c r="G2442" s="3" t="s">
        <v>5</v>
      </c>
      <c r="H2442" s="3" t="s">
        <v>6</v>
      </c>
      <c r="I2442" s="4" t="s">
        <v>7</v>
      </c>
      <c r="J2442" s="5"/>
      <c r="K2442" s="5"/>
      <c r="L2442" s="5"/>
    </row>
    <row r="2443" spans="1:12" x14ac:dyDescent="0.25">
      <c r="A2443" s="91" t="s">
        <v>359</v>
      </c>
      <c r="B2443" s="92" t="s">
        <v>42</v>
      </c>
      <c r="C2443" s="64"/>
      <c r="D2443" s="66"/>
      <c r="E2443" s="2"/>
      <c r="F2443" s="2"/>
      <c r="G2443" s="91" t="s">
        <v>299</v>
      </c>
      <c r="H2443" s="66"/>
      <c r="I2443" s="33"/>
      <c r="J2443" s="6"/>
      <c r="K2443" s="33"/>
      <c r="L2443" s="6"/>
    </row>
    <row r="2444" spans="1:12" x14ac:dyDescent="0.25">
      <c r="A2444" s="7" t="s">
        <v>2</v>
      </c>
      <c r="B2444" s="5"/>
      <c r="C2444" s="5"/>
      <c r="D2444" s="5"/>
      <c r="E2444" s="5"/>
      <c r="F2444" s="5"/>
      <c r="G2444" s="8" t="s">
        <v>8</v>
      </c>
      <c r="H2444" s="93">
        <v>3</v>
      </c>
      <c r="I2444" s="5"/>
      <c r="J2444" s="5"/>
      <c r="K2444" s="5"/>
      <c r="L2444" s="5"/>
    </row>
    <row r="2445" spans="1:12" x14ac:dyDescent="0.25">
      <c r="A2445" s="7" t="s">
        <v>25</v>
      </c>
      <c r="B2445" s="5"/>
      <c r="C2445" s="7" t="s">
        <v>0</v>
      </c>
      <c r="D2445" s="5"/>
      <c r="E2445" s="5"/>
      <c r="F2445" s="5"/>
      <c r="G2445" s="7" t="s">
        <v>25</v>
      </c>
      <c r="H2445" s="5"/>
      <c r="I2445" s="7" t="s">
        <v>0</v>
      </c>
      <c r="J2445" s="5"/>
      <c r="K2445" s="5"/>
      <c r="L2445" s="5"/>
    </row>
    <row r="2446" spans="1:12" x14ac:dyDescent="0.25">
      <c r="A2446" s="42">
        <v>45843</v>
      </c>
      <c r="B2446" s="6"/>
      <c r="C2446" s="31">
        <f>L2405</f>
        <v>981770</v>
      </c>
      <c r="D2446" s="5"/>
      <c r="E2446" s="5"/>
      <c r="F2446" s="5"/>
      <c r="G2446" s="42" t="s">
        <v>470</v>
      </c>
      <c r="H2446" s="6"/>
      <c r="I2446" s="9"/>
      <c r="J2446" s="5"/>
      <c r="K2446" s="5"/>
      <c r="L2446" s="5"/>
    </row>
    <row r="2447" spans="1:12" ht="16.5" thickBot="1" x14ac:dyDescent="0.3">
      <c r="A2447" s="7"/>
      <c r="B2447" s="62"/>
      <c r="C2447" s="62"/>
      <c r="D2447" s="62"/>
      <c r="E2447" s="5"/>
      <c r="F2447" s="5"/>
      <c r="G2447" s="10"/>
      <c r="H2447" s="5"/>
      <c r="I2447" s="5"/>
      <c r="J2447" s="5"/>
      <c r="K2447" s="5"/>
      <c r="L2447" s="5"/>
    </row>
    <row r="2448" spans="1:12" ht="15.75" thickBot="1" x14ac:dyDescent="0.3">
      <c r="A2448" s="121" t="s">
        <v>9</v>
      </c>
      <c r="B2448" s="122"/>
      <c r="C2448" s="123"/>
      <c r="D2448" s="5"/>
      <c r="E2448" s="5"/>
      <c r="F2448" s="5"/>
      <c r="G2448" s="121" t="s">
        <v>26</v>
      </c>
      <c r="H2448" s="122"/>
      <c r="I2448" s="123"/>
      <c r="J2448" s="5"/>
      <c r="K2448" s="5"/>
      <c r="L2448" s="5"/>
    </row>
    <row r="2449" spans="1:12" x14ac:dyDescent="0.25">
      <c r="A2449" s="30" t="s">
        <v>38</v>
      </c>
      <c r="B2449" s="11"/>
      <c r="C2449" s="11"/>
      <c r="D2449" s="11"/>
      <c r="E2449" s="6"/>
      <c r="F2449" s="5"/>
      <c r="G2449" s="30" t="str">
        <f>A2452</f>
        <v>Cape Town</v>
      </c>
      <c r="H2449" s="11">
        <v>64248254</v>
      </c>
      <c r="I2449" s="11"/>
      <c r="J2449" s="11"/>
      <c r="K2449" s="11"/>
      <c r="L2449" s="6"/>
    </row>
    <row r="2450" spans="1:12" ht="15.75" thickBot="1" x14ac:dyDescent="0.3">
      <c r="A2450" s="7"/>
      <c r="B2450" s="7"/>
      <c r="C2450" s="7"/>
      <c r="D2450" s="5"/>
      <c r="E2450" s="5"/>
      <c r="F2450" s="5"/>
      <c r="G2450" s="7" t="str">
        <f>A2452</f>
        <v>Cape Town</v>
      </c>
      <c r="H2450" s="7"/>
      <c r="I2450" s="7"/>
      <c r="J2450" s="5"/>
      <c r="K2450" s="5"/>
      <c r="L2450" s="5"/>
    </row>
    <row r="2451" spans="1:12" ht="15.75" thickBot="1" x14ac:dyDescent="0.3">
      <c r="A2451" s="121"/>
      <c r="B2451" s="122"/>
      <c r="C2451" s="124"/>
      <c r="D2451" s="12" t="s">
        <v>1</v>
      </c>
      <c r="E2451" s="32"/>
      <c r="F2451" s="5"/>
      <c r="G2451" s="121" t="s">
        <v>27</v>
      </c>
      <c r="H2451" s="122"/>
      <c r="I2451" s="123"/>
      <c r="J2451" s="5"/>
      <c r="K2451" s="12" t="s">
        <v>1</v>
      </c>
      <c r="L2451" s="32">
        <v>984833</v>
      </c>
    </row>
    <row r="2452" spans="1:12" x14ac:dyDescent="0.25">
      <c r="A2452" s="30" t="s">
        <v>65</v>
      </c>
      <c r="B2452" s="11"/>
      <c r="C2452" s="11"/>
      <c r="D2452" s="11"/>
      <c r="E2452" s="6"/>
      <c r="F2452" s="5"/>
      <c r="G2452" s="30" t="s">
        <v>364</v>
      </c>
      <c r="H2452" s="11"/>
      <c r="I2452" s="11"/>
      <c r="J2452" s="11"/>
      <c r="K2452" s="11"/>
      <c r="L2452" s="6"/>
    </row>
    <row r="2453" spans="1:12" x14ac:dyDescent="0.25">
      <c r="A2453" s="76" t="s">
        <v>475</v>
      </c>
      <c r="B2453" s="11"/>
      <c r="C2453" s="11"/>
      <c r="D2453" s="11"/>
      <c r="E2453" s="6"/>
      <c r="F2453" s="5"/>
      <c r="G2453" s="34"/>
      <c r="H2453" s="11"/>
      <c r="I2453" s="11"/>
      <c r="J2453" s="11"/>
      <c r="K2453" s="11"/>
      <c r="L2453" s="6"/>
    </row>
    <row r="2454" spans="1:12" x14ac:dyDescent="0.25">
      <c r="A2454" s="13"/>
      <c r="B2454" s="11"/>
      <c r="C2454" s="11"/>
      <c r="D2454" s="11"/>
      <c r="E2454" s="6"/>
      <c r="F2454" s="5"/>
      <c r="G2454" s="13"/>
      <c r="H2454" s="11"/>
      <c r="I2454" s="11"/>
      <c r="J2454" s="11"/>
      <c r="K2454" s="11"/>
      <c r="L2454" s="6"/>
    </row>
    <row r="2455" spans="1:12" x14ac:dyDescent="0.25">
      <c r="A2455" s="13"/>
      <c r="B2455" s="11"/>
      <c r="C2455" s="11"/>
      <c r="D2455" s="11"/>
      <c r="E2455" s="6"/>
      <c r="F2455" s="5"/>
      <c r="G2455" s="13"/>
      <c r="H2455" s="11"/>
      <c r="I2455" s="11"/>
      <c r="J2455" s="11"/>
      <c r="K2455" s="11"/>
      <c r="L2455" s="6"/>
    </row>
    <row r="2456" spans="1:12" ht="15.75" thickBot="1" x14ac:dyDescent="0.3">
      <c r="A2456" s="13"/>
      <c r="B2456" s="11"/>
      <c r="C2456" s="11" t="s">
        <v>29</v>
      </c>
      <c r="D2456" s="43"/>
      <c r="E2456" s="6"/>
      <c r="F2456" s="5"/>
      <c r="G2456" s="13"/>
      <c r="H2456" s="11"/>
      <c r="I2456" s="14" t="s">
        <v>28</v>
      </c>
      <c r="J2456" s="43"/>
      <c r="K2456" s="59"/>
      <c r="L2456" s="6"/>
    </row>
    <row r="2457" spans="1:12" ht="15.75" thickBot="1" x14ac:dyDescent="0.3">
      <c r="A2457" s="15" t="s">
        <v>10</v>
      </c>
      <c r="B2457" s="5"/>
      <c r="C2457" s="5"/>
      <c r="D2457" s="5"/>
      <c r="E2457" s="5"/>
      <c r="F2457" s="5"/>
      <c r="G2457" s="15" t="s">
        <v>14</v>
      </c>
      <c r="H2457" s="5"/>
      <c r="I2457" s="5"/>
      <c r="J2457" s="5"/>
      <c r="K2457" s="5"/>
      <c r="L2457" s="5"/>
    </row>
    <row r="2458" spans="1:12" ht="15.75" thickBot="1" x14ac:dyDescent="0.3">
      <c r="A2458" s="121" t="s">
        <v>11</v>
      </c>
      <c r="B2458" s="122"/>
      <c r="C2458" s="123"/>
      <c r="D2458" s="16" t="s">
        <v>12</v>
      </c>
      <c r="E2458" s="16" t="s">
        <v>13</v>
      </c>
      <c r="F2458" s="5"/>
      <c r="G2458" s="121" t="s">
        <v>15</v>
      </c>
      <c r="H2458" s="122"/>
      <c r="I2458" s="123"/>
      <c r="J2458" s="121"/>
      <c r="K2458" s="123"/>
      <c r="L2458" s="5"/>
    </row>
    <row r="2459" spans="1:12" x14ac:dyDescent="0.25">
      <c r="A2459" s="94">
        <v>45874</v>
      </c>
      <c r="B2459" s="46" t="s">
        <v>66</v>
      </c>
      <c r="C2459" s="47"/>
      <c r="D2459" s="56">
        <v>330.01</v>
      </c>
      <c r="E2459" s="57">
        <v>7167.8</v>
      </c>
      <c r="F2459" s="44">
        <f>E2459/D2459</f>
        <v>21.719947880367261</v>
      </c>
      <c r="G2459" s="125" t="s">
        <v>69</v>
      </c>
      <c r="H2459" s="126"/>
      <c r="I2459" s="127"/>
      <c r="J2459" s="128">
        <v>0</v>
      </c>
      <c r="K2459" s="129"/>
      <c r="L2459" s="5"/>
    </row>
    <row r="2460" spans="1:12" x14ac:dyDescent="0.25">
      <c r="A2460" s="94">
        <v>45905</v>
      </c>
      <c r="B2460" s="46" t="s">
        <v>93</v>
      </c>
      <c r="C2460" s="47"/>
      <c r="D2460" s="56">
        <v>200</v>
      </c>
      <c r="E2460" s="57">
        <v>4242</v>
      </c>
      <c r="F2460" s="44">
        <f>E2460/D2460</f>
        <v>21.21</v>
      </c>
      <c r="G2460" s="110" t="s">
        <v>59</v>
      </c>
      <c r="H2460" s="111"/>
      <c r="I2460" s="112"/>
      <c r="J2460" s="113"/>
      <c r="K2460" s="114"/>
      <c r="L2460" s="5"/>
    </row>
    <row r="2461" spans="1:12" x14ac:dyDescent="0.25">
      <c r="A2461" s="94">
        <v>45935</v>
      </c>
      <c r="B2461" s="46" t="s">
        <v>66</v>
      </c>
      <c r="C2461" s="47"/>
      <c r="D2461" s="56">
        <v>570.36</v>
      </c>
      <c r="E2461" s="57">
        <v>12388.2</v>
      </c>
      <c r="F2461" s="44">
        <f>E2461/D2461</f>
        <v>21.719966337050284</v>
      </c>
      <c r="G2461" s="110" t="s">
        <v>61</v>
      </c>
      <c r="H2461" s="111"/>
      <c r="I2461" s="112"/>
      <c r="J2461" s="113"/>
      <c r="K2461" s="114"/>
      <c r="L2461" s="5"/>
    </row>
    <row r="2462" spans="1:12" x14ac:dyDescent="0.25">
      <c r="A2462" s="94" t="s">
        <v>476</v>
      </c>
      <c r="B2462" s="46" t="s">
        <v>47</v>
      </c>
      <c r="C2462" s="47"/>
      <c r="D2462" s="56">
        <v>473.6</v>
      </c>
      <c r="E2462" s="57">
        <v>9999</v>
      </c>
      <c r="F2462" s="44">
        <f>E2462/D2462</f>
        <v>21.112753378378379</v>
      </c>
      <c r="G2462" s="110" t="s">
        <v>51</v>
      </c>
      <c r="H2462" s="111"/>
      <c r="I2462" s="112"/>
      <c r="J2462" s="113"/>
      <c r="K2462" s="114"/>
      <c r="L2462" s="5"/>
    </row>
    <row r="2463" spans="1:12" x14ac:dyDescent="0.25">
      <c r="A2463" s="48"/>
      <c r="B2463" s="46"/>
      <c r="C2463" s="39"/>
      <c r="D2463" s="52"/>
      <c r="E2463" s="53"/>
      <c r="F2463" s="44"/>
      <c r="G2463" s="110" t="s">
        <v>58</v>
      </c>
      <c r="H2463" s="111"/>
      <c r="I2463" s="112"/>
      <c r="J2463" s="113"/>
      <c r="K2463" s="114"/>
      <c r="L2463" s="5"/>
    </row>
    <row r="2464" spans="1:12" x14ac:dyDescent="0.25">
      <c r="A2464" s="48"/>
      <c r="B2464" s="35"/>
      <c r="C2464" s="39"/>
      <c r="D2464" s="52"/>
      <c r="E2464" s="53"/>
      <c r="F2464" s="44"/>
      <c r="G2464" s="110" t="s">
        <v>51</v>
      </c>
      <c r="H2464" s="111"/>
      <c r="I2464" s="112"/>
      <c r="J2464" s="113"/>
      <c r="K2464" s="114"/>
      <c r="L2464" s="5"/>
    </row>
    <row r="2465" spans="1:12" x14ac:dyDescent="0.25">
      <c r="A2465" s="48"/>
      <c r="B2465" s="35"/>
      <c r="C2465" s="39"/>
      <c r="D2465" s="52"/>
      <c r="E2465" s="53"/>
      <c r="F2465" s="44"/>
      <c r="G2465" s="77"/>
      <c r="H2465" s="78" t="s">
        <v>69</v>
      </c>
      <c r="I2465" s="79"/>
      <c r="J2465" s="113">
        <v>0</v>
      </c>
      <c r="K2465" s="114"/>
      <c r="L2465" s="5"/>
    </row>
    <row r="2466" spans="1:12" x14ac:dyDescent="0.25">
      <c r="A2466" s="38"/>
      <c r="B2466" s="35"/>
      <c r="C2466" s="39"/>
      <c r="D2466" s="52"/>
      <c r="E2466" s="53"/>
      <c r="F2466" s="44"/>
      <c r="G2466" s="77"/>
      <c r="H2466" s="78" t="s">
        <v>72</v>
      </c>
      <c r="I2466" s="79"/>
      <c r="J2466" s="113"/>
      <c r="K2466" s="114"/>
      <c r="L2466" s="5"/>
    </row>
    <row r="2467" spans="1:12" ht="15.75" thickBot="1" x14ac:dyDescent="0.3">
      <c r="A2467" s="5"/>
      <c r="B2467" s="5"/>
      <c r="C2467" s="7" t="s">
        <v>35</v>
      </c>
      <c r="D2467" s="17">
        <f>SUM(D2459:D2466)</f>
        <v>1573.9699999999998</v>
      </c>
      <c r="E2467" s="17">
        <f>SUM(E2459:E2466)</f>
        <v>33797</v>
      </c>
      <c r="F2467" s="89">
        <f>AVERAGE(F2459:F2463)</f>
        <v>21.440666898948983</v>
      </c>
      <c r="G2467" s="110" t="s">
        <v>73</v>
      </c>
      <c r="H2467" s="111"/>
      <c r="I2467" s="112"/>
      <c r="J2467" s="113"/>
      <c r="K2467" s="114"/>
      <c r="L2467" s="7" t="s">
        <v>36</v>
      </c>
    </row>
    <row r="2468" spans="1:12" ht="15.75" thickBot="1" x14ac:dyDescent="0.3">
      <c r="A2468" s="5"/>
      <c r="B2468" s="5"/>
      <c r="C2468" s="5"/>
      <c r="D2468" s="5"/>
      <c r="E2468" s="5"/>
      <c r="F2468" s="5"/>
      <c r="G2468" s="130"/>
      <c r="H2468" s="131"/>
      <c r="I2468" s="132"/>
      <c r="J2468" s="133"/>
      <c r="K2468" s="134"/>
      <c r="L2468" s="18">
        <f>J2459+J2460+J2461+J2462+J2463+J2464+J2465+J2466+J2467</f>
        <v>0</v>
      </c>
    </row>
    <row r="2469" spans="1:12" ht="15.75" thickBot="1" x14ac:dyDescent="0.3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</row>
    <row r="2470" spans="1:12" ht="15.75" thickBot="1" x14ac:dyDescent="0.3">
      <c r="A2470" s="19"/>
      <c r="B2470" s="20"/>
      <c r="C2470" s="20"/>
      <c r="D2470" s="20"/>
      <c r="E2470" s="21" t="s">
        <v>13</v>
      </c>
      <c r="F2470" s="5"/>
      <c r="G2470" s="19"/>
      <c r="H2470" s="20"/>
      <c r="I2470" s="20"/>
      <c r="J2470" s="20"/>
      <c r="K2470" s="21" t="s">
        <v>13</v>
      </c>
      <c r="L2470" s="5"/>
    </row>
    <row r="2471" spans="1:12" x14ac:dyDescent="0.25">
      <c r="A2471" s="22" t="s">
        <v>31</v>
      </c>
      <c r="B2471" s="115">
        <v>18998</v>
      </c>
      <c r="C2471" s="116"/>
      <c r="D2471" s="116"/>
      <c r="E2471" s="117"/>
      <c r="F2471" s="5"/>
      <c r="G2471" s="22" t="s">
        <v>32</v>
      </c>
      <c r="H2471" s="115">
        <v>43195</v>
      </c>
      <c r="I2471" s="116"/>
      <c r="J2471" s="116"/>
      <c r="K2471" s="117"/>
      <c r="L2471" s="5"/>
    </row>
    <row r="2472" spans="1:12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</row>
    <row r="2473" spans="1:12" x14ac:dyDescent="0.25">
      <c r="A2473" s="7" t="s">
        <v>16</v>
      </c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</row>
    <row r="2474" spans="1:12" x14ac:dyDescent="0.25">
      <c r="A2474" s="9" t="s">
        <v>17</v>
      </c>
      <c r="B2474" s="23">
        <f>L2451-C2446</f>
        <v>3063</v>
      </c>
      <c r="C2474" s="5"/>
      <c r="D2474" s="106" t="s">
        <v>18</v>
      </c>
      <c r="E2474" s="107"/>
      <c r="F2474" s="24" t="s">
        <v>19</v>
      </c>
      <c r="G2474" s="9" t="s">
        <v>20</v>
      </c>
      <c r="H2474" s="118">
        <f>B2471+H2471</f>
        <v>62193</v>
      </c>
      <c r="I2474" s="119"/>
      <c r="J2474" s="60"/>
      <c r="K2474" s="5"/>
      <c r="L2474" s="5"/>
    </row>
    <row r="2475" spans="1:12" x14ac:dyDescent="0.25">
      <c r="A2475" s="9" t="s">
        <v>41</v>
      </c>
      <c r="B2475" s="40">
        <f>B2474/D2467</f>
        <v>1.9460345495784548</v>
      </c>
      <c r="C2475" s="5"/>
      <c r="D2475" s="102">
        <f>E2467</f>
        <v>33797</v>
      </c>
      <c r="E2475" s="103"/>
      <c r="F2475" s="25">
        <f>H2475/B2474</f>
        <v>11.993078681031669</v>
      </c>
      <c r="G2475" s="9" t="s">
        <v>21</v>
      </c>
      <c r="H2475" s="104">
        <f>L2468+D2475+D2477+D2479+D2481+A2478</f>
        <v>36734.800000000003</v>
      </c>
      <c r="I2475" s="105"/>
      <c r="J2475" s="5"/>
      <c r="K2475" s="5"/>
      <c r="L2475" s="5"/>
    </row>
    <row r="2476" spans="1:12" x14ac:dyDescent="0.25">
      <c r="A2476" s="9" t="s">
        <v>43</v>
      </c>
      <c r="B2476" s="23">
        <f>D2467/B2474*100</f>
        <v>51.386549134835121</v>
      </c>
      <c r="C2476" s="5"/>
      <c r="D2476" s="106" t="s">
        <v>33</v>
      </c>
      <c r="E2476" s="107"/>
      <c r="F2476" s="5"/>
      <c r="G2476" s="13" t="s">
        <v>22</v>
      </c>
      <c r="H2476" s="6"/>
      <c r="I2476" s="26">
        <f>H2474-H2475</f>
        <v>25458.199999999997</v>
      </c>
      <c r="J2476" s="5"/>
      <c r="K2476" s="5"/>
      <c r="L2476" s="5"/>
    </row>
    <row r="2477" spans="1:12" x14ac:dyDescent="0.25">
      <c r="A2477" s="106" t="s">
        <v>40</v>
      </c>
      <c r="B2477" s="107"/>
      <c r="C2477" s="5"/>
      <c r="D2477" s="149">
        <v>1100</v>
      </c>
      <c r="E2477" s="150"/>
      <c r="F2477" s="5"/>
      <c r="G2477" s="5"/>
      <c r="H2477" s="5"/>
      <c r="I2477" s="5"/>
      <c r="J2477" s="5"/>
      <c r="K2477" s="5"/>
      <c r="L2477" s="5"/>
    </row>
    <row r="2478" spans="1:12" x14ac:dyDescent="0.25">
      <c r="A2478" s="151">
        <f>B2474*0.6</f>
        <v>1837.8</v>
      </c>
      <c r="B2478" s="152"/>
      <c r="C2478" s="5"/>
      <c r="D2478" s="106" t="s">
        <v>34</v>
      </c>
      <c r="E2478" s="107"/>
      <c r="F2478" s="5"/>
      <c r="G2478" s="145" t="s">
        <v>292</v>
      </c>
      <c r="H2478" s="146"/>
      <c r="I2478" s="23">
        <f>B2474/2.3</f>
        <v>1331.7391304347827</v>
      </c>
      <c r="J2478" s="60"/>
      <c r="K2478" s="5"/>
      <c r="L2478" s="5"/>
    </row>
    <row r="2479" spans="1:12" x14ac:dyDescent="0.25">
      <c r="A2479" s="5"/>
      <c r="B2479" s="5"/>
      <c r="C2479" s="5"/>
      <c r="D2479" s="108">
        <v>0</v>
      </c>
      <c r="E2479" s="109"/>
      <c r="F2479" s="5"/>
      <c r="G2479" s="145" t="s">
        <v>294</v>
      </c>
      <c r="H2479" s="146"/>
      <c r="I2479" s="23">
        <f>I2478-D2467</f>
        <v>-242.23086956521706</v>
      </c>
      <c r="J2479" s="5"/>
      <c r="K2479" s="5"/>
      <c r="L2479" s="5"/>
    </row>
    <row r="2480" spans="1:12" x14ac:dyDescent="0.25">
      <c r="A2480" s="5"/>
      <c r="B2480" s="5"/>
      <c r="C2480" s="5"/>
      <c r="D2480" s="106" t="s">
        <v>37</v>
      </c>
      <c r="E2480" s="107"/>
      <c r="F2480" s="5"/>
      <c r="G2480" s="147" t="s">
        <v>295</v>
      </c>
      <c r="H2480" s="148"/>
      <c r="I2480" s="86">
        <f>I2479*F2467</f>
        <v>-5193.591386990578</v>
      </c>
      <c r="J2480" s="87">
        <f>I2476-I2480</f>
        <v>30651.791386990575</v>
      </c>
      <c r="K2480" s="5"/>
      <c r="L2480" s="5"/>
    </row>
    <row r="2481" spans="1:12" x14ac:dyDescent="0.25">
      <c r="A2481" s="5"/>
      <c r="B2481" s="5"/>
      <c r="C2481" s="5"/>
      <c r="D2481" s="108">
        <v>0</v>
      </c>
      <c r="E2481" s="109"/>
      <c r="F2481" s="5" t="s">
        <v>78</v>
      </c>
      <c r="G2481" s="5"/>
      <c r="H2481" s="5"/>
      <c r="I2481" s="5"/>
      <c r="J2481" s="88" t="s">
        <v>293</v>
      </c>
      <c r="K2481" s="44"/>
      <c r="L2481" s="5"/>
    </row>
    <row r="2483" spans="1:12" s="49" customFormat="1" x14ac:dyDescent="0.25"/>
    <row r="2486" spans="1:12" x14ac:dyDescent="0.25">
      <c r="A2486" s="120" t="s">
        <v>24</v>
      </c>
      <c r="B2486" s="120"/>
      <c r="C2486" s="120"/>
      <c r="D2486" s="120"/>
      <c r="E2486" s="120"/>
      <c r="F2486" s="120"/>
      <c r="G2486" s="120"/>
      <c r="H2486" s="120"/>
      <c r="I2486" s="120"/>
      <c r="J2486" s="120"/>
      <c r="K2486" s="120"/>
      <c r="L2486" s="120"/>
    </row>
    <row r="2487" spans="1:12" x14ac:dyDescent="0.25">
      <c r="A2487" s="120"/>
      <c r="B2487" s="120"/>
      <c r="C2487" s="120"/>
      <c r="D2487" s="120"/>
      <c r="E2487" s="120"/>
      <c r="F2487" s="120"/>
      <c r="G2487" s="120"/>
      <c r="H2487" s="120"/>
      <c r="I2487" s="120"/>
      <c r="J2487" s="120"/>
      <c r="K2487" s="120"/>
      <c r="L2487" s="120"/>
    </row>
    <row r="2488" spans="1:12" x14ac:dyDescent="0.25">
      <c r="A2488" s="1" t="s">
        <v>4</v>
      </c>
      <c r="B2488" s="2"/>
      <c r="C2488" s="90"/>
      <c r="D2488" s="2"/>
      <c r="E2488" s="2"/>
      <c r="F2488" s="2"/>
      <c r="G2488" s="3" t="s">
        <v>5</v>
      </c>
      <c r="H2488" s="3" t="s">
        <v>6</v>
      </c>
      <c r="I2488" s="4" t="s">
        <v>7</v>
      </c>
      <c r="J2488" s="5"/>
      <c r="K2488" s="5"/>
      <c r="L2488" s="5"/>
    </row>
    <row r="2489" spans="1:12" x14ac:dyDescent="0.25">
      <c r="A2489" s="91" t="s">
        <v>359</v>
      </c>
      <c r="B2489" s="92" t="s">
        <v>42</v>
      </c>
      <c r="C2489" s="64"/>
      <c r="D2489" s="66"/>
      <c r="E2489" s="2"/>
      <c r="F2489" s="2"/>
      <c r="G2489" s="91" t="s">
        <v>299</v>
      </c>
      <c r="H2489" s="66"/>
      <c r="I2489" s="33"/>
      <c r="J2489" s="6"/>
      <c r="K2489" s="33"/>
      <c r="L2489" s="6"/>
    </row>
    <row r="2490" spans="1:12" x14ac:dyDescent="0.25">
      <c r="A2490" s="7" t="s">
        <v>2</v>
      </c>
      <c r="B2490" s="5"/>
      <c r="C2490" s="5"/>
      <c r="D2490" s="5"/>
      <c r="E2490" s="5"/>
      <c r="F2490" s="5"/>
      <c r="G2490" s="8" t="s">
        <v>8</v>
      </c>
      <c r="H2490" s="93">
        <v>3</v>
      </c>
      <c r="I2490" s="5"/>
      <c r="J2490" s="5"/>
      <c r="K2490" s="5"/>
      <c r="L2490" s="5"/>
    </row>
    <row r="2491" spans="1:12" x14ac:dyDescent="0.25">
      <c r="A2491" s="7" t="s">
        <v>25</v>
      </c>
      <c r="B2491" s="5"/>
      <c r="C2491" s="7" t="s">
        <v>0</v>
      </c>
      <c r="D2491" s="5"/>
      <c r="E2491" s="5"/>
      <c r="F2491" s="5"/>
      <c r="G2491" s="7" t="s">
        <v>25</v>
      </c>
      <c r="H2491" s="5"/>
      <c r="I2491" s="7" t="s">
        <v>0</v>
      </c>
      <c r="J2491" s="5"/>
      <c r="K2491" s="5"/>
      <c r="L2491" s="5"/>
    </row>
    <row r="2492" spans="1:12" x14ac:dyDescent="0.25">
      <c r="A2492" s="42" t="s">
        <v>476</v>
      </c>
      <c r="B2492" s="6"/>
      <c r="C2492" s="31">
        <f>L2451</f>
        <v>984833</v>
      </c>
      <c r="D2492" s="5"/>
      <c r="E2492" s="5"/>
      <c r="F2492" s="5"/>
      <c r="G2492" s="42" t="s">
        <v>470</v>
      </c>
      <c r="H2492" s="6"/>
      <c r="I2492" s="9"/>
      <c r="J2492" s="5"/>
      <c r="K2492" s="5"/>
      <c r="L2492" s="5"/>
    </row>
    <row r="2493" spans="1:12" ht="16.5" thickBot="1" x14ac:dyDescent="0.3">
      <c r="A2493" s="7"/>
      <c r="B2493" s="62"/>
      <c r="C2493" s="62"/>
      <c r="D2493" s="62"/>
      <c r="E2493" s="5"/>
      <c r="F2493" s="5"/>
      <c r="G2493" s="10"/>
      <c r="H2493" s="5"/>
      <c r="I2493" s="5"/>
      <c r="J2493" s="5"/>
      <c r="K2493" s="5"/>
      <c r="L2493" s="5"/>
    </row>
    <row r="2494" spans="1:12" ht="15.75" thickBot="1" x14ac:dyDescent="0.3">
      <c r="A2494" s="121" t="s">
        <v>9</v>
      </c>
      <c r="B2494" s="122"/>
      <c r="C2494" s="123"/>
      <c r="D2494" s="5"/>
      <c r="E2494" s="5"/>
      <c r="F2494" s="5"/>
      <c r="G2494" s="121" t="s">
        <v>26</v>
      </c>
      <c r="H2494" s="122"/>
      <c r="I2494" s="123"/>
      <c r="J2494" s="5"/>
      <c r="K2494" s="5"/>
      <c r="L2494" s="5"/>
    </row>
    <row r="2495" spans="1:12" x14ac:dyDescent="0.25">
      <c r="A2495" s="30" t="s">
        <v>38</v>
      </c>
      <c r="B2495" s="11"/>
      <c r="C2495" s="11"/>
      <c r="D2495" s="11"/>
      <c r="E2495" s="6"/>
      <c r="F2495" s="5"/>
      <c r="G2495" s="30" t="str">
        <f>A2498</f>
        <v>Tsumeb</v>
      </c>
      <c r="H2495" s="11"/>
      <c r="I2495" s="11"/>
      <c r="J2495" s="11"/>
      <c r="K2495" s="11"/>
      <c r="L2495" s="6"/>
    </row>
    <row r="2496" spans="1:12" ht="15.75" thickBot="1" x14ac:dyDescent="0.3">
      <c r="A2496" s="7"/>
      <c r="B2496" s="7"/>
      <c r="C2496" s="7"/>
      <c r="D2496" s="5"/>
      <c r="E2496" s="5"/>
      <c r="F2496" s="5"/>
      <c r="G2496" s="7" t="str">
        <f>A2498</f>
        <v>Tsumeb</v>
      </c>
      <c r="H2496" s="7"/>
      <c r="I2496" s="7"/>
      <c r="J2496" s="5"/>
      <c r="K2496" s="5"/>
      <c r="L2496" s="5"/>
    </row>
    <row r="2497" spans="1:12" ht="15.75" thickBot="1" x14ac:dyDescent="0.3">
      <c r="A2497" s="121"/>
      <c r="B2497" s="122"/>
      <c r="C2497" s="124"/>
      <c r="D2497" s="12" t="s">
        <v>1</v>
      </c>
      <c r="E2497" s="32"/>
      <c r="F2497" s="5"/>
      <c r="G2497" s="121" t="s">
        <v>27</v>
      </c>
      <c r="H2497" s="122"/>
      <c r="I2497" s="123"/>
      <c r="J2497" s="5"/>
      <c r="K2497" s="12" t="s">
        <v>1</v>
      </c>
      <c r="L2497" s="32">
        <v>985721</v>
      </c>
    </row>
    <row r="2498" spans="1:12" x14ac:dyDescent="0.25">
      <c r="A2498" s="30" t="s">
        <v>331</v>
      </c>
      <c r="B2498" s="11"/>
      <c r="C2498" s="11"/>
      <c r="D2498" s="11"/>
      <c r="E2498" s="6"/>
      <c r="F2498" s="5"/>
      <c r="G2498" s="30" t="s">
        <v>364</v>
      </c>
      <c r="H2498" s="11"/>
      <c r="I2498" s="11"/>
      <c r="J2498" s="11"/>
      <c r="K2498" s="11"/>
      <c r="L2498" s="6"/>
    </row>
    <row r="2499" spans="1:12" x14ac:dyDescent="0.25">
      <c r="A2499" s="76"/>
      <c r="B2499" s="11"/>
      <c r="C2499" s="11"/>
      <c r="D2499" s="11"/>
      <c r="E2499" s="6"/>
      <c r="F2499" s="5"/>
      <c r="G2499" s="34"/>
      <c r="H2499" s="11"/>
      <c r="I2499" s="11"/>
      <c r="J2499" s="11"/>
      <c r="K2499" s="11"/>
      <c r="L2499" s="6"/>
    </row>
    <row r="2500" spans="1:12" x14ac:dyDescent="0.25">
      <c r="A2500" s="13"/>
      <c r="B2500" s="11"/>
      <c r="C2500" s="11"/>
      <c r="D2500" s="11"/>
      <c r="E2500" s="6"/>
      <c r="F2500" s="5"/>
      <c r="G2500" s="13"/>
      <c r="H2500" s="11"/>
      <c r="I2500" s="11"/>
      <c r="J2500" s="11"/>
      <c r="K2500" s="11"/>
      <c r="L2500" s="6"/>
    </row>
    <row r="2501" spans="1:12" x14ac:dyDescent="0.25">
      <c r="A2501" s="13"/>
      <c r="B2501" s="11"/>
      <c r="C2501" s="11"/>
      <c r="D2501" s="11"/>
      <c r="E2501" s="6"/>
      <c r="F2501" s="5"/>
      <c r="G2501" s="13"/>
      <c r="H2501" s="11"/>
      <c r="I2501" s="11"/>
      <c r="J2501" s="11"/>
      <c r="K2501" s="11"/>
      <c r="L2501" s="6"/>
    </row>
    <row r="2502" spans="1:12" ht="15.75" thickBot="1" x14ac:dyDescent="0.3">
      <c r="A2502" s="13"/>
      <c r="B2502" s="11"/>
      <c r="C2502" s="11" t="s">
        <v>29</v>
      </c>
      <c r="D2502" s="43"/>
      <c r="E2502" s="6"/>
      <c r="F2502" s="5"/>
      <c r="G2502" s="13"/>
      <c r="H2502" s="11"/>
      <c r="I2502" s="14" t="s">
        <v>28</v>
      </c>
      <c r="J2502" s="43"/>
      <c r="K2502" s="59"/>
      <c r="L2502" s="6"/>
    </row>
    <row r="2503" spans="1:12" ht="15.75" thickBot="1" x14ac:dyDescent="0.3">
      <c r="A2503" s="15" t="s">
        <v>10</v>
      </c>
      <c r="B2503" s="5"/>
      <c r="C2503" s="5"/>
      <c r="D2503" s="5"/>
      <c r="E2503" s="5"/>
      <c r="F2503" s="5"/>
      <c r="G2503" s="15" t="s">
        <v>14</v>
      </c>
      <c r="H2503" s="5"/>
      <c r="I2503" s="5"/>
      <c r="J2503" s="5"/>
      <c r="K2503" s="5"/>
      <c r="L2503" s="5"/>
    </row>
    <row r="2504" spans="1:12" ht="15.75" thickBot="1" x14ac:dyDescent="0.3">
      <c r="A2504" s="121" t="s">
        <v>11</v>
      </c>
      <c r="B2504" s="122"/>
      <c r="C2504" s="123"/>
      <c r="D2504" s="16" t="s">
        <v>12</v>
      </c>
      <c r="E2504" s="16" t="s">
        <v>13</v>
      </c>
      <c r="F2504" s="5"/>
      <c r="G2504" s="121" t="s">
        <v>15</v>
      </c>
      <c r="H2504" s="122"/>
      <c r="I2504" s="123"/>
      <c r="J2504" s="121"/>
      <c r="K2504" s="123"/>
      <c r="L2504" s="5"/>
    </row>
    <row r="2505" spans="1:12" x14ac:dyDescent="0.25">
      <c r="A2505" s="94" t="s">
        <v>477</v>
      </c>
      <c r="B2505" s="46" t="s">
        <v>47</v>
      </c>
      <c r="C2505" s="47"/>
      <c r="D2505" s="56">
        <v>298.2</v>
      </c>
      <c r="E2505" s="57">
        <v>6296.06</v>
      </c>
      <c r="F2505" s="44">
        <f>E2505/D2505</f>
        <v>21.113547954393027</v>
      </c>
      <c r="G2505" s="125" t="s">
        <v>69</v>
      </c>
      <c r="H2505" s="126"/>
      <c r="I2505" s="127"/>
      <c r="J2505" s="128">
        <v>0</v>
      </c>
      <c r="K2505" s="129"/>
      <c r="L2505" s="5"/>
    </row>
    <row r="2506" spans="1:12" x14ac:dyDescent="0.25">
      <c r="A2506" s="94"/>
      <c r="B2506" s="46"/>
      <c r="C2506" s="47"/>
      <c r="D2506" s="56"/>
      <c r="E2506" s="57"/>
      <c r="F2506" s="44"/>
      <c r="G2506" s="110" t="s">
        <v>59</v>
      </c>
      <c r="H2506" s="111"/>
      <c r="I2506" s="112"/>
      <c r="J2506" s="113"/>
      <c r="K2506" s="114"/>
      <c r="L2506" s="5"/>
    </row>
    <row r="2507" spans="1:12" x14ac:dyDescent="0.25">
      <c r="A2507" s="94"/>
      <c r="B2507" s="46"/>
      <c r="C2507" s="47"/>
      <c r="D2507" s="56"/>
      <c r="E2507" s="57"/>
      <c r="F2507" s="44"/>
      <c r="G2507" s="110" t="s">
        <v>61</v>
      </c>
      <c r="H2507" s="111"/>
      <c r="I2507" s="112"/>
      <c r="J2507" s="113"/>
      <c r="K2507" s="114"/>
      <c r="L2507" s="5"/>
    </row>
    <row r="2508" spans="1:12" x14ac:dyDescent="0.25">
      <c r="A2508" s="94"/>
      <c r="B2508" s="46"/>
      <c r="C2508" s="47"/>
      <c r="D2508" s="56"/>
      <c r="E2508" s="57"/>
      <c r="F2508" s="44"/>
      <c r="G2508" s="110" t="s">
        <v>51</v>
      </c>
      <c r="H2508" s="111"/>
      <c r="I2508" s="112"/>
      <c r="J2508" s="113"/>
      <c r="K2508" s="114"/>
      <c r="L2508" s="5"/>
    </row>
    <row r="2509" spans="1:12" x14ac:dyDescent="0.25">
      <c r="A2509" s="48"/>
      <c r="B2509" s="46"/>
      <c r="C2509" s="39"/>
      <c r="D2509" s="52"/>
      <c r="E2509" s="53"/>
      <c r="F2509" s="44"/>
      <c r="G2509" s="110" t="s">
        <v>58</v>
      </c>
      <c r="H2509" s="111"/>
      <c r="I2509" s="112"/>
      <c r="J2509" s="113"/>
      <c r="K2509" s="114"/>
      <c r="L2509" s="5"/>
    </row>
    <row r="2510" spans="1:12" x14ac:dyDescent="0.25">
      <c r="A2510" s="48"/>
      <c r="B2510" s="35"/>
      <c r="C2510" s="39"/>
      <c r="D2510" s="52"/>
      <c r="E2510" s="53"/>
      <c r="F2510" s="44"/>
      <c r="G2510" s="110" t="s">
        <v>51</v>
      </c>
      <c r="H2510" s="111"/>
      <c r="I2510" s="112"/>
      <c r="J2510" s="113"/>
      <c r="K2510" s="114"/>
      <c r="L2510" s="5"/>
    </row>
    <row r="2511" spans="1:12" x14ac:dyDescent="0.25">
      <c r="A2511" s="48"/>
      <c r="B2511" s="35"/>
      <c r="C2511" s="39"/>
      <c r="D2511" s="52"/>
      <c r="E2511" s="53"/>
      <c r="F2511" s="44"/>
      <c r="G2511" s="77"/>
      <c r="H2511" s="78" t="s">
        <v>69</v>
      </c>
      <c r="I2511" s="79"/>
      <c r="J2511" s="113">
        <v>0</v>
      </c>
      <c r="K2511" s="114"/>
      <c r="L2511" s="5"/>
    </row>
    <row r="2512" spans="1:12" x14ac:dyDescent="0.25">
      <c r="A2512" s="38"/>
      <c r="B2512" s="35"/>
      <c r="C2512" s="39"/>
      <c r="D2512" s="52"/>
      <c r="E2512" s="53"/>
      <c r="F2512" s="44"/>
      <c r="G2512" s="77"/>
      <c r="H2512" s="78" t="s">
        <v>72</v>
      </c>
      <c r="I2512" s="79"/>
      <c r="J2512" s="113"/>
      <c r="K2512" s="114"/>
      <c r="L2512" s="5"/>
    </row>
    <row r="2513" spans="1:12" ht="15.75" thickBot="1" x14ac:dyDescent="0.3">
      <c r="A2513" s="5"/>
      <c r="B2513" s="5"/>
      <c r="C2513" s="7" t="s">
        <v>35</v>
      </c>
      <c r="D2513" s="17">
        <f>SUM(D2505:D2512)</f>
        <v>298.2</v>
      </c>
      <c r="E2513" s="17">
        <f>SUM(E2505:E2512)</f>
        <v>6296.06</v>
      </c>
      <c r="F2513" s="89">
        <f>AVERAGE(F2505:F2509)</f>
        <v>21.113547954393027</v>
      </c>
      <c r="G2513" s="110" t="s">
        <v>73</v>
      </c>
      <c r="H2513" s="111"/>
      <c r="I2513" s="112"/>
      <c r="J2513" s="113"/>
      <c r="K2513" s="114"/>
      <c r="L2513" s="7" t="s">
        <v>36</v>
      </c>
    </row>
    <row r="2514" spans="1:12" ht="15.75" thickBot="1" x14ac:dyDescent="0.3">
      <c r="A2514" s="5"/>
      <c r="B2514" s="5"/>
      <c r="C2514" s="5"/>
      <c r="D2514" s="5"/>
      <c r="E2514" s="5"/>
      <c r="F2514" s="5"/>
      <c r="G2514" s="130"/>
      <c r="H2514" s="131"/>
      <c r="I2514" s="132"/>
      <c r="J2514" s="133"/>
      <c r="K2514" s="134"/>
      <c r="L2514" s="18">
        <f>J2505+J2506+J2507+J2508+J2509+J2510+J2511+J2512+J2513</f>
        <v>0</v>
      </c>
    </row>
    <row r="2515" spans="1:12" ht="15.75" thickBot="1" x14ac:dyDescent="0.3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</row>
    <row r="2516" spans="1:12" ht="15.75" thickBot="1" x14ac:dyDescent="0.3">
      <c r="A2516" s="19"/>
      <c r="B2516" s="20"/>
      <c r="C2516" s="20"/>
      <c r="D2516" s="20"/>
      <c r="E2516" s="21" t="s">
        <v>13</v>
      </c>
      <c r="F2516" s="5"/>
      <c r="G2516" s="19"/>
      <c r="H2516" s="20"/>
      <c r="I2516" s="20"/>
      <c r="J2516" s="20"/>
      <c r="K2516" s="21" t="s">
        <v>13</v>
      </c>
      <c r="L2516" s="5"/>
    </row>
    <row r="2517" spans="1:12" x14ac:dyDescent="0.25">
      <c r="A2517" s="22" t="s">
        <v>31</v>
      </c>
      <c r="B2517" s="115">
        <v>17776</v>
      </c>
      <c r="C2517" s="116"/>
      <c r="D2517" s="116"/>
      <c r="E2517" s="117"/>
      <c r="F2517" s="5"/>
      <c r="G2517" s="22" t="s">
        <v>32</v>
      </c>
      <c r="H2517" s="115">
        <v>0</v>
      </c>
      <c r="I2517" s="116"/>
      <c r="J2517" s="116"/>
      <c r="K2517" s="117"/>
      <c r="L2517" s="5"/>
    </row>
    <row r="2518" spans="1:12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</row>
    <row r="2519" spans="1:12" x14ac:dyDescent="0.25">
      <c r="A2519" s="7" t="s">
        <v>16</v>
      </c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</row>
    <row r="2520" spans="1:12" x14ac:dyDescent="0.25">
      <c r="A2520" s="9" t="s">
        <v>17</v>
      </c>
      <c r="B2520" s="23">
        <f>L2497-C2492</f>
        <v>888</v>
      </c>
      <c r="C2520" s="5"/>
      <c r="D2520" s="106" t="s">
        <v>18</v>
      </c>
      <c r="E2520" s="107"/>
      <c r="F2520" s="24" t="s">
        <v>19</v>
      </c>
      <c r="G2520" s="9" t="s">
        <v>20</v>
      </c>
      <c r="H2520" s="118">
        <f>B2517+H2517</f>
        <v>17776</v>
      </c>
      <c r="I2520" s="119"/>
      <c r="J2520" s="60"/>
      <c r="K2520" s="5"/>
      <c r="L2520" s="5"/>
    </row>
    <row r="2521" spans="1:12" x14ac:dyDescent="0.25">
      <c r="A2521" s="9" t="s">
        <v>41</v>
      </c>
      <c r="B2521" s="40">
        <f>B2520/D2513</f>
        <v>2.9778672032193159</v>
      </c>
      <c r="C2521" s="5"/>
      <c r="D2521" s="102">
        <f>E2513</f>
        <v>6296.06</v>
      </c>
      <c r="E2521" s="103"/>
      <c r="F2521" s="25">
        <f>H2521/B2520</f>
        <v>8.2532207207207211</v>
      </c>
      <c r="G2521" s="9" t="s">
        <v>21</v>
      </c>
      <c r="H2521" s="104">
        <f>L2514+D2521+D2523+D2525+D2527+A2524</f>
        <v>7328.8600000000006</v>
      </c>
      <c r="I2521" s="105"/>
      <c r="J2521" s="5"/>
      <c r="K2521" s="5"/>
      <c r="L2521" s="5"/>
    </row>
    <row r="2522" spans="1:12" x14ac:dyDescent="0.25">
      <c r="A2522" s="9" t="s">
        <v>43</v>
      </c>
      <c r="B2522" s="23">
        <f>D2513/B2520*100</f>
        <v>33.581081081081081</v>
      </c>
      <c r="C2522" s="5"/>
      <c r="D2522" s="106" t="s">
        <v>33</v>
      </c>
      <c r="E2522" s="107"/>
      <c r="F2522" s="5"/>
      <c r="G2522" s="13" t="s">
        <v>22</v>
      </c>
      <c r="H2522" s="6"/>
      <c r="I2522" s="26">
        <f>H2520-H2521</f>
        <v>10447.14</v>
      </c>
      <c r="J2522" s="5"/>
      <c r="K2522" s="5"/>
      <c r="L2522" s="5"/>
    </row>
    <row r="2523" spans="1:12" x14ac:dyDescent="0.25">
      <c r="A2523" s="106" t="s">
        <v>40</v>
      </c>
      <c r="B2523" s="107"/>
      <c r="C2523" s="5"/>
      <c r="D2523" s="149">
        <v>500</v>
      </c>
      <c r="E2523" s="150"/>
      <c r="F2523" s="5"/>
      <c r="G2523" s="5"/>
      <c r="H2523" s="5"/>
      <c r="I2523" s="5"/>
      <c r="J2523" s="5"/>
      <c r="K2523" s="5"/>
      <c r="L2523" s="5"/>
    </row>
    <row r="2524" spans="1:12" x14ac:dyDescent="0.25">
      <c r="A2524" s="108">
        <f>B2520*0.6</f>
        <v>532.79999999999995</v>
      </c>
      <c r="B2524" s="109"/>
      <c r="C2524" s="5"/>
      <c r="D2524" s="106" t="s">
        <v>34</v>
      </c>
      <c r="E2524" s="107"/>
      <c r="F2524" s="5"/>
      <c r="G2524" s="145" t="s">
        <v>292</v>
      </c>
      <c r="H2524" s="146"/>
      <c r="I2524" s="23">
        <f>B2520/2.3</f>
        <v>386.08695652173918</v>
      </c>
      <c r="J2524" s="60"/>
      <c r="K2524" s="5"/>
      <c r="L2524" s="5"/>
    </row>
    <row r="2525" spans="1:12" x14ac:dyDescent="0.25">
      <c r="A2525" s="5"/>
      <c r="B2525" s="5"/>
      <c r="C2525" s="5"/>
      <c r="D2525" s="108">
        <v>0</v>
      </c>
      <c r="E2525" s="109"/>
      <c r="F2525" s="5"/>
      <c r="G2525" s="145" t="s">
        <v>294</v>
      </c>
      <c r="H2525" s="146"/>
      <c r="I2525" s="23">
        <f>I2524-D2513</f>
        <v>87.886956521739194</v>
      </c>
      <c r="J2525" s="5"/>
      <c r="K2525" s="5"/>
      <c r="L2525" s="5"/>
    </row>
    <row r="2526" spans="1:12" x14ac:dyDescent="0.25">
      <c r="A2526" s="5"/>
      <c r="B2526" s="5"/>
      <c r="C2526" s="5"/>
      <c r="D2526" s="106" t="s">
        <v>37</v>
      </c>
      <c r="E2526" s="107"/>
      <c r="F2526" s="5"/>
      <c r="G2526" s="147" t="s">
        <v>295</v>
      </c>
      <c r="H2526" s="148"/>
      <c r="I2526" s="86">
        <f>I2525*F2513</f>
        <v>1855.6054710873955</v>
      </c>
      <c r="J2526" s="87">
        <f>I2522-I2526</f>
        <v>8591.5345289126035</v>
      </c>
      <c r="K2526" s="5"/>
      <c r="L2526" s="5"/>
    </row>
    <row r="2527" spans="1:12" x14ac:dyDescent="0.25">
      <c r="A2527" s="5"/>
      <c r="B2527" s="5"/>
      <c r="C2527" s="5"/>
      <c r="D2527" s="108">
        <v>0</v>
      </c>
      <c r="E2527" s="109"/>
      <c r="F2527" s="5" t="s">
        <v>78</v>
      </c>
      <c r="G2527" s="5"/>
      <c r="H2527" s="5"/>
      <c r="I2527" s="5"/>
      <c r="J2527" s="88" t="s">
        <v>293</v>
      </c>
      <c r="K2527" s="44"/>
      <c r="L2527" s="5"/>
    </row>
    <row r="2529" spans="1:12" s="49" customFormat="1" x14ac:dyDescent="0.25"/>
    <row r="2532" spans="1:12" x14ac:dyDescent="0.25">
      <c r="A2532" s="120" t="s">
        <v>24</v>
      </c>
      <c r="B2532" s="120"/>
      <c r="C2532" s="120"/>
      <c r="D2532" s="120"/>
      <c r="E2532" s="120"/>
      <c r="F2532" s="120"/>
      <c r="G2532" s="120"/>
      <c r="H2532" s="120"/>
      <c r="I2532" s="120"/>
      <c r="J2532" s="120"/>
      <c r="K2532" s="120"/>
      <c r="L2532" s="120"/>
    </row>
    <row r="2533" spans="1:12" x14ac:dyDescent="0.25">
      <c r="A2533" s="120"/>
      <c r="B2533" s="120"/>
      <c r="C2533" s="120"/>
      <c r="D2533" s="120"/>
      <c r="E2533" s="120"/>
      <c r="F2533" s="120"/>
      <c r="G2533" s="120"/>
      <c r="H2533" s="120"/>
      <c r="I2533" s="120"/>
      <c r="J2533" s="120"/>
      <c r="K2533" s="120"/>
      <c r="L2533" s="120"/>
    </row>
    <row r="2534" spans="1:12" x14ac:dyDescent="0.25">
      <c r="A2534" s="1" t="s">
        <v>4</v>
      </c>
      <c r="B2534" s="2"/>
      <c r="C2534" s="90"/>
      <c r="D2534" s="2"/>
      <c r="E2534" s="2"/>
      <c r="F2534" s="2"/>
      <c r="G2534" s="3" t="s">
        <v>5</v>
      </c>
      <c r="H2534" s="3" t="s">
        <v>6</v>
      </c>
      <c r="I2534" s="4" t="s">
        <v>7</v>
      </c>
      <c r="J2534" s="5"/>
      <c r="K2534" s="5"/>
      <c r="L2534" s="5"/>
    </row>
    <row r="2535" spans="1:12" x14ac:dyDescent="0.25">
      <c r="A2535" s="91" t="s">
        <v>359</v>
      </c>
      <c r="B2535" s="92" t="s">
        <v>42</v>
      </c>
      <c r="C2535" s="64"/>
      <c r="D2535" s="66"/>
      <c r="E2535" s="2"/>
      <c r="F2535" s="2"/>
      <c r="G2535" s="91" t="s">
        <v>299</v>
      </c>
      <c r="H2535" s="66"/>
      <c r="I2535" s="33"/>
      <c r="J2535" s="6"/>
      <c r="K2535" s="33"/>
      <c r="L2535" s="6"/>
    </row>
    <row r="2536" spans="1:12" x14ac:dyDescent="0.25">
      <c r="A2536" s="7" t="s">
        <v>2</v>
      </c>
      <c r="B2536" s="5"/>
      <c r="C2536" s="5"/>
      <c r="D2536" s="5"/>
      <c r="E2536" s="5"/>
      <c r="F2536" s="5"/>
      <c r="G2536" s="8" t="s">
        <v>8</v>
      </c>
      <c r="H2536" s="93">
        <v>3</v>
      </c>
      <c r="I2536" s="5"/>
      <c r="J2536" s="5"/>
      <c r="K2536" s="5"/>
      <c r="L2536" s="5"/>
    </row>
    <row r="2537" spans="1:12" x14ac:dyDescent="0.25">
      <c r="A2537" s="7" t="s">
        <v>25</v>
      </c>
      <c r="B2537" s="5"/>
      <c r="C2537" s="7" t="s">
        <v>0</v>
      </c>
      <c r="D2537" s="5"/>
      <c r="E2537" s="5"/>
      <c r="F2537" s="5"/>
      <c r="G2537" s="7" t="s">
        <v>25</v>
      </c>
      <c r="H2537" s="5"/>
      <c r="I2537" s="7" t="s">
        <v>0</v>
      </c>
      <c r="J2537" s="5"/>
      <c r="K2537" s="5"/>
      <c r="L2537" s="5"/>
    </row>
    <row r="2538" spans="1:12" x14ac:dyDescent="0.25">
      <c r="A2538" s="42" t="s">
        <v>477</v>
      </c>
      <c r="B2538" s="6"/>
      <c r="C2538" s="31">
        <f>L2497</f>
        <v>985721</v>
      </c>
      <c r="D2538" s="5"/>
      <c r="E2538" s="5"/>
      <c r="F2538" s="5"/>
      <c r="G2538" s="42"/>
      <c r="H2538" s="6"/>
      <c r="I2538" s="9"/>
      <c r="J2538" s="5"/>
      <c r="K2538" s="5"/>
      <c r="L2538" s="5"/>
    </row>
    <row r="2539" spans="1:12" ht="16.5" thickBot="1" x14ac:dyDescent="0.3">
      <c r="A2539" s="7"/>
      <c r="B2539" s="62"/>
      <c r="C2539" s="62"/>
      <c r="D2539" s="62"/>
      <c r="E2539" s="5"/>
      <c r="F2539" s="5"/>
      <c r="G2539" s="10"/>
      <c r="H2539" s="5"/>
      <c r="I2539" s="5"/>
      <c r="J2539" s="5"/>
      <c r="K2539" s="5"/>
      <c r="L2539" s="5"/>
    </row>
    <row r="2540" spans="1:12" ht="15.75" thickBot="1" x14ac:dyDescent="0.3">
      <c r="A2540" s="121" t="s">
        <v>9</v>
      </c>
      <c r="B2540" s="122"/>
      <c r="C2540" s="123"/>
      <c r="D2540" s="5"/>
      <c r="E2540" s="5"/>
      <c r="F2540" s="5"/>
      <c r="G2540" s="121" t="s">
        <v>26</v>
      </c>
      <c r="H2540" s="122"/>
      <c r="I2540" s="123"/>
      <c r="J2540" s="5"/>
      <c r="K2540" s="5"/>
      <c r="L2540" s="5"/>
    </row>
    <row r="2541" spans="1:12" x14ac:dyDescent="0.25">
      <c r="A2541" s="30" t="s">
        <v>38</v>
      </c>
      <c r="B2541" s="11"/>
      <c r="C2541" s="11"/>
      <c r="D2541" s="11"/>
      <c r="E2541" s="6"/>
      <c r="F2541" s="5"/>
      <c r="G2541" s="30" t="str">
        <f>A2544</f>
        <v>Oshakati</v>
      </c>
      <c r="H2541" s="11"/>
      <c r="I2541" s="11"/>
      <c r="J2541" s="11"/>
      <c r="K2541" s="11"/>
      <c r="L2541" s="6"/>
    </row>
    <row r="2542" spans="1:12" ht="15.75" thickBot="1" x14ac:dyDescent="0.3">
      <c r="A2542" s="7"/>
      <c r="B2542" s="7"/>
      <c r="C2542" s="7"/>
      <c r="D2542" s="5"/>
      <c r="E2542" s="5"/>
      <c r="F2542" s="5"/>
      <c r="G2542" s="7" t="str">
        <f>A2544</f>
        <v>Oshakati</v>
      </c>
      <c r="H2542" s="7"/>
      <c r="I2542" s="7"/>
      <c r="J2542" s="5"/>
      <c r="K2542" s="5"/>
      <c r="L2542" s="5"/>
    </row>
    <row r="2543" spans="1:12" ht="15.75" thickBot="1" x14ac:dyDescent="0.3">
      <c r="A2543" s="121"/>
      <c r="B2543" s="122"/>
      <c r="C2543" s="124"/>
      <c r="D2543" s="12" t="s">
        <v>1</v>
      </c>
      <c r="E2543" s="32"/>
      <c r="F2543" s="5"/>
      <c r="G2543" s="121" t="s">
        <v>27</v>
      </c>
      <c r="H2543" s="122"/>
      <c r="I2543" s="123"/>
      <c r="J2543" s="5"/>
      <c r="K2543" s="12" t="s">
        <v>1</v>
      </c>
      <c r="L2543" s="32">
        <v>987195</v>
      </c>
    </row>
    <row r="2544" spans="1:12" x14ac:dyDescent="0.25">
      <c r="A2544" s="30" t="s">
        <v>39</v>
      </c>
      <c r="B2544" s="11"/>
      <c r="C2544" s="11"/>
      <c r="D2544" s="11"/>
      <c r="E2544" s="6"/>
      <c r="F2544" s="5"/>
      <c r="G2544" s="30" t="s">
        <v>364</v>
      </c>
      <c r="H2544" s="11"/>
      <c r="I2544" s="11"/>
      <c r="J2544" s="11"/>
      <c r="K2544" s="11"/>
      <c r="L2544" s="6"/>
    </row>
    <row r="2545" spans="1:12" x14ac:dyDescent="0.25">
      <c r="A2545" s="76"/>
      <c r="B2545" s="11"/>
      <c r="C2545" s="11"/>
      <c r="D2545" s="11"/>
      <c r="E2545" s="6"/>
      <c r="F2545" s="5"/>
      <c r="G2545" s="34"/>
      <c r="H2545" s="11"/>
      <c r="I2545" s="11"/>
      <c r="J2545" s="11"/>
      <c r="K2545" s="11"/>
      <c r="L2545" s="6"/>
    </row>
    <row r="2546" spans="1:12" x14ac:dyDescent="0.25">
      <c r="A2546" s="13"/>
      <c r="B2546" s="11"/>
      <c r="C2546" s="11"/>
      <c r="D2546" s="11"/>
      <c r="E2546" s="6"/>
      <c r="F2546" s="5"/>
      <c r="G2546" s="13"/>
      <c r="H2546" s="11"/>
      <c r="I2546" s="11"/>
      <c r="J2546" s="11"/>
      <c r="K2546" s="11"/>
      <c r="L2546" s="6"/>
    </row>
    <row r="2547" spans="1:12" x14ac:dyDescent="0.25">
      <c r="A2547" s="13"/>
      <c r="B2547" s="11"/>
      <c r="C2547" s="11"/>
      <c r="D2547" s="11"/>
      <c r="E2547" s="6"/>
      <c r="F2547" s="5"/>
      <c r="G2547" s="13"/>
      <c r="H2547" s="11"/>
      <c r="I2547" s="11"/>
      <c r="J2547" s="11"/>
      <c r="K2547" s="11"/>
      <c r="L2547" s="6"/>
    </row>
    <row r="2548" spans="1:12" ht="15.75" thickBot="1" x14ac:dyDescent="0.3">
      <c r="A2548" s="13"/>
      <c r="B2548" s="11"/>
      <c r="C2548" s="11" t="s">
        <v>29</v>
      </c>
      <c r="D2548" s="43"/>
      <c r="E2548" s="6"/>
      <c r="F2548" s="5"/>
      <c r="G2548" s="13"/>
      <c r="H2548" s="11"/>
      <c r="I2548" s="14" t="s">
        <v>28</v>
      </c>
      <c r="J2548" s="43"/>
      <c r="K2548" s="59"/>
      <c r="L2548" s="6"/>
    </row>
    <row r="2549" spans="1:12" ht="15.75" thickBot="1" x14ac:dyDescent="0.3">
      <c r="A2549" s="15" t="s">
        <v>10</v>
      </c>
      <c r="B2549" s="5"/>
      <c r="C2549" s="5"/>
      <c r="D2549" s="5"/>
      <c r="E2549" s="5"/>
      <c r="F2549" s="5"/>
      <c r="G2549" s="15" t="s">
        <v>14</v>
      </c>
      <c r="H2549" s="5"/>
      <c r="I2549" s="5"/>
      <c r="J2549" s="5"/>
      <c r="K2549" s="5"/>
      <c r="L2549" s="5"/>
    </row>
    <row r="2550" spans="1:12" ht="15.75" thickBot="1" x14ac:dyDescent="0.3">
      <c r="A2550" s="121" t="s">
        <v>11</v>
      </c>
      <c r="B2550" s="122"/>
      <c r="C2550" s="123"/>
      <c r="D2550" s="16" t="s">
        <v>12</v>
      </c>
      <c r="E2550" s="16" t="s">
        <v>13</v>
      </c>
      <c r="F2550" s="5"/>
      <c r="G2550" s="121" t="s">
        <v>15</v>
      </c>
      <c r="H2550" s="122"/>
      <c r="I2550" s="123"/>
      <c r="J2550" s="121"/>
      <c r="K2550" s="123"/>
      <c r="L2550" s="5"/>
    </row>
    <row r="2551" spans="1:12" x14ac:dyDescent="0.25">
      <c r="A2551" s="94" t="s">
        <v>479</v>
      </c>
      <c r="B2551" s="46" t="s">
        <v>47</v>
      </c>
      <c r="C2551" s="47"/>
      <c r="D2551" s="56">
        <f>473.6+134.6</f>
        <v>608.20000000000005</v>
      </c>
      <c r="E2551" s="57">
        <v>12841.25</v>
      </c>
      <c r="F2551" s="44">
        <f>E2551/D2551</f>
        <v>21.113531732982569</v>
      </c>
      <c r="G2551" s="125" t="s">
        <v>69</v>
      </c>
      <c r="H2551" s="126"/>
      <c r="I2551" s="127"/>
      <c r="J2551" s="128">
        <v>0</v>
      </c>
      <c r="K2551" s="129"/>
      <c r="L2551" s="5"/>
    </row>
    <row r="2552" spans="1:12" x14ac:dyDescent="0.25">
      <c r="A2552" s="94"/>
      <c r="B2552" s="46"/>
      <c r="C2552" s="47"/>
      <c r="D2552" s="56"/>
      <c r="E2552" s="57"/>
      <c r="F2552" s="44"/>
      <c r="G2552" s="110" t="s">
        <v>59</v>
      </c>
      <c r="H2552" s="111"/>
      <c r="I2552" s="112"/>
      <c r="J2552" s="113"/>
      <c r="K2552" s="114"/>
      <c r="L2552" s="5"/>
    </row>
    <row r="2553" spans="1:12" x14ac:dyDescent="0.25">
      <c r="A2553" s="94"/>
      <c r="B2553" s="46"/>
      <c r="C2553" s="47"/>
      <c r="D2553" s="56"/>
      <c r="E2553" s="57"/>
      <c r="F2553" s="44"/>
      <c r="G2553" s="110" t="s">
        <v>61</v>
      </c>
      <c r="H2553" s="111"/>
      <c r="I2553" s="112"/>
      <c r="J2553" s="113"/>
      <c r="K2553" s="114"/>
      <c r="L2553" s="5"/>
    </row>
    <row r="2554" spans="1:12" x14ac:dyDescent="0.25">
      <c r="A2554" s="94"/>
      <c r="B2554" s="46"/>
      <c r="C2554" s="47"/>
      <c r="D2554" s="56"/>
      <c r="E2554" s="57"/>
      <c r="F2554" s="44"/>
      <c r="G2554" s="110" t="s">
        <v>51</v>
      </c>
      <c r="H2554" s="111"/>
      <c r="I2554" s="112"/>
      <c r="J2554" s="113"/>
      <c r="K2554" s="114"/>
      <c r="L2554" s="5"/>
    </row>
    <row r="2555" spans="1:12" x14ac:dyDescent="0.25">
      <c r="A2555" s="48"/>
      <c r="B2555" s="46"/>
      <c r="C2555" s="39"/>
      <c r="D2555" s="52"/>
      <c r="E2555" s="53"/>
      <c r="F2555" s="44"/>
      <c r="G2555" s="110" t="s">
        <v>58</v>
      </c>
      <c r="H2555" s="111"/>
      <c r="I2555" s="112"/>
      <c r="J2555" s="113"/>
      <c r="K2555" s="114"/>
      <c r="L2555" s="5"/>
    </row>
    <row r="2556" spans="1:12" x14ac:dyDescent="0.25">
      <c r="A2556" s="48"/>
      <c r="B2556" s="35"/>
      <c r="C2556" s="39"/>
      <c r="D2556" s="52"/>
      <c r="E2556" s="53"/>
      <c r="F2556" s="44"/>
      <c r="G2556" s="110" t="s">
        <v>51</v>
      </c>
      <c r="H2556" s="111"/>
      <c r="I2556" s="112"/>
      <c r="J2556" s="113"/>
      <c r="K2556" s="114"/>
      <c r="L2556" s="5"/>
    </row>
    <row r="2557" spans="1:12" x14ac:dyDescent="0.25">
      <c r="A2557" s="48"/>
      <c r="B2557" s="35"/>
      <c r="C2557" s="39"/>
      <c r="D2557" s="52"/>
      <c r="E2557" s="53"/>
      <c r="F2557" s="44"/>
      <c r="G2557" s="77"/>
      <c r="H2557" s="78" t="s">
        <v>69</v>
      </c>
      <c r="I2557" s="79"/>
      <c r="J2557" s="113">
        <v>0</v>
      </c>
      <c r="K2557" s="114"/>
      <c r="L2557" s="5"/>
    </row>
    <row r="2558" spans="1:12" x14ac:dyDescent="0.25">
      <c r="A2558" s="38"/>
      <c r="B2558" s="35"/>
      <c r="C2558" s="39"/>
      <c r="D2558" s="52"/>
      <c r="E2558" s="53"/>
      <c r="F2558" s="44"/>
      <c r="G2558" s="77"/>
      <c r="H2558" s="78" t="s">
        <v>72</v>
      </c>
      <c r="I2558" s="79"/>
      <c r="J2558" s="113"/>
      <c r="K2558" s="114"/>
      <c r="L2558" s="5"/>
    </row>
    <row r="2559" spans="1:12" ht="15.75" thickBot="1" x14ac:dyDescent="0.3">
      <c r="A2559" s="5"/>
      <c r="B2559" s="5"/>
      <c r="C2559" s="7" t="s">
        <v>35</v>
      </c>
      <c r="D2559" s="17">
        <f>SUM(D2551:D2558)</f>
        <v>608.20000000000005</v>
      </c>
      <c r="E2559" s="17">
        <f>SUM(E2551:E2558)</f>
        <v>12841.25</v>
      </c>
      <c r="F2559" s="89">
        <f>AVERAGE(F2551:F2555)</f>
        <v>21.113531732982569</v>
      </c>
      <c r="G2559" s="110" t="s">
        <v>73</v>
      </c>
      <c r="H2559" s="111"/>
      <c r="I2559" s="112"/>
      <c r="J2559" s="113"/>
      <c r="K2559" s="114"/>
      <c r="L2559" s="7" t="s">
        <v>36</v>
      </c>
    </row>
    <row r="2560" spans="1:12" ht="15.75" thickBot="1" x14ac:dyDescent="0.3">
      <c r="A2560" s="5"/>
      <c r="B2560" s="5"/>
      <c r="C2560" s="5"/>
      <c r="D2560" s="5"/>
      <c r="E2560" s="5"/>
      <c r="F2560" s="5"/>
      <c r="G2560" s="130"/>
      <c r="H2560" s="131"/>
      <c r="I2560" s="132"/>
      <c r="J2560" s="133"/>
      <c r="K2560" s="134"/>
      <c r="L2560" s="18">
        <f>J2551+J2552+J2553+J2554+J2555+J2556+J2557+J2558+J2559</f>
        <v>0</v>
      </c>
    </row>
    <row r="2561" spans="1:12" ht="15.75" thickBot="1" x14ac:dyDescent="0.3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</row>
    <row r="2562" spans="1:12" ht="15.75" thickBot="1" x14ac:dyDescent="0.3">
      <c r="A2562" s="19"/>
      <c r="B2562" s="20"/>
      <c r="C2562" s="20"/>
      <c r="D2562" s="20"/>
      <c r="E2562" s="21" t="s">
        <v>13</v>
      </c>
      <c r="F2562" s="5"/>
      <c r="G2562" s="19"/>
      <c r="H2562" s="20"/>
      <c r="I2562" s="20"/>
      <c r="J2562" s="20"/>
      <c r="K2562" s="21" t="s">
        <v>13</v>
      </c>
      <c r="L2562" s="5"/>
    </row>
    <row r="2563" spans="1:12" x14ac:dyDescent="0.25">
      <c r="A2563" s="22" t="s">
        <v>31</v>
      </c>
      <c r="B2563" s="115">
        <v>28716</v>
      </c>
      <c r="C2563" s="116"/>
      <c r="D2563" s="116"/>
      <c r="E2563" s="117"/>
      <c r="F2563" s="5"/>
      <c r="G2563" s="22" t="s">
        <v>32</v>
      </c>
      <c r="H2563" s="115">
        <v>0</v>
      </c>
      <c r="I2563" s="116"/>
      <c r="J2563" s="116"/>
      <c r="K2563" s="117"/>
      <c r="L2563" s="5"/>
    </row>
    <row r="2564" spans="1:12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</row>
    <row r="2565" spans="1:12" x14ac:dyDescent="0.25">
      <c r="A2565" s="7" t="s">
        <v>16</v>
      </c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</row>
    <row r="2566" spans="1:12" x14ac:dyDescent="0.25">
      <c r="A2566" s="9" t="s">
        <v>17</v>
      </c>
      <c r="B2566" s="23">
        <f>L2543-C2538</f>
        <v>1474</v>
      </c>
      <c r="C2566" s="5"/>
      <c r="D2566" s="106" t="s">
        <v>18</v>
      </c>
      <c r="E2566" s="107"/>
      <c r="F2566" s="24" t="s">
        <v>19</v>
      </c>
      <c r="G2566" s="9" t="s">
        <v>20</v>
      </c>
      <c r="H2566" s="118">
        <f>B2563+H2563</f>
        <v>28716</v>
      </c>
      <c r="I2566" s="119"/>
      <c r="J2566" s="60"/>
      <c r="K2566" s="5"/>
      <c r="L2566" s="5"/>
    </row>
    <row r="2567" spans="1:12" x14ac:dyDescent="0.25">
      <c r="A2567" s="9" t="s">
        <v>41</v>
      </c>
      <c r="B2567" s="40">
        <f>B2566/D2559</f>
        <v>2.4235448865504767</v>
      </c>
      <c r="C2567" s="5"/>
      <c r="D2567" s="102">
        <f>E2559</f>
        <v>12841.25</v>
      </c>
      <c r="E2567" s="103"/>
      <c r="F2567" s="25">
        <f>H2567/B2566</f>
        <v>9.6510515603799192</v>
      </c>
      <c r="G2567" s="9" t="s">
        <v>21</v>
      </c>
      <c r="H2567" s="104">
        <f>L2560+D2567+D2569+D2571+D2573+A2570</f>
        <v>14225.65</v>
      </c>
      <c r="I2567" s="105"/>
      <c r="J2567" s="5"/>
      <c r="K2567" s="5"/>
      <c r="L2567" s="5"/>
    </row>
    <row r="2568" spans="1:12" x14ac:dyDescent="0.25">
      <c r="A2568" s="9" t="s">
        <v>43</v>
      </c>
      <c r="B2568" s="23">
        <f>D2559/B2566*100</f>
        <v>41.261872455902306</v>
      </c>
      <c r="C2568" s="5"/>
      <c r="D2568" s="106" t="s">
        <v>33</v>
      </c>
      <c r="E2568" s="107"/>
      <c r="F2568" s="5"/>
      <c r="G2568" s="13" t="s">
        <v>22</v>
      </c>
      <c r="H2568" s="6"/>
      <c r="I2568" s="26">
        <f>H2566-H2567</f>
        <v>14490.35</v>
      </c>
      <c r="J2568" s="5"/>
      <c r="K2568" s="5"/>
      <c r="L2568" s="5"/>
    </row>
    <row r="2569" spans="1:12" x14ac:dyDescent="0.25">
      <c r="A2569" s="106" t="s">
        <v>40</v>
      </c>
      <c r="B2569" s="107"/>
      <c r="C2569" s="5"/>
      <c r="D2569" s="149">
        <v>500</v>
      </c>
      <c r="E2569" s="150"/>
      <c r="F2569" s="5"/>
      <c r="G2569" s="5"/>
      <c r="H2569" s="5"/>
      <c r="I2569" s="5"/>
      <c r="J2569" s="5"/>
      <c r="K2569" s="5"/>
      <c r="L2569" s="5"/>
    </row>
    <row r="2570" spans="1:12" x14ac:dyDescent="0.25">
      <c r="A2570" s="108">
        <f>B2566*0.6</f>
        <v>884.4</v>
      </c>
      <c r="B2570" s="109"/>
      <c r="C2570" s="5"/>
      <c r="D2570" s="106" t="s">
        <v>34</v>
      </c>
      <c r="E2570" s="107"/>
      <c r="F2570" s="5"/>
      <c r="G2570" s="145" t="s">
        <v>292</v>
      </c>
      <c r="H2570" s="146"/>
      <c r="I2570" s="23">
        <f>B2566/2.3</f>
        <v>640.86956521739137</v>
      </c>
      <c r="J2570" s="60"/>
      <c r="K2570" s="5"/>
      <c r="L2570" s="5"/>
    </row>
    <row r="2571" spans="1:12" x14ac:dyDescent="0.25">
      <c r="A2571" s="5"/>
      <c r="B2571" s="5"/>
      <c r="C2571" s="5"/>
      <c r="D2571" s="108">
        <v>0</v>
      </c>
      <c r="E2571" s="109"/>
      <c r="F2571" s="5"/>
      <c r="G2571" s="145" t="s">
        <v>294</v>
      </c>
      <c r="H2571" s="146"/>
      <c r="I2571" s="23">
        <f>I2570-D2559</f>
        <v>32.669565217391323</v>
      </c>
      <c r="J2571" s="5"/>
      <c r="K2571" s="5"/>
      <c r="L2571" s="5"/>
    </row>
    <row r="2572" spans="1:12" x14ac:dyDescent="0.25">
      <c r="A2572" s="5"/>
      <c r="B2572" s="5"/>
      <c r="C2572" s="5"/>
      <c r="D2572" s="106" t="s">
        <v>37</v>
      </c>
      <c r="E2572" s="107"/>
      <c r="F2572" s="5"/>
      <c r="G2572" s="147" t="s">
        <v>295</v>
      </c>
      <c r="H2572" s="148"/>
      <c r="I2572" s="86">
        <f>I2571*F2559</f>
        <v>689.76990192013523</v>
      </c>
      <c r="J2572" s="87">
        <f>I2568-I2572</f>
        <v>13800.580098079865</v>
      </c>
      <c r="K2572" s="5"/>
      <c r="L2572" s="5"/>
    </row>
    <row r="2573" spans="1:12" x14ac:dyDescent="0.25">
      <c r="A2573" s="5"/>
      <c r="B2573" s="5"/>
      <c r="C2573" s="5"/>
      <c r="D2573" s="108">
        <v>0</v>
      </c>
      <c r="E2573" s="109"/>
      <c r="F2573" s="5" t="s">
        <v>78</v>
      </c>
      <c r="G2573" s="5"/>
      <c r="H2573" s="5"/>
      <c r="I2573" s="5"/>
      <c r="J2573" s="88" t="s">
        <v>293</v>
      </c>
      <c r="K2573" s="44"/>
      <c r="L2573" s="5"/>
    </row>
    <row r="2575" spans="1:12" s="49" customFormat="1" x14ac:dyDescent="0.25"/>
    <row r="2578" spans="1:13" x14ac:dyDescent="0.25">
      <c r="A2578" s="120" t="s">
        <v>24</v>
      </c>
      <c r="B2578" s="120"/>
      <c r="C2578" s="120"/>
      <c r="D2578" s="120"/>
      <c r="E2578" s="120"/>
      <c r="F2578" s="120"/>
      <c r="G2578" s="120"/>
      <c r="H2578" s="120"/>
      <c r="I2578" s="120"/>
      <c r="J2578" s="120"/>
      <c r="K2578" s="120"/>
      <c r="L2578" s="120"/>
    </row>
    <row r="2579" spans="1:13" x14ac:dyDescent="0.25">
      <c r="A2579" s="120"/>
      <c r="B2579" s="120"/>
      <c r="C2579" s="120"/>
      <c r="D2579" s="120"/>
      <c r="E2579" s="120"/>
      <c r="F2579" s="120"/>
      <c r="G2579" s="120"/>
      <c r="H2579" s="120"/>
      <c r="I2579" s="120"/>
      <c r="J2579" s="120"/>
      <c r="K2579" s="120"/>
      <c r="L2579" s="120"/>
    </row>
    <row r="2580" spans="1:13" x14ac:dyDescent="0.25">
      <c r="A2580" s="1" t="s">
        <v>4</v>
      </c>
      <c r="B2580" s="2"/>
      <c r="C2580" s="90"/>
      <c r="D2580" s="2"/>
      <c r="E2580" s="2"/>
      <c r="F2580" s="2"/>
      <c r="G2580" s="3" t="s">
        <v>5</v>
      </c>
      <c r="H2580" s="3" t="s">
        <v>6</v>
      </c>
      <c r="I2580" s="4" t="s">
        <v>7</v>
      </c>
      <c r="J2580" s="5"/>
      <c r="K2580" s="5"/>
      <c r="L2580" s="5"/>
    </row>
    <row r="2581" spans="1:13" x14ac:dyDescent="0.25">
      <c r="A2581" s="91" t="s">
        <v>359</v>
      </c>
      <c r="B2581" s="92" t="s">
        <v>42</v>
      </c>
      <c r="C2581" s="64"/>
      <c r="D2581" s="66"/>
      <c r="E2581" s="2"/>
      <c r="F2581" s="2"/>
      <c r="G2581" s="91" t="s">
        <v>299</v>
      </c>
      <c r="H2581" s="66"/>
      <c r="I2581" s="33"/>
      <c r="J2581" s="6"/>
      <c r="K2581" s="33"/>
      <c r="L2581" s="6"/>
    </row>
    <row r="2582" spans="1:13" x14ac:dyDescent="0.25">
      <c r="A2582" s="7" t="s">
        <v>2</v>
      </c>
      <c r="B2582" s="5"/>
      <c r="C2582" s="5"/>
      <c r="D2582" s="5"/>
      <c r="E2582" s="5"/>
      <c r="F2582" s="5"/>
      <c r="G2582" s="8" t="s">
        <v>8</v>
      </c>
      <c r="H2582" s="93">
        <v>3</v>
      </c>
      <c r="I2582" s="5"/>
      <c r="J2582" s="5"/>
      <c r="K2582" s="5"/>
      <c r="L2582" s="5"/>
    </row>
    <row r="2583" spans="1:13" x14ac:dyDescent="0.25">
      <c r="A2583" s="7" t="s">
        <v>25</v>
      </c>
      <c r="B2583" s="5"/>
      <c r="C2583" s="7" t="s">
        <v>0</v>
      </c>
      <c r="D2583" s="5"/>
      <c r="E2583" s="5"/>
      <c r="F2583" s="5"/>
      <c r="G2583" s="7" t="s">
        <v>25</v>
      </c>
      <c r="H2583" s="5"/>
      <c r="I2583" s="7" t="s">
        <v>0</v>
      </c>
      <c r="J2583" s="5"/>
      <c r="K2583" s="5"/>
      <c r="L2583" s="5"/>
    </row>
    <row r="2584" spans="1:13" x14ac:dyDescent="0.25">
      <c r="A2584" s="42" t="s">
        <v>480</v>
      </c>
      <c r="B2584" s="6"/>
      <c r="C2584" s="31">
        <f>L2543</f>
        <v>987195</v>
      </c>
      <c r="D2584" s="5"/>
      <c r="E2584" s="5"/>
      <c r="F2584" s="5"/>
      <c r="G2584" s="42"/>
      <c r="H2584" s="6"/>
      <c r="I2584" s="9"/>
      <c r="J2584" s="5"/>
      <c r="K2584" s="5"/>
      <c r="L2584" s="5"/>
    </row>
    <row r="2585" spans="1:13" ht="16.5" thickBot="1" x14ac:dyDescent="0.3">
      <c r="A2585" s="7"/>
      <c r="B2585" s="62"/>
      <c r="C2585" s="62"/>
      <c r="D2585" s="62"/>
      <c r="E2585" s="5"/>
      <c r="F2585" s="5"/>
      <c r="G2585" s="10"/>
      <c r="H2585" s="5"/>
      <c r="I2585" s="5"/>
      <c r="J2585" s="5"/>
      <c r="K2585" s="5"/>
      <c r="L2585" s="5"/>
    </row>
    <row r="2586" spans="1:13" ht="15.75" thickBot="1" x14ac:dyDescent="0.3">
      <c r="A2586" s="121" t="s">
        <v>9</v>
      </c>
      <c r="B2586" s="122"/>
      <c r="C2586" s="123"/>
      <c r="D2586" s="5"/>
      <c r="E2586" s="5"/>
      <c r="F2586" s="5"/>
      <c r="G2586" s="121" t="s">
        <v>26</v>
      </c>
      <c r="H2586" s="122"/>
      <c r="I2586" s="123"/>
      <c r="J2586" s="5"/>
      <c r="K2586" s="5"/>
      <c r="L2586" s="5"/>
    </row>
    <row r="2587" spans="1:13" x14ac:dyDescent="0.25">
      <c r="A2587" s="30" t="s">
        <v>38</v>
      </c>
      <c r="B2587" s="11"/>
      <c r="C2587" s="11"/>
      <c r="D2587" s="11"/>
      <c r="E2587" s="6"/>
      <c r="F2587" s="5"/>
      <c r="G2587" s="30" t="str">
        <f>A2590</f>
        <v>Cape Town</v>
      </c>
      <c r="H2587" s="11"/>
      <c r="I2587" s="11"/>
      <c r="J2587" s="11"/>
      <c r="K2587" s="11"/>
      <c r="L2587" s="6"/>
    </row>
    <row r="2588" spans="1:13" ht="15.75" thickBot="1" x14ac:dyDescent="0.3">
      <c r="A2588" s="7"/>
      <c r="B2588" s="7"/>
      <c r="C2588" s="7"/>
      <c r="D2588" s="5"/>
      <c r="E2588" s="5"/>
      <c r="F2588" s="5"/>
      <c r="G2588" s="7" t="str">
        <f>A2590</f>
        <v>Cape Town</v>
      </c>
      <c r="H2588" s="7"/>
      <c r="I2588" s="7"/>
      <c r="J2588" s="5"/>
      <c r="K2588" s="5"/>
      <c r="L2588" s="5"/>
    </row>
    <row r="2589" spans="1:13" ht="15.75" thickBot="1" x14ac:dyDescent="0.3">
      <c r="A2589" s="121"/>
      <c r="B2589" s="122"/>
      <c r="C2589" s="124"/>
      <c r="D2589" s="12" t="s">
        <v>1</v>
      </c>
      <c r="E2589" s="32"/>
      <c r="F2589" s="5"/>
      <c r="G2589" s="121" t="s">
        <v>27</v>
      </c>
      <c r="H2589" s="122"/>
      <c r="I2589" s="123"/>
      <c r="J2589" s="5"/>
      <c r="K2589" s="12" t="s">
        <v>1</v>
      </c>
      <c r="L2589" s="32">
        <v>990253</v>
      </c>
      <c r="M2589" t="s">
        <v>484</v>
      </c>
    </row>
    <row r="2590" spans="1:13" x14ac:dyDescent="0.25">
      <c r="A2590" s="30" t="s">
        <v>65</v>
      </c>
      <c r="B2590" s="11"/>
      <c r="C2590" s="11"/>
      <c r="D2590" s="11"/>
      <c r="E2590" s="6"/>
      <c r="F2590" s="5"/>
      <c r="G2590" s="30" t="s">
        <v>364</v>
      </c>
      <c r="H2590" s="11"/>
      <c r="I2590" s="11"/>
      <c r="J2590" s="11"/>
      <c r="K2590" s="11"/>
      <c r="L2590" s="6"/>
      <c r="M2590" t="s">
        <v>485</v>
      </c>
    </row>
    <row r="2591" spans="1:13" x14ac:dyDescent="0.25">
      <c r="A2591" s="76" t="s">
        <v>481</v>
      </c>
      <c r="B2591" s="11"/>
      <c r="C2591" s="11"/>
      <c r="D2591" s="11"/>
      <c r="E2591" s="6"/>
      <c r="F2591" s="5"/>
      <c r="G2591" s="34"/>
      <c r="H2591" s="11"/>
      <c r="I2591" s="11"/>
      <c r="J2591" s="11"/>
      <c r="K2591" s="11"/>
      <c r="L2591" s="6"/>
    </row>
    <row r="2592" spans="1:13" x14ac:dyDescent="0.25">
      <c r="A2592" s="13"/>
      <c r="B2592" s="11"/>
      <c r="C2592" s="11"/>
      <c r="D2592" s="11"/>
      <c r="E2592" s="6"/>
      <c r="F2592" s="5"/>
      <c r="G2592" s="13"/>
      <c r="H2592" s="11"/>
      <c r="I2592" s="11"/>
      <c r="J2592" s="11"/>
      <c r="K2592" s="11"/>
      <c r="L2592" s="6"/>
    </row>
    <row r="2593" spans="1:12" x14ac:dyDescent="0.25">
      <c r="A2593" s="13"/>
      <c r="B2593" s="11"/>
      <c r="C2593" s="11"/>
      <c r="D2593" s="11"/>
      <c r="E2593" s="6"/>
      <c r="F2593" s="5"/>
      <c r="G2593" s="13"/>
      <c r="H2593" s="11"/>
      <c r="I2593" s="11"/>
      <c r="J2593" s="11"/>
      <c r="K2593" s="11"/>
      <c r="L2593" s="6"/>
    </row>
    <row r="2594" spans="1:12" ht="15.75" thickBot="1" x14ac:dyDescent="0.3">
      <c r="A2594" s="13"/>
      <c r="B2594" s="11"/>
      <c r="C2594" s="11" t="s">
        <v>29</v>
      </c>
      <c r="D2594" s="43"/>
      <c r="E2594" s="6"/>
      <c r="F2594" s="5"/>
      <c r="G2594" s="13"/>
      <c r="H2594" s="11"/>
      <c r="I2594" s="14" t="s">
        <v>28</v>
      </c>
      <c r="J2594" s="43"/>
      <c r="K2594" s="59"/>
      <c r="L2594" s="6"/>
    </row>
    <row r="2595" spans="1:12" ht="15.75" thickBot="1" x14ac:dyDescent="0.3">
      <c r="A2595" s="15" t="s">
        <v>10</v>
      </c>
      <c r="B2595" s="5"/>
      <c r="C2595" s="5"/>
      <c r="D2595" s="5"/>
      <c r="E2595" s="5"/>
      <c r="F2595" s="5"/>
      <c r="G2595" s="15" t="s">
        <v>14</v>
      </c>
      <c r="H2595" s="5"/>
      <c r="I2595" s="5"/>
      <c r="J2595" s="5"/>
      <c r="K2595" s="5"/>
      <c r="L2595" s="5"/>
    </row>
    <row r="2596" spans="1:12" ht="15.75" thickBot="1" x14ac:dyDescent="0.3">
      <c r="A2596" s="121" t="s">
        <v>11</v>
      </c>
      <c r="B2596" s="122"/>
      <c r="C2596" s="123"/>
      <c r="D2596" s="16" t="s">
        <v>12</v>
      </c>
      <c r="E2596" s="16" t="s">
        <v>13</v>
      </c>
      <c r="F2596" s="5"/>
      <c r="G2596" s="121" t="s">
        <v>15</v>
      </c>
      <c r="H2596" s="122"/>
      <c r="I2596" s="123"/>
      <c r="J2596" s="121"/>
      <c r="K2596" s="123"/>
      <c r="L2596" s="5"/>
    </row>
    <row r="2597" spans="1:12" x14ac:dyDescent="0.25">
      <c r="A2597" s="94" t="s">
        <v>478</v>
      </c>
      <c r="B2597" s="46" t="s">
        <v>66</v>
      </c>
      <c r="C2597" s="47"/>
      <c r="D2597" s="56">
        <v>258.14999999999998</v>
      </c>
      <c r="E2597" s="57">
        <v>5607</v>
      </c>
      <c r="F2597" s="44">
        <f>E2597/D2597</f>
        <v>21.719930273097038</v>
      </c>
      <c r="G2597" s="125" t="s">
        <v>69</v>
      </c>
      <c r="H2597" s="126"/>
      <c r="I2597" s="127"/>
      <c r="J2597" s="128">
        <v>0</v>
      </c>
      <c r="K2597" s="129"/>
      <c r="L2597" s="5"/>
    </row>
    <row r="2598" spans="1:12" x14ac:dyDescent="0.25">
      <c r="A2598" s="94" t="s">
        <v>482</v>
      </c>
      <c r="B2598" s="46" t="s">
        <v>483</v>
      </c>
      <c r="C2598" s="47"/>
      <c r="D2598" s="56">
        <v>200</v>
      </c>
      <c r="E2598" s="57">
        <v>4242</v>
      </c>
      <c r="F2598" s="44">
        <f t="shared" ref="F2598:F2600" si="0">E2598/D2598</f>
        <v>21.21</v>
      </c>
      <c r="G2598" s="110" t="s">
        <v>59</v>
      </c>
      <c r="H2598" s="111"/>
      <c r="I2598" s="112"/>
      <c r="J2598" s="113"/>
      <c r="K2598" s="114"/>
      <c r="L2598" s="5"/>
    </row>
    <row r="2599" spans="1:12" x14ac:dyDescent="0.25">
      <c r="A2599" s="94" t="s">
        <v>482</v>
      </c>
      <c r="B2599" s="46" t="s">
        <v>66</v>
      </c>
      <c r="C2599" s="47"/>
      <c r="D2599" s="56">
        <v>466.47</v>
      </c>
      <c r="E2599" s="57">
        <v>10131.75</v>
      </c>
      <c r="F2599" s="44">
        <f t="shared" si="0"/>
        <v>21.720046305228632</v>
      </c>
      <c r="G2599" s="110" t="s">
        <v>61</v>
      </c>
      <c r="H2599" s="111"/>
      <c r="I2599" s="112"/>
      <c r="J2599" s="113"/>
      <c r="K2599" s="114"/>
      <c r="L2599" s="5"/>
    </row>
    <row r="2600" spans="1:12" x14ac:dyDescent="0.25">
      <c r="A2600" s="94" t="s">
        <v>486</v>
      </c>
      <c r="B2600" s="46" t="s">
        <v>47</v>
      </c>
      <c r="C2600" s="47"/>
      <c r="D2600" s="56">
        <v>459.1</v>
      </c>
      <c r="E2600" s="57">
        <v>9692.8700000000008</v>
      </c>
      <c r="F2600" s="44">
        <f t="shared" si="0"/>
        <v>21.112764103681116</v>
      </c>
      <c r="G2600" s="110" t="s">
        <v>51</v>
      </c>
      <c r="H2600" s="111"/>
      <c r="I2600" s="112"/>
      <c r="J2600" s="113"/>
      <c r="K2600" s="114"/>
      <c r="L2600" s="5"/>
    </row>
    <row r="2601" spans="1:12" x14ac:dyDescent="0.25">
      <c r="A2601" s="48"/>
      <c r="B2601" s="46"/>
      <c r="C2601" s="39"/>
      <c r="D2601" s="52"/>
      <c r="E2601" s="53"/>
      <c r="F2601" s="44"/>
      <c r="G2601" s="110" t="s">
        <v>58</v>
      </c>
      <c r="H2601" s="111"/>
      <c r="I2601" s="112"/>
      <c r="J2601" s="113"/>
      <c r="K2601" s="114"/>
      <c r="L2601" s="5"/>
    </row>
    <row r="2602" spans="1:12" x14ac:dyDescent="0.25">
      <c r="A2602" s="48"/>
      <c r="B2602" s="35"/>
      <c r="C2602" s="39"/>
      <c r="D2602" s="52"/>
      <c r="E2602" s="53"/>
      <c r="F2602" s="44"/>
      <c r="G2602" s="110" t="s">
        <v>51</v>
      </c>
      <c r="H2602" s="111"/>
      <c r="I2602" s="112"/>
      <c r="J2602" s="113"/>
      <c r="K2602" s="114"/>
      <c r="L2602" s="5"/>
    </row>
    <row r="2603" spans="1:12" x14ac:dyDescent="0.25">
      <c r="A2603" s="48"/>
      <c r="B2603" s="35"/>
      <c r="C2603" s="39"/>
      <c r="D2603" s="52"/>
      <c r="E2603" s="53"/>
      <c r="F2603" s="44"/>
      <c r="G2603" s="77"/>
      <c r="H2603" s="78" t="s">
        <v>69</v>
      </c>
      <c r="I2603" s="79"/>
      <c r="J2603" s="113">
        <v>0</v>
      </c>
      <c r="K2603" s="114"/>
      <c r="L2603" s="5"/>
    </row>
    <row r="2604" spans="1:12" x14ac:dyDescent="0.25">
      <c r="A2604" s="38"/>
      <c r="B2604" s="35"/>
      <c r="C2604" s="39"/>
      <c r="D2604" s="52"/>
      <c r="E2604" s="53"/>
      <c r="F2604" s="44"/>
      <c r="G2604" s="77"/>
      <c r="H2604" s="78" t="s">
        <v>72</v>
      </c>
      <c r="I2604" s="79"/>
      <c r="J2604" s="113"/>
      <c r="K2604" s="114"/>
      <c r="L2604" s="5"/>
    </row>
    <row r="2605" spans="1:12" ht="15.75" thickBot="1" x14ac:dyDescent="0.3">
      <c r="A2605" s="5"/>
      <c r="B2605" s="5"/>
      <c r="C2605" s="7" t="s">
        <v>35</v>
      </c>
      <c r="D2605" s="17">
        <f>SUM(D2597:D2604)</f>
        <v>1383.72</v>
      </c>
      <c r="E2605" s="17">
        <f>SUM(E2597:E2604)</f>
        <v>29673.620000000003</v>
      </c>
      <c r="F2605" s="89">
        <f>AVERAGE(F2597:F2601)</f>
        <v>21.440685170501698</v>
      </c>
      <c r="G2605" s="110" t="s">
        <v>73</v>
      </c>
      <c r="H2605" s="111"/>
      <c r="I2605" s="112"/>
      <c r="J2605" s="113"/>
      <c r="K2605" s="114"/>
      <c r="L2605" s="7" t="s">
        <v>36</v>
      </c>
    </row>
    <row r="2606" spans="1:12" ht="15.75" thickBot="1" x14ac:dyDescent="0.3">
      <c r="A2606" s="5"/>
      <c r="B2606" s="5"/>
      <c r="C2606" s="5"/>
      <c r="D2606" s="5"/>
      <c r="E2606" s="5"/>
      <c r="F2606" s="5"/>
      <c r="G2606" s="130"/>
      <c r="H2606" s="131"/>
      <c r="I2606" s="132"/>
      <c r="J2606" s="133"/>
      <c r="K2606" s="134"/>
      <c r="L2606" s="18">
        <f>J2597+J2598+J2599+J2600+J2601+J2602+J2603+J2604+J2605</f>
        <v>0</v>
      </c>
    </row>
    <row r="2607" spans="1:12" ht="15.75" thickBot="1" x14ac:dyDescent="0.3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</row>
    <row r="2608" spans="1:12" ht="15.75" thickBot="1" x14ac:dyDescent="0.3">
      <c r="A2608" s="19"/>
      <c r="B2608" s="20"/>
      <c r="C2608" s="20"/>
      <c r="D2608" s="20"/>
      <c r="E2608" s="21" t="s">
        <v>13</v>
      </c>
      <c r="F2608" s="5"/>
      <c r="G2608" s="19"/>
      <c r="H2608" s="20"/>
      <c r="I2608" s="20"/>
      <c r="J2608" s="20"/>
      <c r="K2608" s="21" t="s">
        <v>13</v>
      </c>
      <c r="L2608" s="5"/>
    </row>
    <row r="2609" spans="1:12" x14ac:dyDescent="0.25">
      <c r="A2609" s="22" t="s">
        <v>31</v>
      </c>
      <c r="B2609" s="115">
        <v>18998</v>
      </c>
      <c r="C2609" s="116"/>
      <c r="D2609" s="116"/>
      <c r="E2609" s="117"/>
      <c r="F2609" s="5"/>
      <c r="G2609" s="22" t="s">
        <v>32</v>
      </c>
      <c r="H2609" s="115">
        <v>43195</v>
      </c>
      <c r="I2609" s="116"/>
      <c r="J2609" s="116"/>
      <c r="K2609" s="117"/>
      <c r="L2609" s="5"/>
    </row>
    <row r="2610" spans="1:12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</row>
    <row r="2611" spans="1:12" x14ac:dyDescent="0.25">
      <c r="A2611" s="7" t="s">
        <v>16</v>
      </c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</row>
    <row r="2612" spans="1:12" x14ac:dyDescent="0.25">
      <c r="A2612" s="9" t="s">
        <v>17</v>
      </c>
      <c r="B2612" s="23">
        <f>L2589-C2584</f>
        <v>3058</v>
      </c>
      <c r="C2612" s="5"/>
      <c r="D2612" s="106" t="s">
        <v>18</v>
      </c>
      <c r="E2612" s="107"/>
      <c r="F2612" s="24" t="s">
        <v>19</v>
      </c>
      <c r="G2612" s="9" t="s">
        <v>20</v>
      </c>
      <c r="H2612" s="118">
        <f>B2609+H2609</f>
        <v>62193</v>
      </c>
      <c r="I2612" s="119"/>
      <c r="J2612" s="60"/>
      <c r="K2612" s="5"/>
      <c r="L2612" s="5"/>
    </row>
    <row r="2613" spans="1:12" x14ac:dyDescent="0.25">
      <c r="A2613" s="9" t="s">
        <v>41</v>
      </c>
      <c r="B2613" s="40">
        <f>B2612/D2605</f>
        <v>2.2099846789812969</v>
      </c>
      <c r="C2613" s="5"/>
      <c r="D2613" s="102">
        <f>E2605</f>
        <v>29673.620000000003</v>
      </c>
      <c r="E2613" s="103"/>
      <c r="F2613" s="25">
        <f>H2613/B2612</f>
        <v>10.467109221713539</v>
      </c>
      <c r="G2613" s="9" t="s">
        <v>21</v>
      </c>
      <c r="H2613" s="104">
        <f>L2606+D2613+D2615+D2617+D2619+A2616</f>
        <v>32008.420000000002</v>
      </c>
      <c r="I2613" s="105"/>
      <c r="J2613" s="5"/>
      <c r="K2613" s="5"/>
      <c r="L2613" s="5"/>
    </row>
    <row r="2614" spans="1:12" x14ac:dyDescent="0.25">
      <c r="A2614" s="9" t="s">
        <v>43</v>
      </c>
      <c r="B2614" s="23">
        <f>D2605/B2612*100</f>
        <v>45.249182472204055</v>
      </c>
      <c r="C2614" s="5"/>
      <c r="D2614" s="106" t="s">
        <v>33</v>
      </c>
      <c r="E2614" s="107"/>
      <c r="F2614" s="5"/>
      <c r="G2614" s="13" t="s">
        <v>22</v>
      </c>
      <c r="H2614" s="6"/>
      <c r="I2614" s="26">
        <f>H2612-H2613</f>
        <v>30184.579999999998</v>
      </c>
      <c r="J2614" s="5"/>
      <c r="K2614" s="5"/>
      <c r="L2614" s="5"/>
    </row>
    <row r="2615" spans="1:12" x14ac:dyDescent="0.25">
      <c r="A2615" s="106" t="s">
        <v>40</v>
      </c>
      <c r="B2615" s="107"/>
      <c r="C2615" s="5"/>
      <c r="D2615" s="149">
        <v>500</v>
      </c>
      <c r="E2615" s="150"/>
      <c r="F2615" s="5"/>
      <c r="G2615" s="5"/>
      <c r="H2615" s="5"/>
      <c r="I2615" s="5"/>
      <c r="J2615" s="5"/>
      <c r="K2615" s="5"/>
      <c r="L2615" s="5"/>
    </row>
    <row r="2616" spans="1:12" x14ac:dyDescent="0.25">
      <c r="A2616" s="108">
        <f>B2612*0.6</f>
        <v>1834.8</v>
      </c>
      <c r="B2616" s="109"/>
      <c r="C2616" s="5"/>
      <c r="D2616" s="106" t="s">
        <v>34</v>
      </c>
      <c r="E2616" s="107"/>
      <c r="F2616" s="5"/>
      <c r="G2616" s="145" t="s">
        <v>292</v>
      </c>
      <c r="H2616" s="146"/>
      <c r="I2616" s="23">
        <f>B2612/2.3</f>
        <v>1329.5652173913045</v>
      </c>
      <c r="J2616" s="60"/>
      <c r="K2616" s="5"/>
      <c r="L2616" s="5"/>
    </row>
    <row r="2617" spans="1:12" x14ac:dyDescent="0.25">
      <c r="A2617" s="5">
        <v>2220</v>
      </c>
      <c r="B2617" s="5">
        <v>3058</v>
      </c>
      <c r="C2617" s="5"/>
      <c r="D2617" s="108">
        <v>0</v>
      </c>
      <c r="E2617" s="109"/>
      <c r="F2617" s="5"/>
      <c r="G2617" s="145" t="s">
        <v>294</v>
      </c>
      <c r="H2617" s="146"/>
      <c r="I2617" s="23">
        <f>I2616-D2605</f>
        <v>-54.154782608695541</v>
      </c>
      <c r="J2617" s="5"/>
      <c r="K2617" s="5"/>
      <c r="L2617" s="5"/>
    </row>
    <row r="2618" spans="1:12" x14ac:dyDescent="0.25">
      <c r="A2618" s="5">
        <v>1332</v>
      </c>
      <c r="B2618" s="5">
        <v>1835</v>
      </c>
      <c r="C2618" s="5"/>
      <c r="D2618" s="106" t="s">
        <v>37</v>
      </c>
      <c r="E2618" s="107"/>
      <c r="F2618" s="5"/>
      <c r="G2618" s="147" t="s">
        <v>295</v>
      </c>
      <c r="H2618" s="148"/>
      <c r="I2618" s="86">
        <f>I2617*F2605</f>
        <v>-1161.1156443900018</v>
      </c>
      <c r="J2618" s="87">
        <f>I2614-I2618</f>
        <v>31345.695644389998</v>
      </c>
      <c r="K2618" s="5"/>
      <c r="L2618" s="5"/>
    </row>
    <row r="2619" spans="1:12" x14ac:dyDescent="0.25">
      <c r="A2619" s="5"/>
      <c r="B2619" s="5">
        <f>B2618-A2618</f>
        <v>503</v>
      </c>
      <c r="C2619" s="5"/>
      <c r="D2619" s="108">
        <v>0</v>
      </c>
      <c r="E2619" s="109"/>
      <c r="F2619" s="5" t="s">
        <v>78</v>
      </c>
      <c r="G2619" s="5"/>
      <c r="H2619" s="5"/>
      <c r="I2619" s="5"/>
      <c r="J2619" s="88" t="s">
        <v>293</v>
      </c>
      <c r="K2619" s="44"/>
      <c r="L2619" s="5"/>
    </row>
    <row r="2620" spans="1:12" x14ac:dyDescent="0.25">
      <c r="B2620" t="s">
        <v>487</v>
      </c>
    </row>
    <row r="2621" spans="1:12" s="49" customFormat="1" x14ac:dyDescent="0.25"/>
    <row r="2624" spans="1:12" x14ac:dyDescent="0.25">
      <c r="A2624" s="120" t="s">
        <v>24</v>
      </c>
      <c r="B2624" s="120"/>
      <c r="C2624" s="120"/>
      <c r="D2624" s="120"/>
      <c r="E2624" s="120"/>
      <c r="F2624" s="120"/>
      <c r="G2624" s="120"/>
      <c r="H2624" s="120"/>
      <c r="I2624" s="120"/>
      <c r="J2624" s="120"/>
      <c r="K2624" s="120"/>
      <c r="L2624" s="120"/>
    </row>
    <row r="2625" spans="1:12" x14ac:dyDescent="0.25">
      <c r="A2625" s="120"/>
      <c r="B2625" s="120"/>
      <c r="C2625" s="120"/>
      <c r="D2625" s="120"/>
      <c r="E2625" s="120"/>
      <c r="F2625" s="120"/>
      <c r="G2625" s="120"/>
      <c r="H2625" s="120"/>
      <c r="I2625" s="120"/>
      <c r="J2625" s="120"/>
      <c r="K2625" s="120"/>
      <c r="L2625" s="120"/>
    </row>
    <row r="2626" spans="1:12" x14ac:dyDescent="0.25">
      <c r="A2626" s="1" t="s">
        <v>4</v>
      </c>
      <c r="B2626" s="2"/>
      <c r="C2626" s="90"/>
      <c r="D2626" s="2"/>
      <c r="E2626" s="2"/>
      <c r="F2626" s="2"/>
      <c r="G2626" s="3" t="s">
        <v>5</v>
      </c>
      <c r="H2626" s="3" t="s">
        <v>6</v>
      </c>
      <c r="I2626" s="4" t="s">
        <v>7</v>
      </c>
      <c r="J2626" s="5"/>
      <c r="K2626" s="5"/>
      <c r="L2626" s="5"/>
    </row>
    <row r="2627" spans="1:12" x14ac:dyDescent="0.25">
      <c r="A2627" s="91" t="s">
        <v>359</v>
      </c>
      <c r="B2627" s="92" t="s">
        <v>42</v>
      </c>
      <c r="C2627" s="64"/>
      <c r="D2627" s="66"/>
      <c r="E2627" s="2"/>
      <c r="F2627" s="2"/>
      <c r="G2627" s="91" t="s">
        <v>299</v>
      </c>
      <c r="H2627" s="66"/>
      <c r="I2627" s="33"/>
      <c r="J2627" s="6"/>
      <c r="K2627" s="33"/>
      <c r="L2627" s="6"/>
    </row>
    <row r="2628" spans="1:12" x14ac:dyDescent="0.25">
      <c r="A2628" s="7" t="s">
        <v>2</v>
      </c>
      <c r="B2628" s="5"/>
      <c r="C2628" s="5"/>
      <c r="D2628" s="5"/>
      <c r="E2628" s="5"/>
      <c r="F2628" s="5"/>
      <c r="G2628" s="8" t="s">
        <v>8</v>
      </c>
      <c r="H2628" s="93">
        <v>3</v>
      </c>
      <c r="I2628" s="5"/>
      <c r="J2628" s="5"/>
      <c r="K2628" s="5"/>
      <c r="L2628" s="5"/>
    </row>
    <row r="2629" spans="1:12" x14ac:dyDescent="0.25">
      <c r="A2629" s="7" t="s">
        <v>25</v>
      </c>
      <c r="B2629" s="5"/>
      <c r="C2629" s="7" t="s">
        <v>0</v>
      </c>
      <c r="D2629" s="5"/>
      <c r="E2629" s="5"/>
      <c r="F2629" s="5"/>
      <c r="G2629" s="7" t="s">
        <v>25</v>
      </c>
      <c r="H2629" s="5"/>
      <c r="I2629" s="7" t="s">
        <v>0</v>
      </c>
      <c r="J2629" s="5"/>
      <c r="K2629" s="5"/>
      <c r="L2629" s="5"/>
    </row>
    <row r="2630" spans="1:12" x14ac:dyDescent="0.25">
      <c r="A2630" s="42" t="s">
        <v>488</v>
      </c>
      <c r="B2630" s="6"/>
      <c r="C2630" s="31">
        <f>L2589</f>
        <v>990253</v>
      </c>
      <c r="D2630" s="5"/>
      <c r="E2630" s="5"/>
      <c r="F2630" s="5"/>
      <c r="G2630" s="42"/>
      <c r="H2630" s="6"/>
      <c r="I2630" s="9"/>
      <c r="J2630" s="5"/>
      <c r="K2630" s="5"/>
      <c r="L2630" s="5"/>
    </row>
    <row r="2631" spans="1:12" ht="16.5" thickBot="1" x14ac:dyDescent="0.3">
      <c r="A2631" s="7"/>
      <c r="B2631" s="62"/>
      <c r="C2631" s="62"/>
      <c r="D2631" s="62"/>
      <c r="E2631" s="5"/>
      <c r="F2631" s="5"/>
      <c r="G2631" s="10"/>
      <c r="H2631" s="5"/>
      <c r="I2631" s="5"/>
      <c r="J2631" s="5"/>
      <c r="K2631" s="5"/>
      <c r="L2631" s="5"/>
    </row>
    <row r="2632" spans="1:12" ht="15.75" thickBot="1" x14ac:dyDescent="0.3">
      <c r="A2632" s="121" t="s">
        <v>9</v>
      </c>
      <c r="B2632" s="122"/>
      <c r="C2632" s="123"/>
      <c r="D2632" s="5"/>
      <c r="E2632" s="5"/>
      <c r="F2632" s="5"/>
      <c r="G2632" s="121" t="s">
        <v>26</v>
      </c>
      <c r="H2632" s="122"/>
      <c r="I2632" s="123"/>
      <c r="J2632" s="5"/>
      <c r="K2632" s="5"/>
      <c r="L2632" s="5"/>
    </row>
    <row r="2633" spans="1:12" x14ac:dyDescent="0.25">
      <c r="A2633" s="30" t="s">
        <v>38</v>
      </c>
      <c r="B2633" s="11"/>
      <c r="C2633" s="11"/>
      <c r="D2633" s="11"/>
      <c r="E2633" s="6"/>
      <c r="F2633" s="5"/>
      <c r="G2633" s="30" t="str">
        <f>A2636</f>
        <v>Cape Town</v>
      </c>
      <c r="H2633" s="11"/>
      <c r="I2633" s="11"/>
      <c r="J2633" s="11"/>
      <c r="K2633" s="11"/>
      <c r="L2633" s="6"/>
    </row>
    <row r="2634" spans="1:12" ht="15.75" thickBot="1" x14ac:dyDescent="0.3">
      <c r="A2634" s="7"/>
      <c r="B2634" s="7"/>
      <c r="C2634" s="7"/>
      <c r="D2634" s="5"/>
      <c r="E2634" s="5"/>
      <c r="F2634" s="5"/>
      <c r="G2634" s="7" t="str">
        <f>A2636</f>
        <v>Cape Town</v>
      </c>
      <c r="H2634" s="7"/>
      <c r="I2634" s="7"/>
      <c r="J2634" s="5"/>
      <c r="K2634" s="5"/>
      <c r="L2634" s="5"/>
    </row>
    <row r="2635" spans="1:12" ht="15.75" thickBot="1" x14ac:dyDescent="0.3">
      <c r="A2635" s="121"/>
      <c r="B2635" s="122"/>
      <c r="C2635" s="124"/>
      <c r="D2635" s="12" t="s">
        <v>1</v>
      </c>
      <c r="E2635" s="32"/>
      <c r="F2635" s="5"/>
      <c r="G2635" s="121" t="s">
        <v>27</v>
      </c>
      <c r="H2635" s="122"/>
      <c r="I2635" s="123"/>
      <c r="J2635" s="5"/>
      <c r="K2635" s="12" t="s">
        <v>1</v>
      </c>
      <c r="L2635" s="32">
        <v>993303</v>
      </c>
    </row>
    <row r="2636" spans="1:12" x14ac:dyDescent="0.25">
      <c r="A2636" s="30" t="s">
        <v>65</v>
      </c>
      <c r="B2636" s="11"/>
      <c r="C2636" s="11"/>
      <c r="D2636" s="11"/>
      <c r="E2636" s="6"/>
      <c r="F2636" s="5"/>
      <c r="G2636" s="30" t="s">
        <v>364</v>
      </c>
      <c r="H2636" s="11"/>
      <c r="I2636" s="11"/>
      <c r="J2636" s="11"/>
      <c r="K2636" s="11"/>
      <c r="L2636" s="6"/>
    </row>
    <row r="2637" spans="1:12" x14ac:dyDescent="0.25">
      <c r="A2637" s="76" t="s">
        <v>481</v>
      </c>
      <c r="B2637" s="11"/>
      <c r="C2637" s="11"/>
      <c r="D2637" s="11"/>
      <c r="E2637" s="6"/>
      <c r="F2637" s="5"/>
      <c r="G2637" s="34"/>
      <c r="H2637" s="11"/>
      <c r="I2637" s="11"/>
      <c r="J2637" s="11"/>
      <c r="K2637" s="11"/>
      <c r="L2637" s="6"/>
    </row>
    <row r="2638" spans="1:12" x14ac:dyDescent="0.25">
      <c r="A2638" s="13"/>
      <c r="B2638" s="11"/>
      <c r="C2638" s="11"/>
      <c r="D2638" s="11"/>
      <c r="E2638" s="6"/>
      <c r="F2638" s="5"/>
      <c r="G2638" s="13"/>
      <c r="H2638" s="11"/>
      <c r="I2638" s="11"/>
      <c r="J2638" s="11"/>
      <c r="K2638" s="11"/>
      <c r="L2638" s="6"/>
    </row>
    <row r="2639" spans="1:12" x14ac:dyDescent="0.25">
      <c r="A2639" s="13"/>
      <c r="B2639" s="11"/>
      <c r="C2639" s="11"/>
      <c r="D2639" s="11"/>
      <c r="E2639" s="6"/>
      <c r="F2639" s="5"/>
      <c r="G2639" s="13"/>
      <c r="H2639" s="11"/>
      <c r="I2639" s="11"/>
      <c r="J2639" s="11"/>
      <c r="K2639" s="11"/>
      <c r="L2639" s="6"/>
    </row>
    <row r="2640" spans="1:12" ht="15.75" thickBot="1" x14ac:dyDescent="0.3">
      <c r="A2640" s="13"/>
      <c r="B2640" s="11"/>
      <c r="C2640" s="11" t="s">
        <v>29</v>
      </c>
      <c r="D2640" s="43"/>
      <c r="E2640" s="6"/>
      <c r="F2640" s="5"/>
      <c r="G2640" s="13"/>
      <c r="H2640" s="11"/>
      <c r="I2640" s="14" t="s">
        <v>28</v>
      </c>
      <c r="J2640" s="43"/>
      <c r="K2640" s="59"/>
      <c r="L2640" s="6"/>
    </row>
    <row r="2641" spans="1:12" ht="15.75" thickBot="1" x14ac:dyDescent="0.3">
      <c r="A2641" s="15" t="s">
        <v>10</v>
      </c>
      <c r="B2641" s="5"/>
      <c r="C2641" s="5"/>
      <c r="D2641" s="5"/>
      <c r="E2641" s="5"/>
      <c r="F2641" s="5"/>
      <c r="G2641" s="15" t="s">
        <v>14</v>
      </c>
      <c r="H2641" s="5"/>
      <c r="I2641" s="5"/>
      <c r="J2641" s="5"/>
      <c r="K2641" s="5"/>
      <c r="L2641" s="5"/>
    </row>
    <row r="2642" spans="1:12" ht="15.75" thickBot="1" x14ac:dyDescent="0.3">
      <c r="A2642" s="121" t="s">
        <v>11</v>
      </c>
      <c r="B2642" s="122"/>
      <c r="C2642" s="123"/>
      <c r="D2642" s="16" t="s">
        <v>12</v>
      </c>
      <c r="E2642" s="16" t="s">
        <v>13</v>
      </c>
      <c r="F2642" s="5"/>
      <c r="G2642" s="121" t="s">
        <v>15</v>
      </c>
      <c r="H2642" s="122"/>
      <c r="I2642" s="123"/>
      <c r="J2642" s="121"/>
      <c r="K2642" s="123"/>
      <c r="L2642" s="5"/>
    </row>
    <row r="2643" spans="1:12" x14ac:dyDescent="0.25">
      <c r="A2643" s="94">
        <v>45663</v>
      </c>
      <c r="B2643" s="46" t="s">
        <v>66</v>
      </c>
      <c r="C2643" s="47"/>
      <c r="D2643" s="56">
        <v>273.38</v>
      </c>
      <c r="E2643" s="57">
        <v>5937.8</v>
      </c>
      <c r="F2643" s="44">
        <f>E2643/D2643</f>
        <v>21.719950252395932</v>
      </c>
      <c r="G2643" s="125" t="s">
        <v>69</v>
      </c>
      <c r="H2643" s="126"/>
      <c r="I2643" s="127"/>
      <c r="J2643" s="128">
        <v>0</v>
      </c>
      <c r="K2643" s="129"/>
      <c r="L2643" s="5"/>
    </row>
    <row r="2644" spans="1:12" x14ac:dyDescent="0.25">
      <c r="A2644" s="94">
        <v>45694</v>
      </c>
      <c r="B2644" s="46" t="s">
        <v>483</v>
      </c>
      <c r="C2644" s="47"/>
      <c r="D2644" s="56">
        <v>200</v>
      </c>
      <c r="E2644" s="57">
        <v>4242</v>
      </c>
      <c r="F2644" s="44">
        <f t="shared" ref="F2644:F2646" si="1">E2644/D2644</f>
        <v>21.21</v>
      </c>
      <c r="G2644" s="110" t="s">
        <v>59</v>
      </c>
      <c r="H2644" s="111"/>
      <c r="I2644" s="112"/>
      <c r="J2644" s="113"/>
      <c r="K2644" s="114"/>
      <c r="L2644" s="5"/>
    </row>
    <row r="2645" spans="1:12" x14ac:dyDescent="0.25">
      <c r="A2645" s="94">
        <v>45722</v>
      </c>
      <c r="B2645" s="46" t="s">
        <v>66</v>
      </c>
      <c r="C2645" s="47"/>
      <c r="D2645" s="56">
        <v>546.98</v>
      </c>
      <c r="E2645" s="57">
        <v>11880.4</v>
      </c>
      <c r="F2645" s="44">
        <f t="shared" si="1"/>
        <v>21.719989761965703</v>
      </c>
      <c r="G2645" s="110" t="s">
        <v>61</v>
      </c>
      <c r="H2645" s="111"/>
      <c r="I2645" s="112"/>
      <c r="J2645" s="113"/>
      <c r="K2645" s="114"/>
      <c r="L2645" s="5"/>
    </row>
    <row r="2646" spans="1:12" x14ac:dyDescent="0.25">
      <c r="A2646" s="94">
        <v>45753</v>
      </c>
      <c r="B2646" s="46" t="s">
        <v>47</v>
      </c>
      <c r="C2646" s="47"/>
      <c r="D2646" s="56">
        <v>398.15199999999999</v>
      </c>
      <c r="E2646" s="57">
        <v>8126.24</v>
      </c>
      <c r="F2646" s="44">
        <f t="shared" si="1"/>
        <v>20.409893708935282</v>
      </c>
      <c r="G2646" s="110" t="s">
        <v>51</v>
      </c>
      <c r="H2646" s="111"/>
      <c r="I2646" s="112"/>
      <c r="J2646" s="113"/>
      <c r="K2646" s="114"/>
      <c r="L2646" s="5"/>
    </row>
    <row r="2647" spans="1:12" x14ac:dyDescent="0.25">
      <c r="A2647" s="48"/>
      <c r="B2647" s="46"/>
      <c r="C2647" s="39"/>
      <c r="D2647" s="52"/>
      <c r="E2647" s="53"/>
      <c r="F2647" s="44"/>
      <c r="G2647" s="110" t="s">
        <v>58</v>
      </c>
      <c r="H2647" s="111"/>
      <c r="I2647" s="112"/>
      <c r="J2647" s="113"/>
      <c r="K2647" s="114"/>
      <c r="L2647" s="5"/>
    </row>
    <row r="2648" spans="1:12" x14ac:dyDescent="0.25">
      <c r="A2648" s="48"/>
      <c r="B2648" s="35"/>
      <c r="C2648" s="39"/>
      <c r="D2648" s="52"/>
      <c r="E2648" s="53"/>
      <c r="F2648" s="44"/>
      <c r="G2648" s="110" t="s">
        <v>51</v>
      </c>
      <c r="H2648" s="111"/>
      <c r="I2648" s="112"/>
      <c r="J2648" s="113"/>
      <c r="K2648" s="114"/>
      <c r="L2648" s="5"/>
    </row>
    <row r="2649" spans="1:12" x14ac:dyDescent="0.25">
      <c r="A2649" s="48"/>
      <c r="B2649" s="35"/>
      <c r="C2649" s="39"/>
      <c r="D2649" s="52"/>
      <c r="E2649" s="53"/>
      <c r="F2649" s="44"/>
      <c r="G2649" s="77"/>
      <c r="H2649" s="78" t="s">
        <v>69</v>
      </c>
      <c r="I2649" s="79"/>
      <c r="J2649" s="113">
        <v>0</v>
      </c>
      <c r="K2649" s="114"/>
      <c r="L2649" s="5"/>
    </row>
    <row r="2650" spans="1:12" x14ac:dyDescent="0.25">
      <c r="A2650" s="38"/>
      <c r="B2650" s="35"/>
      <c r="C2650" s="39"/>
      <c r="D2650" s="52"/>
      <c r="E2650" s="53"/>
      <c r="F2650" s="44"/>
      <c r="G2650" s="77"/>
      <c r="H2650" s="78" t="s">
        <v>72</v>
      </c>
      <c r="I2650" s="79"/>
      <c r="J2650" s="113"/>
      <c r="K2650" s="114"/>
      <c r="L2650" s="5"/>
    </row>
    <row r="2651" spans="1:12" ht="15.75" thickBot="1" x14ac:dyDescent="0.3">
      <c r="A2651" s="5"/>
      <c r="B2651" s="5"/>
      <c r="C2651" s="7" t="s">
        <v>35</v>
      </c>
      <c r="D2651" s="17">
        <f>SUM(D2643:D2650)</f>
        <v>1418.5119999999999</v>
      </c>
      <c r="E2651" s="17">
        <f>SUM(E2643:E2650)</f>
        <v>30186.439999999995</v>
      </c>
      <c r="F2651" s="89">
        <f>AVERAGE(F2643:F2647)</f>
        <v>21.26495843082423</v>
      </c>
      <c r="G2651" s="110" t="s">
        <v>73</v>
      </c>
      <c r="H2651" s="111"/>
      <c r="I2651" s="112"/>
      <c r="J2651" s="113"/>
      <c r="K2651" s="114"/>
      <c r="L2651" s="7" t="s">
        <v>36</v>
      </c>
    </row>
    <row r="2652" spans="1:12" ht="15.75" thickBot="1" x14ac:dyDescent="0.3">
      <c r="A2652" s="5"/>
      <c r="B2652" s="5"/>
      <c r="C2652" s="5"/>
      <c r="D2652" s="5"/>
      <c r="E2652" s="5"/>
      <c r="F2652" s="5"/>
      <c r="G2652" s="130"/>
      <c r="H2652" s="131"/>
      <c r="I2652" s="132"/>
      <c r="J2652" s="133"/>
      <c r="K2652" s="134"/>
      <c r="L2652" s="18">
        <f>J2643+J2644+J2645+J2646+J2647+J2648+J2649+J2650+J2651</f>
        <v>0</v>
      </c>
    </row>
    <row r="2653" spans="1:12" ht="15.75" thickBot="1" x14ac:dyDescent="0.3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</row>
    <row r="2654" spans="1:12" ht="15.75" thickBot="1" x14ac:dyDescent="0.3">
      <c r="A2654" s="19"/>
      <c r="B2654" s="20"/>
      <c r="C2654" s="20"/>
      <c r="D2654" s="20"/>
      <c r="E2654" s="21" t="s">
        <v>13</v>
      </c>
      <c r="F2654" s="5"/>
      <c r="G2654" s="19"/>
      <c r="H2654" s="20"/>
      <c r="I2654" s="20"/>
      <c r="J2654" s="20"/>
      <c r="K2654" s="21" t="s">
        <v>13</v>
      </c>
      <c r="L2654" s="5"/>
    </row>
    <row r="2655" spans="1:12" x14ac:dyDescent="0.25">
      <c r="A2655" s="22" t="s">
        <v>31</v>
      </c>
      <c r="B2655" s="115">
        <v>18998</v>
      </c>
      <c r="C2655" s="116"/>
      <c r="D2655" s="116"/>
      <c r="E2655" s="117"/>
      <c r="F2655" s="5"/>
      <c r="G2655" s="22" t="s">
        <v>32</v>
      </c>
      <c r="H2655" s="115">
        <v>43195</v>
      </c>
      <c r="I2655" s="116"/>
      <c r="J2655" s="116"/>
      <c r="K2655" s="117"/>
      <c r="L2655" s="5"/>
    </row>
    <row r="2656" spans="1:12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</row>
    <row r="2657" spans="1:12" x14ac:dyDescent="0.25">
      <c r="A2657" s="7" t="s">
        <v>16</v>
      </c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</row>
    <row r="2658" spans="1:12" x14ac:dyDescent="0.25">
      <c r="A2658" s="9" t="s">
        <v>17</v>
      </c>
      <c r="B2658" s="23">
        <f>L2635-C2630</f>
        <v>3050</v>
      </c>
      <c r="C2658" s="5"/>
      <c r="D2658" s="106" t="s">
        <v>18</v>
      </c>
      <c r="E2658" s="107"/>
      <c r="F2658" s="24" t="s">
        <v>19</v>
      </c>
      <c r="G2658" s="9" t="s">
        <v>20</v>
      </c>
      <c r="H2658" s="118">
        <f>B2655+H2655</f>
        <v>62193</v>
      </c>
      <c r="I2658" s="119"/>
      <c r="J2658" s="60"/>
      <c r="K2658" s="5"/>
      <c r="L2658" s="5"/>
    </row>
    <row r="2659" spans="1:12" x14ac:dyDescent="0.25">
      <c r="A2659" s="9" t="s">
        <v>41</v>
      </c>
      <c r="B2659" s="40">
        <f>B2658/D2651</f>
        <v>2.1501404288437462</v>
      </c>
      <c r="C2659" s="5"/>
      <c r="D2659" s="102">
        <f>E2651</f>
        <v>30186.439999999995</v>
      </c>
      <c r="E2659" s="103"/>
      <c r="F2659" s="25">
        <f>H2659/B2658</f>
        <v>10.857849180327868</v>
      </c>
      <c r="G2659" s="9" t="s">
        <v>21</v>
      </c>
      <c r="H2659" s="104">
        <f>L2652+D2659+D2661+D2663+D2665+A2662</f>
        <v>33116.439999999995</v>
      </c>
      <c r="I2659" s="105"/>
      <c r="J2659" s="5"/>
      <c r="K2659" s="5"/>
      <c r="L2659" s="5"/>
    </row>
    <row r="2660" spans="1:12" x14ac:dyDescent="0.25">
      <c r="A2660" s="9" t="s">
        <v>43</v>
      </c>
      <c r="B2660" s="23">
        <f>D2651/B2658*100</f>
        <v>46.508590163934429</v>
      </c>
      <c r="C2660" s="5"/>
      <c r="D2660" s="106" t="s">
        <v>33</v>
      </c>
      <c r="E2660" s="107"/>
      <c r="F2660" s="5"/>
      <c r="G2660" s="13" t="s">
        <v>22</v>
      </c>
      <c r="H2660" s="6"/>
      <c r="I2660" s="26">
        <f>H2658-H2659</f>
        <v>29076.560000000005</v>
      </c>
      <c r="J2660" s="5"/>
      <c r="K2660" s="5"/>
      <c r="L2660" s="5"/>
    </row>
    <row r="2661" spans="1:12" x14ac:dyDescent="0.25">
      <c r="A2661" s="106" t="s">
        <v>40</v>
      </c>
      <c r="B2661" s="107"/>
      <c r="C2661" s="5"/>
      <c r="D2661" s="149">
        <v>1100</v>
      </c>
      <c r="E2661" s="150"/>
      <c r="F2661" s="5"/>
      <c r="G2661" s="5"/>
      <c r="H2661" s="5"/>
      <c r="I2661" s="5"/>
      <c r="J2661" s="5"/>
      <c r="K2661" s="5"/>
      <c r="L2661" s="5"/>
    </row>
    <row r="2662" spans="1:12" x14ac:dyDescent="0.25">
      <c r="A2662" s="108">
        <f>B2658*0.6</f>
        <v>1830</v>
      </c>
      <c r="B2662" s="109"/>
      <c r="C2662" s="5"/>
      <c r="D2662" s="106" t="s">
        <v>34</v>
      </c>
      <c r="E2662" s="107"/>
      <c r="F2662" s="5"/>
      <c r="G2662" s="145" t="s">
        <v>292</v>
      </c>
      <c r="H2662" s="146"/>
      <c r="I2662" s="23">
        <f>B2658/2.3</f>
        <v>1326.0869565217392</v>
      </c>
      <c r="J2662" s="60"/>
      <c r="K2662" s="5"/>
      <c r="L2662" s="5"/>
    </row>
    <row r="2663" spans="1:12" x14ac:dyDescent="0.25">
      <c r="A2663" s="5"/>
      <c r="B2663" s="5"/>
      <c r="C2663" s="5"/>
      <c r="D2663" s="108">
        <v>0</v>
      </c>
      <c r="E2663" s="109"/>
      <c r="F2663" s="5"/>
      <c r="G2663" s="145" t="s">
        <v>294</v>
      </c>
      <c r="H2663" s="146"/>
      <c r="I2663" s="23">
        <f>I2662-D2651</f>
        <v>-92.425043478260704</v>
      </c>
      <c r="J2663" s="5"/>
      <c r="K2663" s="5"/>
      <c r="L2663" s="5"/>
    </row>
    <row r="2664" spans="1:12" x14ac:dyDescent="0.25">
      <c r="A2664" s="5"/>
      <c r="B2664" s="5"/>
      <c r="C2664" s="5"/>
      <c r="D2664" s="106" t="s">
        <v>37</v>
      </c>
      <c r="E2664" s="107"/>
      <c r="F2664" s="5"/>
      <c r="G2664" s="147" t="s">
        <v>295</v>
      </c>
      <c r="H2664" s="148"/>
      <c r="I2664" s="86">
        <f>I2663*F2651</f>
        <v>-1965.414707532336</v>
      </c>
      <c r="J2664" s="87">
        <f>I2660-I2664</f>
        <v>31041.974707532339</v>
      </c>
      <c r="K2664" s="5"/>
      <c r="L2664" s="5"/>
    </row>
    <row r="2665" spans="1:12" x14ac:dyDescent="0.25">
      <c r="A2665" s="5"/>
      <c r="B2665" s="5"/>
      <c r="C2665" s="5"/>
      <c r="D2665" s="108">
        <v>0</v>
      </c>
      <c r="E2665" s="109"/>
      <c r="F2665" s="5" t="s">
        <v>78</v>
      </c>
      <c r="G2665" s="5"/>
      <c r="H2665" s="5"/>
      <c r="I2665" s="5"/>
      <c r="J2665" s="88" t="s">
        <v>293</v>
      </c>
      <c r="K2665" s="44"/>
      <c r="L2665" s="5"/>
    </row>
    <row r="2667" spans="1:12" s="49" customFormat="1" x14ac:dyDescent="0.25"/>
    <row r="2670" spans="1:12" x14ac:dyDescent="0.25">
      <c r="A2670" s="120" t="s">
        <v>24</v>
      </c>
      <c r="B2670" s="120"/>
      <c r="C2670" s="120"/>
      <c r="D2670" s="120"/>
      <c r="E2670" s="120"/>
      <c r="F2670" s="120"/>
      <c r="G2670" s="120"/>
      <c r="H2670" s="120"/>
      <c r="I2670" s="120"/>
      <c r="J2670" s="120"/>
      <c r="K2670" s="120"/>
      <c r="L2670" s="120"/>
    </row>
    <row r="2671" spans="1:12" x14ac:dyDescent="0.25">
      <c r="A2671" s="120"/>
      <c r="B2671" s="120"/>
      <c r="C2671" s="120"/>
      <c r="D2671" s="120"/>
      <c r="E2671" s="120"/>
      <c r="F2671" s="120"/>
      <c r="G2671" s="120"/>
      <c r="H2671" s="120"/>
      <c r="I2671" s="120"/>
      <c r="J2671" s="120"/>
      <c r="K2671" s="120"/>
      <c r="L2671" s="120"/>
    </row>
    <row r="2672" spans="1:12" x14ac:dyDescent="0.25">
      <c r="A2672" s="1" t="s">
        <v>4</v>
      </c>
      <c r="B2672" s="2"/>
      <c r="C2672" s="90"/>
      <c r="D2672" s="2"/>
      <c r="E2672" s="2"/>
      <c r="F2672" s="2"/>
      <c r="G2672" s="3" t="s">
        <v>5</v>
      </c>
      <c r="H2672" s="3" t="s">
        <v>6</v>
      </c>
      <c r="I2672" s="4" t="s">
        <v>7</v>
      </c>
      <c r="J2672" s="5"/>
      <c r="K2672" s="5"/>
      <c r="L2672" s="5"/>
    </row>
    <row r="2673" spans="1:12" x14ac:dyDescent="0.25">
      <c r="A2673" s="91" t="s">
        <v>359</v>
      </c>
      <c r="B2673" s="92" t="s">
        <v>42</v>
      </c>
      <c r="C2673" s="64"/>
      <c r="D2673" s="66"/>
      <c r="E2673" s="2"/>
      <c r="F2673" s="2"/>
      <c r="G2673" s="91" t="s">
        <v>299</v>
      </c>
      <c r="H2673" s="66"/>
      <c r="I2673" s="33"/>
      <c r="J2673" s="6"/>
      <c r="K2673" s="33"/>
      <c r="L2673" s="6"/>
    </row>
    <row r="2674" spans="1:12" x14ac:dyDescent="0.25">
      <c r="A2674" s="7" t="s">
        <v>2</v>
      </c>
      <c r="B2674" s="5"/>
      <c r="C2674" s="5"/>
      <c r="D2674" s="5"/>
      <c r="E2674" s="5"/>
      <c r="F2674" s="5"/>
      <c r="G2674" s="8" t="s">
        <v>8</v>
      </c>
      <c r="H2674" s="93">
        <v>3</v>
      </c>
      <c r="I2674" s="5"/>
      <c r="J2674" s="5"/>
      <c r="K2674" s="5"/>
      <c r="L2674" s="5"/>
    </row>
    <row r="2675" spans="1:12" x14ac:dyDescent="0.25">
      <c r="A2675" s="7" t="s">
        <v>25</v>
      </c>
      <c r="B2675" s="5"/>
      <c r="C2675" s="7" t="s">
        <v>0</v>
      </c>
      <c r="D2675" s="5"/>
      <c r="E2675" s="5"/>
      <c r="F2675" s="5"/>
      <c r="G2675" s="7" t="s">
        <v>25</v>
      </c>
      <c r="H2675" s="5"/>
      <c r="I2675" s="7" t="s">
        <v>0</v>
      </c>
      <c r="J2675" s="5"/>
      <c r="K2675" s="5"/>
      <c r="L2675" s="5"/>
    </row>
    <row r="2676" spans="1:12" x14ac:dyDescent="0.25">
      <c r="A2676" s="42">
        <v>45753</v>
      </c>
      <c r="B2676" s="6"/>
      <c r="C2676" s="31">
        <f>L2635</f>
        <v>993303</v>
      </c>
      <c r="D2676" s="5"/>
      <c r="E2676" s="5"/>
      <c r="F2676" s="5"/>
      <c r="G2676" s="42"/>
      <c r="H2676" s="6"/>
      <c r="I2676" s="9"/>
      <c r="J2676" s="5"/>
      <c r="K2676" s="5"/>
      <c r="L2676" s="5"/>
    </row>
    <row r="2677" spans="1:12" ht="16.5" thickBot="1" x14ac:dyDescent="0.3">
      <c r="A2677" s="7"/>
      <c r="B2677" s="62"/>
      <c r="C2677" s="62"/>
      <c r="D2677" s="62"/>
      <c r="E2677" s="5"/>
      <c r="F2677" s="5"/>
      <c r="G2677" s="10"/>
      <c r="H2677" s="5"/>
      <c r="I2677" s="5"/>
      <c r="J2677" s="5"/>
      <c r="K2677" s="5"/>
      <c r="L2677" s="5"/>
    </row>
    <row r="2678" spans="1:12" ht="15.75" thickBot="1" x14ac:dyDescent="0.3">
      <c r="A2678" s="121" t="s">
        <v>9</v>
      </c>
      <c r="B2678" s="122"/>
      <c r="C2678" s="123"/>
      <c r="D2678" s="5"/>
      <c r="E2678" s="5"/>
      <c r="F2678" s="5"/>
      <c r="G2678" s="121" t="s">
        <v>26</v>
      </c>
      <c r="H2678" s="122"/>
      <c r="I2678" s="123"/>
      <c r="J2678" s="5"/>
      <c r="K2678" s="5"/>
      <c r="L2678" s="5"/>
    </row>
    <row r="2679" spans="1:12" x14ac:dyDescent="0.25">
      <c r="A2679" s="30" t="s">
        <v>38</v>
      </c>
      <c r="B2679" s="11"/>
      <c r="C2679" s="11"/>
      <c r="D2679" s="11"/>
      <c r="E2679" s="6"/>
      <c r="F2679" s="5"/>
      <c r="G2679" s="30" t="str">
        <f>A2682</f>
        <v>Keetmans</v>
      </c>
      <c r="H2679" s="11"/>
      <c r="I2679" s="11"/>
      <c r="J2679" s="11"/>
      <c r="K2679" s="11"/>
      <c r="L2679" s="6"/>
    </row>
    <row r="2680" spans="1:12" ht="15.75" thickBot="1" x14ac:dyDescent="0.3">
      <c r="A2680" s="7"/>
      <c r="B2680" s="7"/>
      <c r="C2680" s="7"/>
      <c r="D2680" s="5"/>
      <c r="E2680" s="5"/>
      <c r="F2680" s="5"/>
      <c r="G2680" s="7" t="str">
        <f>A2682</f>
        <v>Keetmans</v>
      </c>
      <c r="H2680" s="7"/>
      <c r="I2680" s="7"/>
      <c r="J2680" s="5"/>
      <c r="K2680" s="5"/>
      <c r="L2680" s="5"/>
    </row>
    <row r="2681" spans="1:12" ht="15.75" thickBot="1" x14ac:dyDescent="0.3">
      <c r="A2681" s="121"/>
      <c r="B2681" s="122"/>
      <c r="C2681" s="124"/>
      <c r="D2681" s="12" t="s">
        <v>1</v>
      </c>
      <c r="E2681" s="32"/>
      <c r="F2681" s="5"/>
      <c r="G2681" s="121" t="s">
        <v>27</v>
      </c>
      <c r="H2681" s="122"/>
      <c r="I2681" s="123"/>
      <c r="J2681" s="5"/>
      <c r="K2681" s="12" t="s">
        <v>1</v>
      </c>
      <c r="L2681" s="32">
        <v>994350</v>
      </c>
    </row>
    <row r="2682" spans="1:12" x14ac:dyDescent="0.25">
      <c r="A2682" s="30" t="s">
        <v>46</v>
      </c>
      <c r="B2682" s="11"/>
      <c r="C2682" s="11"/>
      <c r="D2682" s="11"/>
      <c r="E2682" s="6"/>
      <c r="F2682" s="5"/>
      <c r="G2682" s="30" t="s">
        <v>364</v>
      </c>
      <c r="H2682" s="11"/>
      <c r="I2682" s="11"/>
      <c r="J2682" s="11"/>
      <c r="K2682" s="11"/>
      <c r="L2682" s="6"/>
    </row>
    <row r="2683" spans="1:12" x14ac:dyDescent="0.25">
      <c r="A2683" s="76"/>
      <c r="B2683" s="11"/>
      <c r="C2683" s="11"/>
      <c r="D2683" s="11"/>
      <c r="E2683" s="6"/>
      <c r="F2683" s="5"/>
      <c r="G2683" s="34"/>
      <c r="H2683" s="11"/>
      <c r="I2683" s="11"/>
      <c r="J2683" s="11"/>
      <c r="K2683" s="11"/>
      <c r="L2683" s="6"/>
    </row>
    <row r="2684" spans="1:12" x14ac:dyDescent="0.25">
      <c r="A2684" s="13"/>
      <c r="B2684" s="11"/>
      <c r="C2684" s="11"/>
      <c r="D2684" s="11"/>
      <c r="E2684" s="6"/>
      <c r="F2684" s="5"/>
      <c r="G2684" s="13"/>
      <c r="H2684" s="11"/>
      <c r="I2684" s="11"/>
      <c r="J2684" s="11"/>
      <c r="K2684" s="11"/>
      <c r="L2684" s="6"/>
    </row>
    <row r="2685" spans="1:12" x14ac:dyDescent="0.25">
      <c r="A2685" s="13"/>
      <c r="B2685" s="11"/>
      <c r="C2685" s="11"/>
      <c r="D2685" s="11"/>
      <c r="E2685" s="6"/>
      <c r="F2685" s="5"/>
      <c r="G2685" s="13"/>
      <c r="H2685" s="11"/>
      <c r="I2685" s="11"/>
      <c r="J2685" s="11"/>
      <c r="K2685" s="11"/>
      <c r="L2685" s="6"/>
    </row>
    <row r="2686" spans="1:12" ht="15.75" thickBot="1" x14ac:dyDescent="0.3">
      <c r="A2686" s="13"/>
      <c r="B2686" s="11"/>
      <c r="C2686" s="11" t="s">
        <v>29</v>
      </c>
      <c r="D2686" s="43"/>
      <c r="E2686" s="6"/>
      <c r="F2686" s="5"/>
      <c r="G2686" s="13"/>
      <c r="H2686" s="11"/>
      <c r="I2686" s="14" t="s">
        <v>28</v>
      </c>
      <c r="J2686" s="43"/>
      <c r="K2686" s="59"/>
      <c r="L2686" s="6"/>
    </row>
    <row r="2687" spans="1:12" ht="15.75" thickBot="1" x14ac:dyDescent="0.3">
      <c r="A2687" s="15" t="s">
        <v>10</v>
      </c>
      <c r="B2687" s="5"/>
      <c r="C2687" s="5"/>
      <c r="D2687" s="5"/>
      <c r="E2687" s="5"/>
      <c r="F2687" s="5"/>
      <c r="G2687" s="15" t="s">
        <v>14</v>
      </c>
      <c r="H2687" s="5"/>
      <c r="I2687" s="5"/>
      <c r="J2687" s="5"/>
      <c r="K2687" s="5"/>
      <c r="L2687" s="5"/>
    </row>
    <row r="2688" spans="1:12" ht="15.75" thickBot="1" x14ac:dyDescent="0.3">
      <c r="A2688" s="121" t="s">
        <v>11</v>
      </c>
      <c r="B2688" s="122"/>
      <c r="C2688" s="123"/>
      <c r="D2688" s="16" t="s">
        <v>12</v>
      </c>
      <c r="E2688" s="16" t="s">
        <v>13</v>
      </c>
      <c r="F2688" s="5"/>
      <c r="G2688" s="121" t="s">
        <v>15</v>
      </c>
      <c r="H2688" s="122"/>
      <c r="I2688" s="123"/>
      <c r="J2688" s="121"/>
      <c r="K2688" s="123"/>
      <c r="L2688" s="5"/>
    </row>
    <row r="2689" spans="1:12" x14ac:dyDescent="0.25">
      <c r="A2689" s="94">
        <v>45844</v>
      </c>
      <c r="B2689" s="46" t="s">
        <v>47</v>
      </c>
      <c r="C2689" s="47"/>
      <c r="D2689" s="56">
        <v>409.68</v>
      </c>
      <c r="E2689" s="57">
        <v>8361.57</v>
      </c>
      <c r="F2689" s="44">
        <f>E2689/D2689</f>
        <v>20.410002929115407</v>
      </c>
      <c r="G2689" s="125" t="s">
        <v>69</v>
      </c>
      <c r="H2689" s="126"/>
      <c r="I2689" s="127"/>
      <c r="J2689" s="128">
        <v>0</v>
      </c>
      <c r="K2689" s="129"/>
      <c r="L2689" s="5"/>
    </row>
    <row r="2690" spans="1:12" x14ac:dyDescent="0.25">
      <c r="A2690" s="94"/>
      <c r="B2690" s="46"/>
      <c r="C2690" s="47"/>
      <c r="D2690" s="56"/>
      <c r="E2690" s="57"/>
      <c r="F2690" s="44"/>
      <c r="G2690" s="110" t="s">
        <v>59</v>
      </c>
      <c r="H2690" s="111"/>
      <c r="I2690" s="112"/>
      <c r="J2690" s="113"/>
      <c r="K2690" s="114"/>
      <c r="L2690" s="5"/>
    </row>
    <row r="2691" spans="1:12" x14ac:dyDescent="0.25">
      <c r="A2691" s="94"/>
      <c r="B2691" s="46"/>
      <c r="C2691" s="47"/>
      <c r="D2691" s="56"/>
      <c r="E2691" s="57"/>
      <c r="F2691" s="44"/>
      <c r="G2691" s="110" t="s">
        <v>61</v>
      </c>
      <c r="H2691" s="111"/>
      <c r="I2691" s="112"/>
      <c r="J2691" s="113"/>
      <c r="K2691" s="114"/>
      <c r="L2691" s="5"/>
    </row>
    <row r="2692" spans="1:12" x14ac:dyDescent="0.25">
      <c r="A2692" s="94"/>
      <c r="B2692" s="46"/>
      <c r="C2692" s="47"/>
      <c r="D2692" s="56"/>
      <c r="E2692" s="57"/>
      <c r="F2692" s="44"/>
      <c r="G2692" s="110" t="s">
        <v>51</v>
      </c>
      <c r="H2692" s="111"/>
      <c r="I2692" s="112"/>
      <c r="J2692" s="113"/>
      <c r="K2692" s="114"/>
      <c r="L2692" s="5"/>
    </row>
    <row r="2693" spans="1:12" x14ac:dyDescent="0.25">
      <c r="A2693" s="48"/>
      <c r="B2693" s="46"/>
      <c r="C2693" s="39"/>
      <c r="D2693" s="52"/>
      <c r="E2693" s="53"/>
      <c r="F2693" s="44"/>
      <c r="G2693" s="110" t="s">
        <v>58</v>
      </c>
      <c r="H2693" s="111"/>
      <c r="I2693" s="112"/>
      <c r="J2693" s="113"/>
      <c r="K2693" s="114"/>
      <c r="L2693" s="5"/>
    </row>
    <row r="2694" spans="1:12" x14ac:dyDescent="0.25">
      <c r="A2694" s="48"/>
      <c r="B2694" s="35"/>
      <c r="C2694" s="39"/>
      <c r="D2694" s="52"/>
      <c r="E2694" s="53"/>
      <c r="F2694" s="44"/>
      <c r="G2694" s="110" t="s">
        <v>51</v>
      </c>
      <c r="H2694" s="111"/>
      <c r="I2694" s="112"/>
      <c r="J2694" s="113"/>
      <c r="K2694" s="114"/>
      <c r="L2694" s="5"/>
    </row>
    <row r="2695" spans="1:12" x14ac:dyDescent="0.25">
      <c r="A2695" s="48"/>
      <c r="B2695" s="35"/>
      <c r="C2695" s="39"/>
      <c r="D2695" s="52"/>
      <c r="E2695" s="53"/>
      <c r="F2695" s="44"/>
      <c r="G2695" s="77"/>
      <c r="H2695" s="78" t="s">
        <v>69</v>
      </c>
      <c r="I2695" s="79"/>
      <c r="J2695" s="113">
        <v>0</v>
      </c>
      <c r="K2695" s="114"/>
      <c r="L2695" s="5"/>
    </row>
    <row r="2696" spans="1:12" x14ac:dyDescent="0.25">
      <c r="A2696" s="38"/>
      <c r="B2696" s="35"/>
      <c r="C2696" s="39"/>
      <c r="D2696" s="52"/>
      <c r="E2696" s="53"/>
      <c r="F2696" s="44"/>
      <c r="G2696" s="77"/>
      <c r="H2696" s="78" t="s">
        <v>72</v>
      </c>
      <c r="I2696" s="79"/>
      <c r="J2696" s="113"/>
      <c r="K2696" s="114"/>
      <c r="L2696" s="5"/>
    </row>
    <row r="2697" spans="1:12" ht="15.75" thickBot="1" x14ac:dyDescent="0.3">
      <c r="A2697" s="5"/>
      <c r="B2697" s="5"/>
      <c r="C2697" s="7" t="s">
        <v>35</v>
      </c>
      <c r="D2697" s="17">
        <f>SUM(D2689:D2696)</f>
        <v>409.68</v>
      </c>
      <c r="E2697" s="17">
        <f>SUM(E2689:E2696)</f>
        <v>8361.57</v>
      </c>
      <c r="F2697" s="89">
        <f>AVERAGE(F2689:F2693)</f>
        <v>20.410002929115407</v>
      </c>
      <c r="G2697" s="110" t="s">
        <v>73</v>
      </c>
      <c r="H2697" s="111"/>
      <c r="I2697" s="112"/>
      <c r="J2697" s="113"/>
      <c r="K2697" s="114"/>
      <c r="L2697" s="7" t="s">
        <v>36</v>
      </c>
    </row>
    <row r="2698" spans="1:12" ht="15.75" thickBot="1" x14ac:dyDescent="0.3">
      <c r="A2698" s="5"/>
      <c r="B2698" s="5"/>
      <c r="C2698" s="5"/>
      <c r="D2698" s="5"/>
      <c r="E2698" s="5"/>
      <c r="F2698" s="5"/>
      <c r="G2698" s="130"/>
      <c r="H2698" s="131"/>
      <c r="I2698" s="132"/>
      <c r="J2698" s="133"/>
      <c r="K2698" s="134"/>
      <c r="L2698" s="18">
        <f>J2689+J2690+J2691+J2692+J2693+J2694+J2695+J2696+J2697</f>
        <v>0</v>
      </c>
    </row>
    <row r="2699" spans="1:12" ht="15.75" thickBot="1" x14ac:dyDescent="0.3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</row>
    <row r="2700" spans="1:12" ht="15.75" thickBot="1" x14ac:dyDescent="0.3">
      <c r="A2700" s="19"/>
      <c r="B2700" s="20"/>
      <c r="C2700" s="20"/>
      <c r="D2700" s="20"/>
      <c r="E2700" s="21" t="s">
        <v>13</v>
      </c>
      <c r="F2700" s="5"/>
      <c r="G2700" s="19"/>
      <c r="H2700" s="20"/>
      <c r="I2700" s="20"/>
      <c r="J2700" s="20"/>
      <c r="K2700" s="21" t="s">
        <v>13</v>
      </c>
      <c r="L2700" s="5"/>
    </row>
    <row r="2701" spans="1:12" x14ac:dyDescent="0.25">
      <c r="A2701" s="22" t="s">
        <v>31</v>
      </c>
      <c r="B2701" s="115">
        <v>20190</v>
      </c>
      <c r="C2701" s="116"/>
      <c r="D2701" s="116"/>
      <c r="E2701" s="117"/>
      <c r="F2701" s="5"/>
      <c r="G2701" s="22" t="s">
        <v>32</v>
      </c>
      <c r="H2701" s="115">
        <v>0</v>
      </c>
      <c r="I2701" s="116"/>
      <c r="J2701" s="116"/>
      <c r="K2701" s="117"/>
      <c r="L2701" s="5"/>
    </row>
    <row r="2702" spans="1:12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</row>
    <row r="2703" spans="1:12" x14ac:dyDescent="0.25">
      <c r="A2703" s="7" t="s">
        <v>16</v>
      </c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</row>
    <row r="2704" spans="1:12" x14ac:dyDescent="0.25">
      <c r="A2704" s="9" t="s">
        <v>17</v>
      </c>
      <c r="B2704" s="23">
        <f>L2681-C2676</f>
        <v>1047</v>
      </c>
      <c r="C2704" s="5"/>
      <c r="D2704" s="106" t="s">
        <v>18</v>
      </c>
      <c r="E2704" s="107"/>
      <c r="F2704" s="24" t="s">
        <v>19</v>
      </c>
      <c r="G2704" s="9" t="s">
        <v>20</v>
      </c>
      <c r="H2704" s="118">
        <f>B2701+H2701</f>
        <v>20190</v>
      </c>
      <c r="I2704" s="119"/>
      <c r="J2704" s="60"/>
      <c r="K2704" s="5"/>
      <c r="L2704" s="5"/>
    </row>
    <row r="2705" spans="1:12" x14ac:dyDescent="0.25">
      <c r="A2705" s="9" t="s">
        <v>41</v>
      </c>
      <c r="B2705" s="40">
        <f>B2704/D2697</f>
        <v>2.5556531927357939</v>
      </c>
      <c r="C2705" s="5"/>
      <c r="D2705" s="102">
        <f>E2697</f>
        <v>8361.57</v>
      </c>
      <c r="E2705" s="103"/>
      <c r="F2705" s="25">
        <f>H2705/B2704</f>
        <v>9.0637726838586445</v>
      </c>
      <c r="G2705" s="9" t="s">
        <v>21</v>
      </c>
      <c r="H2705" s="104">
        <f>L2698+D2705+D2707+D2709+D2711+A2708</f>
        <v>9489.77</v>
      </c>
      <c r="I2705" s="105"/>
      <c r="J2705" s="5"/>
      <c r="K2705" s="5"/>
      <c r="L2705" s="5"/>
    </row>
    <row r="2706" spans="1:12" x14ac:dyDescent="0.25">
      <c r="A2706" s="9" t="s">
        <v>43</v>
      </c>
      <c r="B2706" s="23">
        <f>D2697/B2704*100</f>
        <v>39.128939828080227</v>
      </c>
      <c r="C2706" s="5"/>
      <c r="D2706" s="106" t="s">
        <v>33</v>
      </c>
      <c r="E2706" s="107"/>
      <c r="F2706" s="5"/>
      <c r="G2706" s="13" t="s">
        <v>22</v>
      </c>
      <c r="H2706" s="6"/>
      <c r="I2706" s="26">
        <f>H2704-H2705</f>
        <v>10700.23</v>
      </c>
      <c r="J2706" s="5"/>
      <c r="K2706" s="5"/>
      <c r="L2706" s="5"/>
    </row>
    <row r="2707" spans="1:12" x14ac:dyDescent="0.25">
      <c r="A2707" s="106" t="s">
        <v>40</v>
      </c>
      <c r="B2707" s="107"/>
      <c r="C2707" s="5"/>
      <c r="D2707" s="149">
        <v>500</v>
      </c>
      <c r="E2707" s="150"/>
      <c r="F2707" s="5"/>
      <c r="G2707" s="5"/>
      <c r="H2707" s="5"/>
      <c r="I2707" s="5"/>
      <c r="J2707" s="5"/>
      <c r="K2707" s="5"/>
      <c r="L2707" s="5"/>
    </row>
    <row r="2708" spans="1:12" x14ac:dyDescent="0.25">
      <c r="A2708" s="108">
        <f>B2704*0.6</f>
        <v>628.19999999999993</v>
      </c>
      <c r="B2708" s="109"/>
      <c r="C2708" s="5"/>
      <c r="D2708" s="106" t="s">
        <v>34</v>
      </c>
      <c r="E2708" s="107"/>
      <c r="F2708" s="5"/>
      <c r="G2708" s="145" t="s">
        <v>292</v>
      </c>
      <c r="H2708" s="146"/>
      <c r="I2708" s="23">
        <f>B2704/2.3</f>
        <v>455.21739130434787</v>
      </c>
      <c r="J2708" s="60"/>
      <c r="K2708" s="5"/>
      <c r="L2708" s="5"/>
    </row>
    <row r="2709" spans="1:12" x14ac:dyDescent="0.25">
      <c r="A2709" s="5"/>
      <c r="B2709" s="5"/>
      <c r="C2709" s="5"/>
      <c r="D2709" s="108">
        <v>0</v>
      </c>
      <c r="E2709" s="109"/>
      <c r="F2709" s="5"/>
      <c r="G2709" s="145" t="s">
        <v>294</v>
      </c>
      <c r="H2709" s="146"/>
      <c r="I2709" s="23">
        <f>I2708-D2697</f>
        <v>45.537391304347864</v>
      </c>
      <c r="J2709" s="5"/>
      <c r="K2709" s="5"/>
      <c r="L2709" s="5"/>
    </row>
    <row r="2710" spans="1:12" x14ac:dyDescent="0.25">
      <c r="A2710" s="5"/>
      <c r="B2710" s="5"/>
      <c r="C2710" s="5"/>
      <c r="D2710" s="106" t="s">
        <v>37</v>
      </c>
      <c r="E2710" s="107"/>
      <c r="F2710" s="5"/>
      <c r="G2710" s="147" t="s">
        <v>295</v>
      </c>
      <c r="H2710" s="148"/>
      <c r="I2710" s="86">
        <f>I2709*F2697</f>
        <v>929.41828990601437</v>
      </c>
      <c r="J2710" s="87">
        <f>I2706-I2710</f>
        <v>9770.8117100939853</v>
      </c>
      <c r="K2710" s="5"/>
      <c r="L2710" s="5"/>
    </row>
    <row r="2711" spans="1:12" x14ac:dyDescent="0.25">
      <c r="A2711" s="5"/>
      <c r="B2711" s="5"/>
      <c r="C2711" s="5"/>
      <c r="D2711" s="108">
        <v>0</v>
      </c>
      <c r="E2711" s="109"/>
      <c r="F2711" s="5" t="s">
        <v>78</v>
      </c>
      <c r="G2711" s="5"/>
      <c r="H2711" s="5"/>
      <c r="I2711" s="5"/>
      <c r="J2711" s="88" t="s">
        <v>293</v>
      </c>
      <c r="K2711" s="44"/>
      <c r="L2711" s="5"/>
    </row>
    <row r="2713" spans="1:12" s="49" customFormat="1" x14ac:dyDescent="0.25"/>
    <row r="2716" spans="1:12" x14ac:dyDescent="0.25">
      <c r="A2716" s="120" t="s">
        <v>24</v>
      </c>
      <c r="B2716" s="120"/>
      <c r="C2716" s="120"/>
      <c r="D2716" s="120"/>
      <c r="E2716" s="120"/>
      <c r="F2716" s="120"/>
      <c r="G2716" s="120"/>
      <c r="H2716" s="120"/>
      <c r="I2716" s="120"/>
      <c r="J2716" s="120"/>
      <c r="K2716" s="120"/>
      <c r="L2716" s="120"/>
    </row>
    <row r="2717" spans="1:12" x14ac:dyDescent="0.25">
      <c r="A2717" s="120"/>
      <c r="B2717" s="120"/>
      <c r="C2717" s="120"/>
      <c r="D2717" s="120"/>
      <c r="E2717" s="120"/>
      <c r="F2717" s="120"/>
      <c r="G2717" s="120"/>
      <c r="H2717" s="120"/>
      <c r="I2717" s="120"/>
      <c r="J2717" s="120"/>
      <c r="K2717" s="120"/>
      <c r="L2717" s="120"/>
    </row>
    <row r="2718" spans="1:12" x14ac:dyDescent="0.25">
      <c r="A2718" s="1" t="s">
        <v>4</v>
      </c>
      <c r="B2718" s="2"/>
      <c r="C2718" s="90"/>
      <c r="D2718" s="2"/>
      <c r="E2718" s="2"/>
      <c r="F2718" s="2"/>
      <c r="G2718" s="3" t="s">
        <v>5</v>
      </c>
      <c r="H2718" s="3" t="s">
        <v>6</v>
      </c>
      <c r="I2718" s="4" t="s">
        <v>7</v>
      </c>
      <c r="J2718" s="5"/>
      <c r="K2718" s="5"/>
      <c r="L2718" s="5"/>
    </row>
    <row r="2719" spans="1:12" x14ac:dyDescent="0.25">
      <c r="A2719" s="91" t="s">
        <v>359</v>
      </c>
      <c r="B2719" s="92" t="s">
        <v>42</v>
      </c>
      <c r="C2719" s="64"/>
      <c r="D2719" s="66"/>
      <c r="E2719" s="2"/>
      <c r="F2719" s="2"/>
      <c r="G2719" s="91" t="s">
        <v>299</v>
      </c>
      <c r="H2719" s="66"/>
      <c r="I2719" s="33"/>
      <c r="J2719" s="6"/>
      <c r="K2719" s="33"/>
      <c r="L2719" s="6"/>
    </row>
    <row r="2720" spans="1:12" x14ac:dyDescent="0.25">
      <c r="A2720" s="7" t="s">
        <v>2</v>
      </c>
      <c r="B2720" s="5"/>
      <c r="C2720" s="5"/>
      <c r="D2720" s="5"/>
      <c r="E2720" s="5"/>
      <c r="F2720" s="5"/>
      <c r="G2720" s="8" t="s">
        <v>8</v>
      </c>
      <c r="H2720" s="93">
        <v>3</v>
      </c>
      <c r="I2720" s="5"/>
      <c r="J2720" s="5"/>
      <c r="K2720" s="5"/>
      <c r="L2720" s="5"/>
    </row>
    <row r="2721" spans="1:12" x14ac:dyDescent="0.25">
      <c r="A2721" s="7" t="s">
        <v>25</v>
      </c>
      <c r="B2721" s="5"/>
      <c r="C2721" s="7" t="s">
        <v>0</v>
      </c>
      <c r="D2721" s="5"/>
      <c r="E2721" s="5"/>
      <c r="F2721" s="5"/>
      <c r="G2721" s="7" t="s">
        <v>25</v>
      </c>
      <c r="H2721" s="5"/>
      <c r="I2721" s="7" t="s">
        <v>0</v>
      </c>
      <c r="J2721" s="5"/>
      <c r="K2721" s="5"/>
      <c r="L2721" s="5"/>
    </row>
    <row r="2722" spans="1:12" x14ac:dyDescent="0.25">
      <c r="A2722" s="42">
        <v>45814</v>
      </c>
      <c r="B2722" s="6"/>
      <c r="C2722" s="31">
        <f>L2681</f>
        <v>994350</v>
      </c>
      <c r="D2722" s="5"/>
      <c r="E2722" s="5"/>
      <c r="F2722" s="5"/>
      <c r="G2722" s="42"/>
      <c r="H2722" s="6"/>
      <c r="I2722" s="9"/>
      <c r="J2722" s="5"/>
      <c r="K2722" s="5"/>
      <c r="L2722" s="5"/>
    </row>
    <row r="2723" spans="1:12" ht="16.5" thickBot="1" x14ac:dyDescent="0.3">
      <c r="A2723" s="7"/>
      <c r="B2723" s="62"/>
      <c r="C2723" s="62"/>
      <c r="D2723" s="62"/>
      <c r="E2723" s="5"/>
      <c r="F2723" s="5"/>
      <c r="G2723" s="10"/>
      <c r="H2723" s="5"/>
      <c r="I2723" s="5"/>
      <c r="J2723" s="5"/>
      <c r="K2723" s="5"/>
      <c r="L2723" s="5"/>
    </row>
    <row r="2724" spans="1:12" ht="15.75" thickBot="1" x14ac:dyDescent="0.3">
      <c r="A2724" s="121" t="s">
        <v>9</v>
      </c>
      <c r="B2724" s="122"/>
      <c r="C2724" s="123"/>
      <c r="D2724" s="5"/>
      <c r="E2724" s="5"/>
      <c r="F2724" s="5"/>
      <c r="G2724" s="121" t="s">
        <v>26</v>
      </c>
      <c r="H2724" s="122"/>
      <c r="I2724" s="123"/>
      <c r="J2724" s="5"/>
      <c r="K2724" s="5"/>
      <c r="L2724" s="5"/>
    </row>
    <row r="2725" spans="1:12" x14ac:dyDescent="0.25">
      <c r="A2725" s="30" t="s">
        <v>38</v>
      </c>
      <c r="B2725" s="11"/>
      <c r="C2725" s="11"/>
      <c r="D2725" s="11"/>
      <c r="E2725" s="6"/>
      <c r="F2725" s="5"/>
      <c r="G2725" s="30" t="str">
        <f>A2728</f>
        <v>JHB</v>
      </c>
      <c r="H2725" s="11"/>
      <c r="I2725" s="11"/>
      <c r="J2725" s="11"/>
      <c r="K2725" s="11"/>
      <c r="L2725" s="6"/>
    </row>
    <row r="2726" spans="1:12" ht="15.75" thickBot="1" x14ac:dyDescent="0.3">
      <c r="A2726" s="7"/>
      <c r="B2726" s="7"/>
      <c r="C2726" s="7"/>
      <c r="D2726" s="5"/>
      <c r="E2726" s="5"/>
      <c r="F2726" s="5"/>
      <c r="G2726" s="7" t="str">
        <f>A2728</f>
        <v>JHB</v>
      </c>
      <c r="H2726" s="7"/>
      <c r="I2726" s="7"/>
      <c r="J2726" s="5"/>
      <c r="K2726" s="5"/>
      <c r="L2726" s="5"/>
    </row>
    <row r="2727" spans="1:12" ht="15.75" thickBot="1" x14ac:dyDescent="0.3">
      <c r="A2727" s="121"/>
      <c r="B2727" s="122"/>
      <c r="C2727" s="124"/>
      <c r="D2727" s="12" t="s">
        <v>1</v>
      </c>
      <c r="E2727" s="32"/>
      <c r="F2727" s="5"/>
      <c r="G2727" s="121" t="s">
        <v>27</v>
      </c>
      <c r="H2727" s="122"/>
      <c r="I2727" s="123"/>
      <c r="J2727" s="5"/>
      <c r="K2727" s="12" t="s">
        <v>1</v>
      </c>
      <c r="L2727" s="32">
        <v>997302</v>
      </c>
    </row>
    <row r="2728" spans="1:12" x14ac:dyDescent="0.25">
      <c r="A2728" s="30" t="s">
        <v>489</v>
      </c>
      <c r="B2728" s="11"/>
      <c r="C2728" s="11"/>
      <c r="D2728" s="11"/>
      <c r="E2728" s="6"/>
      <c r="F2728" s="5"/>
      <c r="G2728" s="30" t="s">
        <v>364</v>
      </c>
      <c r="H2728" s="11"/>
      <c r="I2728" s="11"/>
      <c r="J2728" s="11"/>
      <c r="K2728" s="11"/>
      <c r="L2728" s="6"/>
    </row>
    <row r="2729" spans="1:12" x14ac:dyDescent="0.25">
      <c r="A2729" s="76"/>
      <c r="B2729" s="11"/>
      <c r="C2729" s="11"/>
      <c r="D2729" s="11"/>
      <c r="E2729" s="6"/>
      <c r="F2729" s="5"/>
      <c r="G2729" s="34"/>
      <c r="H2729" s="11"/>
      <c r="I2729" s="11"/>
      <c r="J2729" s="11"/>
      <c r="K2729" s="11"/>
      <c r="L2729" s="6"/>
    </row>
    <row r="2730" spans="1:12" x14ac:dyDescent="0.25">
      <c r="A2730" s="13"/>
      <c r="B2730" s="11"/>
      <c r="C2730" s="11"/>
      <c r="D2730" s="11"/>
      <c r="E2730" s="6"/>
      <c r="F2730" s="5"/>
      <c r="G2730" s="13"/>
      <c r="H2730" s="11"/>
      <c r="I2730" s="11"/>
      <c r="J2730" s="11"/>
      <c r="K2730" s="11"/>
      <c r="L2730" s="6"/>
    </row>
    <row r="2731" spans="1:12" x14ac:dyDescent="0.25">
      <c r="A2731" s="13"/>
      <c r="B2731" s="11"/>
      <c r="C2731" s="11"/>
      <c r="D2731" s="11"/>
      <c r="E2731" s="6"/>
      <c r="F2731" s="5"/>
      <c r="G2731" s="13"/>
      <c r="H2731" s="11"/>
      <c r="I2731" s="11"/>
      <c r="J2731" s="11"/>
      <c r="K2731" s="11"/>
      <c r="L2731" s="6"/>
    </row>
    <row r="2732" spans="1:12" ht="15.75" thickBot="1" x14ac:dyDescent="0.3">
      <c r="A2732" s="13"/>
      <c r="B2732" s="11"/>
      <c r="C2732" s="11" t="s">
        <v>29</v>
      </c>
      <c r="D2732" s="43"/>
      <c r="E2732" s="6"/>
      <c r="F2732" s="5"/>
      <c r="G2732" s="13"/>
      <c r="H2732" s="11"/>
      <c r="I2732" s="14" t="s">
        <v>28</v>
      </c>
      <c r="J2732" s="43"/>
      <c r="K2732" s="59"/>
      <c r="L2732" s="6"/>
    </row>
    <row r="2733" spans="1:12" ht="15.75" thickBot="1" x14ac:dyDescent="0.3">
      <c r="A2733" s="15" t="s">
        <v>10</v>
      </c>
      <c r="B2733" s="5"/>
      <c r="C2733" s="5"/>
      <c r="D2733" s="5"/>
      <c r="E2733" s="5"/>
      <c r="F2733" s="5"/>
      <c r="G2733" s="15" t="s">
        <v>14</v>
      </c>
      <c r="H2733" s="5"/>
      <c r="I2733" s="5"/>
      <c r="J2733" s="5"/>
      <c r="K2733" s="5"/>
      <c r="L2733" s="5"/>
    </row>
    <row r="2734" spans="1:12" ht="15.75" thickBot="1" x14ac:dyDescent="0.3">
      <c r="A2734" s="121" t="s">
        <v>11</v>
      </c>
      <c r="B2734" s="122"/>
      <c r="C2734" s="123"/>
      <c r="D2734" s="16" t="s">
        <v>12</v>
      </c>
      <c r="E2734" s="16" t="s">
        <v>13</v>
      </c>
      <c r="F2734" s="5"/>
      <c r="G2734" s="121" t="s">
        <v>15</v>
      </c>
      <c r="H2734" s="122"/>
      <c r="I2734" s="123"/>
      <c r="J2734" s="121"/>
      <c r="K2734" s="123"/>
      <c r="L2734" s="5"/>
    </row>
    <row r="2735" spans="1:12" x14ac:dyDescent="0.25">
      <c r="A2735" s="94">
        <v>45906</v>
      </c>
      <c r="B2735" s="46" t="s">
        <v>67</v>
      </c>
      <c r="C2735" s="47"/>
      <c r="D2735" s="56">
        <v>200.74</v>
      </c>
      <c r="E2735" s="57">
        <v>4243.6499999999996</v>
      </c>
      <c r="F2735" s="44">
        <f>E2735/D2735</f>
        <v>21.140031882036464</v>
      </c>
      <c r="G2735" s="125" t="s">
        <v>69</v>
      </c>
      <c r="H2735" s="126"/>
      <c r="I2735" s="127"/>
      <c r="J2735" s="128">
        <f>355+355</f>
        <v>710</v>
      </c>
      <c r="K2735" s="129"/>
      <c r="L2735" s="5"/>
    </row>
    <row r="2736" spans="1:12" x14ac:dyDescent="0.25">
      <c r="A2736" s="94">
        <v>45936</v>
      </c>
      <c r="B2736" s="46" t="s">
        <v>67</v>
      </c>
      <c r="C2736" s="47"/>
      <c r="D2736" s="56">
        <f>425.73+80.96</f>
        <v>506.69</v>
      </c>
      <c r="E2736" s="57">
        <f>8999.95+1711.5</f>
        <v>10711.45</v>
      </c>
      <c r="F2736" s="44">
        <f t="shared" ref="F2736:F2737" si="2">E2736/D2736</f>
        <v>21.140046182083722</v>
      </c>
      <c r="G2736" s="110" t="s">
        <v>59</v>
      </c>
      <c r="H2736" s="111"/>
      <c r="I2736" s="112"/>
      <c r="J2736" s="113"/>
      <c r="K2736" s="114"/>
      <c r="L2736" s="5"/>
    </row>
    <row r="2737" spans="1:12" x14ac:dyDescent="0.25">
      <c r="A2737" s="94" t="s">
        <v>490</v>
      </c>
      <c r="B2737" s="46" t="s">
        <v>47</v>
      </c>
      <c r="C2737" s="47"/>
      <c r="D2737" s="56">
        <v>489.9</v>
      </c>
      <c r="E2737" s="57">
        <v>9999</v>
      </c>
      <c r="F2737" s="44">
        <f t="shared" si="2"/>
        <v>20.41028781383956</v>
      </c>
      <c r="G2737" s="110" t="s">
        <v>61</v>
      </c>
      <c r="H2737" s="111"/>
      <c r="I2737" s="112"/>
      <c r="J2737" s="113"/>
      <c r="K2737" s="114"/>
      <c r="L2737" s="5"/>
    </row>
    <row r="2738" spans="1:12" x14ac:dyDescent="0.25">
      <c r="A2738" s="94"/>
      <c r="B2738" s="46"/>
      <c r="C2738" s="47"/>
      <c r="D2738" s="56"/>
      <c r="E2738" s="57"/>
      <c r="F2738" s="44"/>
      <c r="G2738" s="110" t="s">
        <v>51</v>
      </c>
      <c r="H2738" s="111"/>
      <c r="I2738" s="112"/>
      <c r="J2738" s="113"/>
      <c r="K2738" s="114"/>
      <c r="L2738" s="5"/>
    </row>
    <row r="2739" spans="1:12" x14ac:dyDescent="0.25">
      <c r="A2739" s="48"/>
      <c r="B2739" s="46"/>
      <c r="C2739" s="39"/>
      <c r="D2739" s="52"/>
      <c r="E2739" s="53"/>
      <c r="F2739" s="44"/>
      <c r="G2739" s="110" t="s">
        <v>58</v>
      </c>
      <c r="H2739" s="111"/>
      <c r="I2739" s="112"/>
      <c r="J2739" s="113"/>
      <c r="K2739" s="114"/>
      <c r="L2739" s="5"/>
    </row>
    <row r="2740" spans="1:12" x14ac:dyDescent="0.25">
      <c r="A2740" s="48"/>
      <c r="B2740" s="35"/>
      <c r="C2740" s="39"/>
      <c r="D2740" s="52"/>
      <c r="E2740" s="53"/>
      <c r="F2740" s="44"/>
      <c r="G2740" s="110" t="s">
        <v>51</v>
      </c>
      <c r="H2740" s="111"/>
      <c r="I2740" s="112"/>
      <c r="J2740" s="113"/>
      <c r="K2740" s="114"/>
      <c r="L2740" s="5"/>
    </row>
    <row r="2741" spans="1:12" x14ac:dyDescent="0.25">
      <c r="A2741" s="48"/>
      <c r="B2741" s="35"/>
      <c r="C2741" s="39"/>
      <c r="D2741" s="52"/>
      <c r="E2741" s="53"/>
      <c r="F2741" s="44"/>
      <c r="G2741" s="77"/>
      <c r="H2741" s="78" t="s">
        <v>69</v>
      </c>
      <c r="I2741" s="79"/>
      <c r="J2741" s="113">
        <v>0</v>
      </c>
      <c r="K2741" s="114"/>
      <c r="L2741" s="5"/>
    </row>
    <row r="2742" spans="1:12" x14ac:dyDescent="0.25">
      <c r="A2742" s="38"/>
      <c r="B2742" s="35"/>
      <c r="C2742" s="39"/>
      <c r="D2742" s="52"/>
      <c r="E2742" s="53"/>
      <c r="F2742" s="44"/>
      <c r="G2742" s="77"/>
      <c r="H2742" s="78" t="s">
        <v>72</v>
      </c>
      <c r="I2742" s="79"/>
      <c r="J2742" s="113"/>
      <c r="K2742" s="114"/>
      <c r="L2742" s="5"/>
    </row>
    <row r="2743" spans="1:12" ht="15.75" thickBot="1" x14ac:dyDescent="0.3">
      <c r="A2743" s="5"/>
      <c r="B2743" s="5"/>
      <c r="C2743" s="7" t="s">
        <v>35</v>
      </c>
      <c r="D2743" s="17">
        <f>SUM(D2735:D2742)</f>
        <v>1197.33</v>
      </c>
      <c r="E2743" s="17">
        <f>SUM(E2735:E2742)</f>
        <v>24954.1</v>
      </c>
      <c r="F2743" s="89">
        <f>AVERAGE(F2735:F2739)</f>
        <v>20.896788625986584</v>
      </c>
      <c r="G2743" s="110" t="s">
        <v>73</v>
      </c>
      <c r="H2743" s="111"/>
      <c r="I2743" s="112"/>
      <c r="J2743" s="113"/>
      <c r="K2743" s="114"/>
      <c r="L2743" s="7" t="s">
        <v>36</v>
      </c>
    </row>
    <row r="2744" spans="1:12" ht="15.75" thickBot="1" x14ac:dyDescent="0.3">
      <c r="A2744" s="5"/>
      <c r="B2744" s="5"/>
      <c r="C2744" s="5"/>
      <c r="D2744" s="5"/>
      <c r="E2744" s="5"/>
      <c r="F2744" s="5"/>
      <c r="G2744" s="130"/>
      <c r="H2744" s="131"/>
      <c r="I2744" s="132"/>
      <c r="J2744" s="133"/>
      <c r="K2744" s="134"/>
      <c r="L2744" s="18">
        <f>J2735+J2736+J2737+J2738+J2739+J2740+J2741+J2742+J2743</f>
        <v>710</v>
      </c>
    </row>
    <row r="2745" spans="1:12" ht="15.75" thickBot="1" x14ac:dyDescent="0.3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</row>
    <row r="2746" spans="1:12" ht="15.75" thickBot="1" x14ac:dyDescent="0.3">
      <c r="A2746" s="19"/>
      <c r="B2746" s="20"/>
      <c r="C2746" s="20"/>
      <c r="D2746" s="20"/>
      <c r="E2746" s="21" t="s">
        <v>13</v>
      </c>
      <c r="F2746" s="5"/>
      <c r="G2746" s="19"/>
      <c r="H2746" s="20"/>
      <c r="I2746" s="20"/>
      <c r="J2746" s="20"/>
      <c r="K2746" s="21" t="s">
        <v>13</v>
      </c>
      <c r="L2746" s="5"/>
    </row>
    <row r="2747" spans="1:12" x14ac:dyDescent="0.25">
      <c r="A2747" s="22" t="s">
        <v>31</v>
      </c>
      <c r="B2747" s="115">
        <v>17991</v>
      </c>
      <c r="C2747" s="116"/>
      <c r="D2747" s="116"/>
      <c r="E2747" s="117"/>
      <c r="F2747" s="5"/>
      <c r="G2747" s="22" t="s">
        <v>32</v>
      </c>
      <c r="H2747" s="115">
        <v>43000</v>
      </c>
      <c r="I2747" s="116"/>
      <c r="J2747" s="116"/>
      <c r="K2747" s="117"/>
      <c r="L2747" s="5"/>
    </row>
    <row r="2748" spans="1:12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</row>
    <row r="2749" spans="1:12" x14ac:dyDescent="0.25">
      <c r="A2749" s="7" t="s">
        <v>16</v>
      </c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</row>
    <row r="2750" spans="1:12" x14ac:dyDescent="0.25">
      <c r="A2750" s="9" t="s">
        <v>17</v>
      </c>
      <c r="B2750" s="23">
        <f>L2727-C2722</f>
        <v>2952</v>
      </c>
      <c r="C2750" s="5"/>
      <c r="D2750" s="106" t="s">
        <v>18</v>
      </c>
      <c r="E2750" s="107"/>
      <c r="F2750" s="24" t="s">
        <v>19</v>
      </c>
      <c r="G2750" s="9" t="s">
        <v>20</v>
      </c>
      <c r="H2750" s="118">
        <f>B2747+H2747</f>
        <v>60991</v>
      </c>
      <c r="I2750" s="119"/>
      <c r="J2750" s="60"/>
      <c r="K2750" s="5"/>
      <c r="L2750" s="5"/>
    </row>
    <row r="2751" spans="1:12" x14ac:dyDescent="0.25">
      <c r="A2751" s="9" t="s">
        <v>41</v>
      </c>
      <c r="B2751" s="40">
        <f>B2750/D2743</f>
        <v>2.4654857056951718</v>
      </c>
      <c r="C2751" s="5"/>
      <c r="D2751" s="102">
        <f>E2743</f>
        <v>24954.1</v>
      </c>
      <c r="E2751" s="103"/>
      <c r="F2751" s="25">
        <f>H2751/B2750</f>
        <v>10.852066395663956</v>
      </c>
      <c r="G2751" s="9" t="s">
        <v>21</v>
      </c>
      <c r="H2751" s="104">
        <f>L2744+D2751+D2753+D2755+D2757+A2754</f>
        <v>32035.3</v>
      </c>
      <c r="I2751" s="105"/>
      <c r="J2751" s="5"/>
      <c r="K2751" s="5"/>
      <c r="L2751" s="5"/>
    </row>
    <row r="2752" spans="1:12" x14ac:dyDescent="0.25">
      <c r="A2752" s="9" t="s">
        <v>43</v>
      </c>
      <c r="B2752" s="23">
        <f>D2743/B2750*100</f>
        <v>40.559959349593491</v>
      </c>
      <c r="C2752" s="5"/>
      <c r="D2752" s="106" t="s">
        <v>33</v>
      </c>
      <c r="E2752" s="107"/>
      <c r="F2752" s="5"/>
      <c r="G2752" s="13" t="s">
        <v>22</v>
      </c>
      <c r="H2752" s="6"/>
      <c r="I2752" s="26">
        <f>H2750-H2751</f>
        <v>28955.7</v>
      </c>
      <c r="J2752" s="5"/>
      <c r="K2752" s="5"/>
      <c r="L2752" s="5"/>
    </row>
    <row r="2753" spans="1:12" x14ac:dyDescent="0.25">
      <c r="A2753" s="106" t="s">
        <v>40</v>
      </c>
      <c r="B2753" s="107"/>
      <c r="C2753" s="5"/>
      <c r="D2753" s="149">
        <v>1100</v>
      </c>
      <c r="E2753" s="150"/>
      <c r="F2753" s="5"/>
      <c r="G2753" s="5"/>
      <c r="H2753" s="5"/>
      <c r="I2753" s="5"/>
      <c r="J2753" s="5"/>
      <c r="K2753" s="5"/>
      <c r="L2753" s="5"/>
    </row>
    <row r="2754" spans="1:12" x14ac:dyDescent="0.25">
      <c r="A2754" s="108">
        <f>B2750*0.6</f>
        <v>1771.2</v>
      </c>
      <c r="B2754" s="109"/>
      <c r="C2754" s="5"/>
      <c r="D2754" s="106" t="s">
        <v>34</v>
      </c>
      <c r="E2754" s="107"/>
      <c r="F2754" s="5"/>
      <c r="G2754" s="145" t="s">
        <v>292</v>
      </c>
      <c r="H2754" s="146"/>
      <c r="I2754" s="23">
        <f>B2750/2.3</f>
        <v>1283.4782608695652</v>
      </c>
      <c r="J2754" s="60"/>
      <c r="K2754" s="5"/>
      <c r="L2754" s="5"/>
    </row>
    <row r="2755" spans="1:12" x14ac:dyDescent="0.25">
      <c r="A2755" s="5"/>
      <c r="B2755" s="5"/>
      <c r="C2755" s="5"/>
      <c r="D2755" s="108">
        <v>0</v>
      </c>
      <c r="E2755" s="109"/>
      <c r="F2755" s="5"/>
      <c r="G2755" s="145" t="s">
        <v>294</v>
      </c>
      <c r="H2755" s="146"/>
      <c r="I2755" s="23">
        <f>I2754-D2743</f>
        <v>86.14826086956532</v>
      </c>
      <c r="J2755" s="5"/>
      <c r="K2755" s="5"/>
      <c r="L2755" s="5"/>
    </row>
    <row r="2756" spans="1:12" x14ac:dyDescent="0.25">
      <c r="A2756" s="5"/>
      <c r="B2756" s="5"/>
      <c r="C2756" s="5"/>
      <c r="D2756" s="106" t="s">
        <v>37</v>
      </c>
      <c r="E2756" s="107"/>
      <c r="F2756" s="5"/>
      <c r="G2756" s="147" t="s">
        <v>295</v>
      </c>
      <c r="H2756" s="148"/>
      <c r="I2756" s="86">
        <f>I2755*F2743</f>
        <v>1800.2219978876576</v>
      </c>
      <c r="J2756" s="87">
        <f>I2752-I2756</f>
        <v>27155.478002112344</v>
      </c>
      <c r="K2756" s="5"/>
      <c r="L2756" s="5"/>
    </row>
    <row r="2757" spans="1:12" x14ac:dyDescent="0.25">
      <c r="A2757" s="5"/>
      <c r="B2757" s="5"/>
      <c r="C2757" s="5"/>
      <c r="D2757" s="108">
        <v>3500</v>
      </c>
      <c r="E2757" s="109"/>
      <c r="F2757" s="5" t="s">
        <v>78</v>
      </c>
      <c r="G2757" s="5"/>
      <c r="H2757" s="5"/>
      <c r="I2757" s="5"/>
      <c r="J2757" s="88" t="s">
        <v>293</v>
      </c>
      <c r="K2757" s="44"/>
      <c r="L2757" s="5"/>
    </row>
    <row r="2759" spans="1:12" s="49" customFormat="1" x14ac:dyDescent="0.25"/>
    <row r="2762" spans="1:12" x14ac:dyDescent="0.25">
      <c r="A2762" s="120" t="s">
        <v>24</v>
      </c>
      <c r="B2762" s="120"/>
      <c r="C2762" s="120"/>
      <c r="D2762" s="120"/>
      <c r="E2762" s="120"/>
      <c r="F2762" s="120"/>
      <c r="G2762" s="120"/>
      <c r="H2762" s="120"/>
      <c r="I2762" s="120"/>
      <c r="J2762" s="120"/>
      <c r="K2762" s="120"/>
      <c r="L2762" s="120"/>
    </row>
    <row r="2763" spans="1:12" x14ac:dyDescent="0.25">
      <c r="A2763" s="120"/>
      <c r="B2763" s="120"/>
      <c r="C2763" s="120"/>
      <c r="D2763" s="120"/>
      <c r="E2763" s="120"/>
      <c r="F2763" s="120"/>
      <c r="G2763" s="120"/>
      <c r="H2763" s="120"/>
      <c r="I2763" s="120"/>
      <c r="J2763" s="120"/>
      <c r="K2763" s="120"/>
      <c r="L2763" s="120"/>
    </row>
    <row r="2764" spans="1:12" x14ac:dyDescent="0.25">
      <c r="A2764" s="1" t="s">
        <v>4</v>
      </c>
      <c r="B2764" s="2"/>
      <c r="C2764" s="90"/>
      <c r="D2764" s="2"/>
      <c r="E2764" s="2"/>
      <c r="F2764" s="2"/>
      <c r="G2764" s="3" t="s">
        <v>5</v>
      </c>
      <c r="H2764" s="3" t="s">
        <v>6</v>
      </c>
      <c r="I2764" s="4" t="s">
        <v>7</v>
      </c>
      <c r="J2764" s="5"/>
      <c r="K2764" s="5"/>
      <c r="L2764" s="5"/>
    </row>
    <row r="2765" spans="1:12" x14ac:dyDescent="0.25">
      <c r="A2765" s="91" t="s">
        <v>359</v>
      </c>
      <c r="B2765" s="92" t="s">
        <v>42</v>
      </c>
      <c r="C2765" s="64"/>
      <c r="D2765" s="66"/>
      <c r="E2765" s="2"/>
      <c r="F2765" s="2"/>
      <c r="G2765" s="91" t="s">
        <v>299</v>
      </c>
      <c r="H2765" s="66"/>
      <c r="I2765" s="33"/>
      <c r="J2765" s="6"/>
      <c r="K2765" s="33"/>
      <c r="L2765" s="6"/>
    </row>
    <row r="2766" spans="1:12" x14ac:dyDescent="0.25">
      <c r="A2766" s="7" t="s">
        <v>2</v>
      </c>
      <c r="B2766" s="5"/>
      <c r="C2766" s="5"/>
      <c r="D2766" s="5"/>
      <c r="E2766" s="5"/>
      <c r="F2766" s="5"/>
      <c r="G2766" s="8" t="s">
        <v>8</v>
      </c>
      <c r="H2766" s="93">
        <v>3</v>
      </c>
      <c r="I2766" s="5"/>
      <c r="J2766" s="5"/>
      <c r="K2766" s="5"/>
      <c r="L2766" s="5"/>
    </row>
    <row r="2767" spans="1:12" x14ac:dyDescent="0.25">
      <c r="A2767" s="7" t="s">
        <v>25</v>
      </c>
      <c r="B2767" s="5"/>
      <c r="C2767" s="7" t="s">
        <v>0</v>
      </c>
      <c r="D2767" s="5"/>
      <c r="E2767" s="5"/>
      <c r="F2767" s="5"/>
      <c r="G2767" s="7" t="s">
        <v>25</v>
      </c>
      <c r="H2767" s="5"/>
      <c r="I2767" s="7" t="s">
        <v>0</v>
      </c>
      <c r="J2767" s="5"/>
      <c r="K2767" s="5"/>
      <c r="L2767" s="5"/>
    </row>
    <row r="2768" spans="1:12" x14ac:dyDescent="0.25">
      <c r="A2768" s="42" t="s">
        <v>490</v>
      </c>
      <c r="B2768" s="6"/>
      <c r="C2768" s="31">
        <f>L2727</f>
        <v>997302</v>
      </c>
      <c r="D2768" s="5"/>
      <c r="E2768" s="5"/>
      <c r="F2768" s="5"/>
      <c r="G2768" s="42"/>
      <c r="H2768" s="6"/>
      <c r="I2768" s="9"/>
      <c r="J2768" s="5"/>
      <c r="K2768" s="5"/>
      <c r="L2768" s="5"/>
    </row>
    <row r="2769" spans="1:12" ht="16.5" thickBot="1" x14ac:dyDescent="0.3">
      <c r="A2769" s="7"/>
      <c r="B2769" s="62"/>
      <c r="C2769" s="62"/>
      <c r="D2769" s="62"/>
      <c r="E2769" s="5"/>
      <c r="F2769" s="5"/>
      <c r="G2769" s="10"/>
      <c r="H2769" s="5"/>
      <c r="I2769" s="5"/>
      <c r="J2769" s="5"/>
      <c r="K2769" s="5"/>
      <c r="L2769" s="5"/>
    </row>
    <row r="2770" spans="1:12" ht="15.75" thickBot="1" x14ac:dyDescent="0.3">
      <c r="A2770" s="121" t="s">
        <v>9</v>
      </c>
      <c r="B2770" s="122"/>
      <c r="C2770" s="123"/>
      <c r="D2770" s="5"/>
      <c r="E2770" s="5"/>
      <c r="F2770" s="5"/>
      <c r="G2770" s="121" t="s">
        <v>26</v>
      </c>
      <c r="H2770" s="122"/>
      <c r="I2770" s="123"/>
      <c r="J2770" s="5"/>
      <c r="K2770" s="5"/>
      <c r="L2770" s="5"/>
    </row>
    <row r="2771" spans="1:12" x14ac:dyDescent="0.25">
      <c r="A2771" s="30" t="s">
        <v>38</v>
      </c>
      <c r="B2771" s="11"/>
      <c r="C2771" s="11"/>
      <c r="D2771" s="11"/>
      <c r="E2771" s="6"/>
      <c r="F2771" s="5"/>
      <c r="G2771" s="30" t="str">
        <f>A2774</f>
        <v>ROSH PINAH</v>
      </c>
      <c r="H2771" s="11"/>
      <c r="I2771" s="11"/>
      <c r="J2771" s="11"/>
      <c r="K2771" s="11"/>
      <c r="L2771" s="6"/>
    </row>
    <row r="2772" spans="1:12" ht="15.75" thickBot="1" x14ac:dyDescent="0.3">
      <c r="A2772" s="7"/>
      <c r="B2772" s="7"/>
      <c r="C2772" s="7"/>
      <c r="D2772" s="5"/>
      <c r="E2772" s="5"/>
      <c r="F2772" s="5"/>
      <c r="G2772" s="7" t="str">
        <f>A2774</f>
        <v>ROSH PINAH</v>
      </c>
      <c r="H2772" s="7"/>
      <c r="I2772" s="7"/>
      <c r="J2772" s="5"/>
      <c r="K2772" s="5"/>
      <c r="L2772" s="5"/>
    </row>
    <row r="2773" spans="1:12" ht="15.75" thickBot="1" x14ac:dyDescent="0.3">
      <c r="A2773" s="121"/>
      <c r="B2773" s="122"/>
      <c r="C2773" s="124"/>
      <c r="D2773" s="12" t="s">
        <v>1</v>
      </c>
      <c r="E2773" s="32"/>
      <c r="F2773" s="5"/>
      <c r="G2773" s="121" t="s">
        <v>27</v>
      </c>
      <c r="H2773" s="122"/>
      <c r="I2773" s="123"/>
      <c r="J2773" s="5"/>
      <c r="K2773" s="12" t="s">
        <v>1</v>
      </c>
      <c r="L2773" s="32">
        <v>999113</v>
      </c>
    </row>
    <row r="2774" spans="1:12" x14ac:dyDescent="0.25">
      <c r="A2774" s="30" t="s">
        <v>315</v>
      </c>
      <c r="B2774" s="11"/>
      <c r="C2774" s="11"/>
      <c r="D2774" s="11"/>
      <c r="E2774" s="6"/>
      <c r="F2774" s="5"/>
      <c r="G2774" s="30" t="s">
        <v>364</v>
      </c>
      <c r="H2774" s="11"/>
      <c r="I2774" s="11"/>
      <c r="J2774" s="11"/>
      <c r="K2774" s="11"/>
      <c r="L2774" s="6"/>
    </row>
    <row r="2775" spans="1:12" x14ac:dyDescent="0.25">
      <c r="A2775" s="76"/>
      <c r="B2775" s="11"/>
      <c r="C2775" s="11"/>
      <c r="D2775" s="11"/>
      <c r="E2775" s="6"/>
      <c r="F2775" s="5"/>
      <c r="G2775" s="34"/>
      <c r="H2775" s="11"/>
      <c r="I2775" s="11"/>
      <c r="J2775" s="11"/>
      <c r="K2775" s="11"/>
      <c r="L2775" s="6"/>
    </row>
    <row r="2776" spans="1:12" x14ac:dyDescent="0.25">
      <c r="A2776" s="13"/>
      <c r="B2776" s="11"/>
      <c r="C2776" s="11"/>
      <c r="D2776" s="11"/>
      <c r="E2776" s="6"/>
      <c r="F2776" s="5"/>
      <c r="G2776" s="13"/>
      <c r="H2776" s="11"/>
      <c r="I2776" s="11"/>
      <c r="J2776" s="11"/>
      <c r="K2776" s="11"/>
      <c r="L2776" s="6"/>
    </row>
    <row r="2777" spans="1:12" x14ac:dyDescent="0.25">
      <c r="A2777" s="13"/>
      <c r="B2777" s="11"/>
      <c r="C2777" s="11"/>
      <c r="D2777" s="11"/>
      <c r="E2777" s="6"/>
      <c r="F2777" s="5"/>
      <c r="G2777" s="13"/>
      <c r="H2777" s="11"/>
      <c r="I2777" s="11"/>
      <c r="J2777" s="11"/>
      <c r="K2777" s="11"/>
      <c r="L2777" s="6"/>
    </row>
    <row r="2778" spans="1:12" ht="15.75" thickBot="1" x14ac:dyDescent="0.3">
      <c r="A2778" s="13"/>
      <c r="B2778" s="11"/>
      <c r="C2778" s="11" t="s">
        <v>29</v>
      </c>
      <c r="D2778" s="43"/>
      <c r="E2778" s="6"/>
      <c r="F2778" s="5"/>
      <c r="G2778" s="13"/>
      <c r="H2778" s="11"/>
      <c r="I2778" s="14" t="s">
        <v>28</v>
      </c>
      <c r="J2778" s="43"/>
      <c r="K2778" s="59"/>
      <c r="L2778" s="6"/>
    </row>
    <row r="2779" spans="1:12" ht="15.75" thickBot="1" x14ac:dyDescent="0.3">
      <c r="A2779" s="15" t="s">
        <v>10</v>
      </c>
      <c r="B2779" s="5"/>
      <c r="C2779" s="5"/>
      <c r="D2779" s="5"/>
      <c r="E2779" s="5"/>
      <c r="F2779" s="5"/>
      <c r="G2779" s="15" t="s">
        <v>14</v>
      </c>
      <c r="H2779" s="5"/>
      <c r="I2779" s="5"/>
      <c r="J2779" s="5"/>
      <c r="K2779" s="5"/>
      <c r="L2779" s="5"/>
    </row>
    <row r="2780" spans="1:12" ht="15.75" thickBot="1" x14ac:dyDescent="0.3">
      <c r="A2780" s="121" t="s">
        <v>11</v>
      </c>
      <c r="B2780" s="122"/>
      <c r="C2780" s="123"/>
      <c r="D2780" s="16" t="s">
        <v>12</v>
      </c>
      <c r="E2780" s="16" t="s">
        <v>13</v>
      </c>
      <c r="F2780" s="5"/>
      <c r="G2780" s="121" t="s">
        <v>15</v>
      </c>
      <c r="H2780" s="122"/>
      <c r="I2780" s="123"/>
      <c r="J2780" s="121"/>
      <c r="K2780" s="123"/>
      <c r="L2780" s="5"/>
    </row>
    <row r="2781" spans="1:12" x14ac:dyDescent="0.25">
      <c r="A2781" s="94" t="s">
        <v>491</v>
      </c>
      <c r="B2781" s="46" t="s">
        <v>47</v>
      </c>
      <c r="C2781" s="47"/>
      <c r="D2781" s="56">
        <f>489.9+239.4</f>
        <v>729.3</v>
      </c>
      <c r="E2781" s="57">
        <v>14885.97</v>
      </c>
      <c r="F2781" s="44">
        <f>E2781/D2781</f>
        <v>20.41131221719457</v>
      </c>
      <c r="G2781" s="125" t="s">
        <v>69</v>
      </c>
      <c r="H2781" s="126"/>
      <c r="I2781" s="127"/>
      <c r="J2781" s="128">
        <v>0</v>
      </c>
      <c r="K2781" s="129"/>
      <c r="L2781" s="5"/>
    </row>
    <row r="2782" spans="1:12" x14ac:dyDescent="0.25">
      <c r="A2782" s="94"/>
      <c r="B2782" s="46"/>
      <c r="C2782" s="47"/>
      <c r="D2782" s="56"/>
      <c r="E2782" s="57"/>
      <c r="F2782" s="44"/>
      <c r="G2782" s="110" t="s">
        <v>59</v>
      </c>
      <c r="H2782" s="111"/>
      <c r="I2782" s="112"/>
      <c r="J2782" s="113"/>
      <c r="K2782" s="114"/>
      <c r="L2782" s="5"/>
    </row>
    <row r="2783" spans="1:12" x14ac:dyDescent="0.25">
      <c r="A2783" s="94"/>
      <c r="B2783" s="46"/>
      <c r="C2783" s="47"/>
      <c r="D2783" s="56"/>
      <c r="E2783" s="57"/>
      <c r="F2783" s="44"/>
      <c r="G2783" s="110" t="s">
        <v>61</v>
      </c>
      <c r="H2783" s="111"/>
      <c r="I2783" s="112"/>
      <c r="J2783" s="113"/>
      <c r="K2783" s="114"/>
      <c r="L2783" s="5"/>
    </row>
    <row r="2784" spans="1:12" x14ac:dyDescent="0.25">
      <c r="A2784" s="94"/>
      <c r="B2784" s="46"/>
      <c r="C2784" s="47"/>
      <c r="D2784" s="56"/>
      <c r="E2784" s="57"/>
      <c r="F2784" s="44"/>
      <c r="G2784" s="110" t="s">
        <v>51</v>
      </c>
      <c r="H2784" s="111"/>
      <c r="I2784" s="112"/>
      <c r="J2784" s="113"/>
      <c r="K2784" s="114"/>
      <c r="L2784" s="5"/>
    </row>
    <row r="2785" spans="1:12" x14ac:dyDescent="0.25">
      <c r="A2785" s="48"/>
      <c r="B2785" s="46"/>
      <c r="C2785" s="39"/>
      <c r="D2785" s="52"/>
      <c r="E2785" s="53"/>
      <c r="F2785" s="44"/>
      <c r="G2785" s="110" t="s">
        <v>58</v>
      </c>
      <c r="H2785" s="111"/>
      <c r="I2785" s="112"/>
      <c r="J2785" s="113"/>
      <c r="K2785" s="114"/>
      <c r="L2785" s="5"/>
    </row>
    <row r="2786" spans="1:12" x14ac:dyDescent="0.25">
      <c r="A2786" s="48"/>
      <c r="B2786" s="35"/>
      <c r="C2786" s="39"/>
      <c r="D2786" s="52"/>
      <c r="E2786" s="53"/>
      <c r="F2786" s="44"/>
      <c r="G2786" s="110" t="s">
        <v>51</v>
      </c>
      <c r="H2786" s="111"/>
      <c r="I2786" s="112"/>
      <c r="J2786" s="113"/>
      <c r="K2786" s="114"/>
      <c r="L2786" s="5"/>
    </row>
    <row r="2787" spans="1:12" x14ac:dyDescent="0.25">
      <c r="A2787" s="48"/>
      <c r="B2787" s="35"/>
      <c r="C2787" s="39"/>
      <c r="D2787" s="52"/>
      <c r="E2787" s="53"/>
      <c r="F2787" s="44"/>
      <c r="G2787" s="77"/>
      <c r="H2787" s="78" t="s">
        <v>69</v>
      </c>
      <c r="I2787" s="79"/>
      <c r="J2787" s="113">
        <v>0</v>
      </c>
      <c r="K2787" s="114"/>
      <c r="L2787" s="5"/>
    </row>
    <row r="2788" spans="1:12" x14ac:dyDescent="0.25">
      <c r="A2788" s="38"/>
      <c r="B2788" s="35"/>
      <c r="C2788" s="39"/>
      <c r="D2788" s="52"/>
      <c r="E2788" s="53"/>
      <c r="F2788" s="44"/>
      <c r="G2788" s="77"/>
      <c r="H2788" s="78" t="s">
        <v>72</v>
      </c>
      <c r="I2788" s="79"/>
      <c r="J2788" s="113"/>
      <c r="K2788" s="114"/>
      <c r="L2788" s="5"/>
    </row>
    <row r="2789" spans="1:12" ht="15.75" thickBot="1" x14ac:dyDescent="0.3">
      <c r="A2789" s="5"/>
      <c r="B2789" s="5"/>
      <c r="C2789" s="7" t="s">
        <v>35</v>
      </c>
      <c r="D2789" s="17">
        <f>SUM(D2781:D2788)</f>
        <v>729.3</v>
      </c>
      <c r="E2789" s="17">
        <f>SUM(E2781:E2788)</f>
        <v>14885.97</v>
      </c>
      <c r="F2789" s="89">
        <f>AVERAGE(F2781:F2785)</f>
        <v>20.41131221719457</v>
      </c>
      <c r="G2789" s="110" t="s">
        <v>73</v>
      </c>
      <c r="H2789" s="111"/>
      <c r="I2789" s="112"/>
      <c r="J2789" s="113"/>
      <c r="K2789" s="114"/>
      <c r="L2789" s="7" t="s">
        <v>36</v>
      </c>
    </row>
    <row r="2790" spans="1:12" ht="15.75" thickBot="1" x14ac:dyDescent="0.3">
      <c r="A2790" s="5"/>
      <c r="B2790" s="5"/>
      <c r="C2790" s="5"/>
      <c r="D2790" s="5"/>
      <c r="E2790" s="5"/>
      <c r="F2790" s="5"/>
      <c r="G2790" s="130"/>
      <c r="H2790" s="131"/>
      <c r="I2790" s="132"/>
      <c r="J2790" s="133"/>
      <c r="K2790" s="134"/>
      <c r="L2790" s="18">
        <f>J2781+J2782+J2783+J2784+J2785+J2786+J2787+J2788+J2789</f>
        <v>0</v>
      </c>
    </row>
    <row r="2791" spans="1:12" ht="15.75" thickBot="1" x14ac:dyDescent="0.3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</row>
    <row r="2792" spans="1:12" ht="15.75" thickBot="1" x14ac:dyDescent="0.3">
      <c r="A2792" s="19"/>
      <c r="B2792" s="20"/>
      <c r="C2792" s="20"/>
      <c r="D2792" s="20"/>
      <c r="E2792" s="21" t="s">
        <v>13</v>
      </c>
      <c r="F2792" s="5"/>
      <c r="G2792" s="19"/>
      <c r="H2792" s="20"/>
      <c r="I2792" s="20"/>
      <c r="J2792" s="20"/>
      <c r="K2792" s="21" t="s">
        <v>13</v>
      </c>
      <c r="L2792" s="5"/>
    </row>
    <row r="2793" spans="1:12" x14ac:dyDescent="0.25">
      <c r="A2793" s="22" t="s">
        <v>31</v>
      </c>
      <c r="B2793" s="115">
        <v>34251</v>
      </c>
      <c r="C2793" s="116"/>
      <c r="D2793" s="116"/>
      <c r="E2793" s="117"/>
      <c r="F2793" s="5"/>
      <c r="G2793" s="22" t="s">
        <v>32</v>
      </c>
      <c r="H2793" s="115">
        <v>0</v>
      </c>
      <c r="I2793" s="116"/>
      <c r="J2793" s="116"/>
      <c r="K2793" s="117"/>
      <c r="L2793" s="5"/>
    </row>
    <row r="2794" spans="1:12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</row>
    <row r="2795" spans="1:12" x14ac:dyDescent="0.25">
      <c r="A2795" s="7" t="s">
        <v>16</v>
      </c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</row>
    <row r="2796" spans="1:12" x14ac:dyDescent="0.25">
      <c r="A2796" s="9" t="s">
        <v>17</v>
      </c>
      <c r="B2796" s="23">
        <f>L2773-C2768</f>
        <v>1811</v>
      </c>
      <c r="C2796" s="5"/>
      <c r="D2796" s="106" t="s">
        <v>18</v>
      </c>
      <c r="E2796" s="107"/>
      <c r="F2796" s="24" t="s">
        <v>19</v>
      </c>
      <c r="G2796" s="9" t="s">
        <v>20</v>
      </c>
      <c r="H2796" s="118">
        <f>B2793+H2793</f>
        <v>34251</v>
      </c>
      <c r="I2796" s="119"/>
      <c r="J2796" s="60"/>
      <c r="K2796" s="5"/>
      <c r="L2796" s="5"/>
    </row>
    <row r="2797" spans="1:12" x14ac:dyDescent="0.25">
      <c r="A2797" s="9" t="s">
        <v>41</v>
      </c>
      <c r="B2797" s="40">
        <f>B2796/D2789</f>
        <v>2.4832030714383655</v>
      </c>
      <c r="C2797" s="5"/>
      <c r="D2797" s="102">
        <f>E2789</f>
        <v>14885.97</v>
      </c>
      <c r="E2797" s="103"/>
      <c r="F2797" s="25">
        <f>H2797/B2796</f>
        <v>9.1510601877415798</v>
      </c>
      <c r="G2797" s="9" t="s">
        <v>21</v>
      </c>
      <c r="H2797" s="104">
        <f>L2790+D2797+D2799+D2801+D2803+A2800</f>
        <v>16572.57</v>
      </c>
      <c r="I2797" s="105"/>
      <c r="J2797" s="5"/>
      <c r="K2797" s="5"/>
      <c r="L2797" s="5"/>
    </row>
    <row r="2798" spans="1:12" x14ac:dyDescent="0.25">
      <c r="A2798" s="9" t="s">
        <v>43</v>
      </c>
      <c r="B2798" s="23">
        <f>D2789/B2796*100</f>
        <v>40.270568746548868</v>
      </c>
      <c r="C2798" s="5"/>
      <c r="D2798" s="106" t="s">
        <v>33</v>
      </c>
      <c r="E2798" s="107"/>
      <c r="F2798" s="5"/>
      <c r="G2798" s="13" t="s">
        <v>22</v>
      </c>
      <c r="H2798" s="6"/>
      <c r="I2798" s="26">
        <f>H2796-H2797</f>
        <v>17678.43</v>
      </c>
      <c r="J2798" s="5"/>
      <c r="K2798" s="5"/>
      <c r="L2798" s="5"/>
    </row>
    <row r="2799" spans="1:12" x14ac:dyDescent="0.25">
      <c r="A2799" s="106" t="s">
        <v>40</v>
      </c>
      <c r="B2799" s="107"/>
      <c r="C2799" s="5"/>
      <c r="D2799" s="149">
        <v>600</v>
      </c>
      <c r="E2799" s="150"/>
      <c r="F2799" s="5"/>
      <c r="G2799" s="5"/>
      <c r="H2799" s="5"/>
      <c r="I2799" s="5"/>
      <c r="J2799" s="5"/>
      <c r="K2799" s="5"/>
      <c r="L2799" s="5"/>
    </row>
    <row r="2800" spans="1:12" x14ac:dyDescent="0.25">
      <c r="A2800" s="108">
        <f>B2796*0.6</f>
        <v>1086.5999999999999</v>
      </c>
      <c r="B2800" s="109"/>
      <c r="C2800" s="5"/>
      <c r="D2800" s="106" t="s">
        <v>34</v>
      </c>
      <c r="E2800" s="107"/>
      <c r="F2800" s="5"/>
      <c r="G2800" s="145" t="s">
        <v>292</v>
      </c>
      <c r="H2800" s="146"/>
      <c r="I2800" s="23">
        <f>B2796/2.3</f>
        <v>787.39130434782612</v>
      </c>
      <c r="J2800" s="60"/>
      <c r="K2800" s="5"/>
      <c r="L2800" s="5"/>
    </row>
    <row r="2801" spans="1:12" x14ac:dyDescent="0.25">
      <c r="A2801" s="5"/>
      <c r="B2801" s="5"/>
      <c r="C2801" s="5"/>
      <c r="D2801" s="108">
        <v>0</v>
      </c>
      <c r="E2801" s="109"/>
      <c r="F2801" s="5"/>
      <c r="G2801" s="145" t="s">
        <v>294</v>
      </c>
      <c r="H2801" s="146"/>
      <c r="I2801" s="23">
        <f>I2800-D2789</f>
        <v>58.091304347826167</v>
      </c>
      <c r="J2801" s="5"/>
      <c r="K2801" s="5"/>
      <c r="L2801" s="5"/>
    </row>
    <row r="2802" spans="1:12" x14ac:dyDescent="0.25">
      <c r="A2802" s="5"/>
      <c r="B2802" s="5"/>
      <c r="C2802" s="5"/>
      <c r="D2802" s="106" t="s">
        <v>37</v>
      </c>
      <c r="E2802" s="107"/>
      <c r="F2802" s="5"/>
      <c r="G2802" s="147" t="s">
        <v>295</v>
      </c>
      <c r="H2802" s="148"/>
      <c r="I2802" s="86">
        <f>I2801*F2789</f>
        <v>1185.7197501475523</v>
      </c>
      <c r="J2802" s="87">
        <f>I2798-I2802</f>
        <v>16492.710249852447</v>
      </c>
      <c r="K2802" s="5"/>
      <c r="L2802" s="5"/>
    </row>
    <row r="2803" spans="1:12" x14ac:dyDescent="0.25">
      <c r="A2803" s="5"/>
      <c r="B2803" s="5"/>
      <c r="C2803" s="5"/>
      <c r="D2803" s="108">
        <v>0</v>
      </c>
      <c r="E2803" s="109"/>
      <c r="F2803" s="5" t="s">
        <v>78</v>
      </c>
      <c r="G2803" s="5"/>
      <c r="H2803" s="5"/>
      <c r="I2803" s="5"/>
      <c r="J2803" s="88" t="s">
        <v>293</v>
      </c>
      <c r="K2803" s="44"/>
      <c r="L2803" s="5"/>
    </row>
    <row r="2805" spans="1:12" s="49" customFormat="1" x14ac:dyDescent="0.25"/>
    <row r="2808" spans="1:12" x14ac:dyDescent="0.25">
      <c r="A2808" s="120" t="s">
        <v>24</v>
      </c>
      <c r="B2808" s="120"/>
      <c r="C2808" s="120"/>
      <c r="D2808" s="120"/>
      <c r="E2808" s="120"/>
      <c r="F2808" s="120"/>
      <c r="G2808" s="120"/>
      <c r="H2808" s="120"/>
      <c r="I2808" s="120"/>
      <c r="J2808" s="120"/>
      <c r="K2808" s="120"/>
      <c r="L2808" s="120"/>
    </row>
    <row r="2809" spans="1:12" x14ac:dyDescent="0.25">
      <c r="A2809" s="120"/>
      <c r="B2809" s="120"/>
      <c r="C2809" s="120"/>
      <c r="D2809" s="120"/>
      <c r="E2809" s="120"/>
      <c r="F2809" s="120"/>
      <c r="G2809" s="120"/>
      <c r="H2809" s="120"/>
      <c r="I2809" s="120"/>
      <c r="J2809" s="120"/>
      <c r="K2809" s="120"/>
      <c r="L2809" s="120"/>
    </row>
    <row r="2810" spans="1:12" x14ac:dyDescent="0.25">
      <c r="A2810" s="1" t="s">
        <v>4</v>
      </c>
      <c r="B2810" s="2"/>
      <c r="C2810" s="90"/>
      <c r="D2810" s="2"/>
      <c r="E2810" s="2"/>
      <c r="F2810" s="2"/>
      <c r="G2810" s="3" t="s">
        <v>5</v>
      </c>
      <c r="H2810" s="3" t="s">
        <v>6</v>
      </c>
      <c r="I2810" s="4" t="s">
        <v>7</v>
      </c>
      <c r="J2810" s="5"/>
      <c r="K2810" s="5"/>
      <c r="L2810" s="5"/>
    </row>
    <row r="2811" spans="1:12" x14ac:dyDescent="0.25">
      <c r="A2811" s="91" t="s">
        <v>359</v>
      </c>
      <c r="B2811" s="92" t="s">
        <v>42</v>
      </c>
      <c r="C2811" s="64"/>
      <c r="D2811" s="66"/>
      <c r="E2811" s="2"/>
      <c r="F2811" s="2"/>
      <c r="G2811" s="91" t="s">
        <v>299</v>
      </c>
      <c r="H2811" s="66"/>
      <c r="I2811" s="33"/>
      <c r="J2811" s="6"/>
      <c r="K2811" s="33"/>
      <c r="L2811" s="6"/>
    </row>
    <row r="2812" spans="1:12" x14ac:dyDescent="0.25">
      <c r="A2812" s="7" t="s">
        <v>2</v>
      </c>
      <c r="B2812" s="5"/>
      <c r="C2812" s="5"/>
      <c r="D2812" s="5"/>
      <c r="E2812" s="5"/>
      <c r="F2812" s="5"/>
      <c r="G2812" s="8" t="s">
        <v>8</v>
      </c>
      <c r="H2812" s="93">
        <v>3</v>
      </c>
      <c r="I2812" s="5"/>
      <c r="J2812" s="5"/>
      <c r="K2812" s="5"/>
      <c r="L2812" s="5"/>
    </row>
    <row r="2813" spans="1:12" x14ac:dyDescent="0.25">
      <c r="A2813" s="7" t="s">
        <v>25</v>
      </c>
      <c r="B2813" s="5"/>
      <c r="C2813" s="7" t="s">
        <v>0</v>
      </c>
      <c r="D2813" s="5"/>
      <c r="E2813" s="5"/>
      <c r="F2813" s="5"/>
      <c r="G2813" s="7" t="s">
        <v>25</v>
      </c>
      <c r="H2813" s="5"/>
      <c r="I2813" s="7" t="s">
        <v>0</v>
      </c>
      <c r="J2813" s="5"/>
      <c r="K2813" s="5"/>
      <c r="L2813" s="5"/>
    </row>
    <row r="2814" spans="1:12" x14ac:dyDescent="0.25">
      <c r="A2814" s="42" t="s">
        <v>491</v>
      </c>
      <c r="B2814" s="6"/>
      <c r="C2814" s="31">
        <f>L2773</f>
        <v>999113</v>
      </c>
      <c r="D2814" s="5"/>
      <c r="E2814" s="5"/>
      <c r="F2814" s="5"/>
      <c r="G2814" s="42"/>
      <c r="H2814" s="6"/>
      <c r="I2814" s="9"/>
      <c r="J2814" s="5"/>
      <c r="K2814" s="5"/>
      <c r="L2814" s="5"/>
    </row>
    <row r="2815" spans="1:12" ht="16.5" thickBot="1" x14ac:dyDescent="0.3">
      <c r="A2815" s="7"/>
      <c r="B2815" s="62"/>
      <c r="C2815" s="62"/>
      <c r="D2815" s="62"/>
      <c r="E2815" s="5"/>
      <c r="F2815" s="5"/>
      <c r="G2815" s="10"/>
      <c r="H2815" s="5"/>
      <c r="I2815" s="5"/>
      <c r="J2815" s="5"/>
      <c r="K2815" s="5"/>
      <c r="L2815" s="5"/>
    </row>
    <row r="2816" spans="1:12" ht="15.75" thickBot="1" x14ac:dyDescent="0.3">
      <c r="A2816" s="121" t="s">
        <v>9</v>
      </c>
      <c r="B2816" s="122"/>
      <c r="C2816" s="123"/>
      <c r="D2816" s="5"/>
      <c r="E2816" s="5"/>
      <c r="F2816" s="5"/>
      <c r="G2816" s="121" t="s">
        <v>26</v>
      </c>
      <c r="H2816" s="122"/>
      <c r="I2816" s="123"/>
      <c r="J2816" s="5"/>
      <c r="K2816" s="5"/>
      <c r="L2816" s="5"/>
    </row>
    <row r="2817" spans="1:13" x14ac:dyDescent="0.25">
      <c r="A2817" s="30" t="s">
        <v>38</v>
      </c>
      <c r="B2817" s="11"/>
      <c r="C2817" s="11"/>
      <c r="D2817" s="11"/>
      <c r="E2817" s="6"/>
      <c r="F2817" s="5"/>
      <c r="G2817" s="30" t="str">
        <f>A2820</f>
        <v>Gobabis</v>
      </c>
      <c r="H2817" s="11"/>
      <c r="I2817" s="11"/>
      <c r="J2817" s="11"/>
      <c r="K2817" s="11"/>
      <c r="L2817" s="6"/>
    </row>
    <row r="2818" spans="1:13" ht="15.75" thickBot="1" x14ac:dyDescent="0.3">
      <c r="A2818" s="7"/>
      <c r="B2818" s="7"/>
      <c r="C2818" s="7"/>
      <c r="D2818" s="5"/>
      <c r="E2818" s="5"/>
      <c r="F2818" s="5"/>
      <c r="G2818" s="7" t="str">
        <f>A2820</f>
        <v>Gobabis</v>
      </c>
      <c r="H2818" s="7"/>
      <c r="I2818" s="7"/>
      <c r="J2818" s="5"/>
      <c r="K2818" s="5"/>
      <c r="L2818" s="5"/>
    </row>
    <row r="2819" spans="1:13" ht="15.75" thickBot="1" x14ac:dyDescent="0.3">
      <c r="A2819" s="121"/>
      <c r="B2819" s="122"/>
      <c r="C2819" s="124"/>
      <c r="D2819" s="12" t="s">
        <v>1</v>
      </c>
      <c r="E2819" s="32"/>
      <c r="F2819" s="5"/>
      <c r="G2819" s="121" t="s">
        <v>27</v>
      </c>
      <c r="H2819" s="122"/>
      <c r="I2819" s="123"/>
      <c r="J2819" s="5"/>
      <c r="K2819" s="12" t="s">
        <v>1</v>
      </c>
      <c r="L2819" s="32">
        <v>1001031</v>
      </c>
      <c r="M2819">
        <v>999549</v>
      </c>
    </row>
    <row r="2820" spans="1:13" x14ac:dyDescent="0.25">
      <c r="A2820" s="30" t="s">
        <v>63</v>
      </c>
      <c r="B2820" s="11"/>
      <c r="C2820" s="11"/>
      <c r="D2820" s="11"/>
      <c r="E2820" s="6"/>
      <c r="F2820" s="5"/>
      <c r="G2820" s="30" t="s">
        <v>364</v>
      </c>
      <c r="H2820" s="11"/>
      <c r="I2820" s="11"/>
      <c r="J2820" s="11"/>
      <c r="K2820" s="11"/>
      <c r="L2820" s="6"/>
      <c r="M2820">
        <f>L2819-M2819</f>
        <v>1482</v>
      </c>
    </row>
    <row r="2821" spans="1:13" x14ac:dyDescent="0.25">
      <c r="A2821" s="76" t="s">
        <v>314</v>
      </c>
      <c r="B2821" s="11"/>
      <c r="C2821" s="11"/>
      <c r="D2821" s="11"/>
      <c r="E2821" s="6"/>
      <c r="F2821" s="5"/>
      <c r="G2821" s="34"/>
      <c r="H2821" s="11"/>
      <c r="I2821" s="11"/>
      <c r="J2821" s="11"/>
      <c r="K2821" s="11"/>
      <c r="L2821" s="6"/>
    </row>
    <row r="2822" spans="1:13" x14ac:dyDescent="0.25">
      <c r="A2822" s="13"/>
      <c r="B2822" s="11"/>
      <c r="C2822" s="11"/>
      <c r="D2822" s="11"/>
      <c r="E2822" s="6"/>
      <c r="F2822" s="5"/>
      <c r="G2822" s="13"/>
      <c r="H2822" s="11"/>
      <c r="I2822" s="11"/>
      <c r="J2822" s="11"/>
      <c r="K2822" s="11"/>
      <c r="L2822" s="6"/>
    </row>
    <row r="2823" spans="1:13" x14ac:dyDescent="0.25">
      <c r="A2823" s="13"/>
      <c r="B2823" s="11"/>
      <c r="C2823" s="11"/>
      <c r="D2823" s="11"/>
      <c r="E2823" s="6"/>
      <c r="F2823" s="5"/>
      <c r="G2823" s="13"/>
      <c r="H2823" s="11"/>
      <c r="I2823" s="11"/>
      <c r="J2823" s="11"/>
      <c r="K2823" s="11"/>
      <c r="L2823" s="6"/>
    </row>
    <row r="2824" spans="1:13" ht="15.75" thickBot="1" x14ac:dyDescent="0.3">
      <c r="A2824" s="13"/>
      <c r="B2824" s="11"/>
      <c r="C2824" s="11" t="s">
        <v>29</v>
      </c>
      <c r="D2824" s="43"/>
      <c r="E2824" s="6"/>
      <c r="F2824" s="5"/>
      <c r="G2824" s="13"/>
      <c r="H2824" s="11"/>
      <c r="I2824" s="14" t="s">
        <v>28</v>
      </c>
      <c r="J2824" s="43"/>
      <c r="K2824" s="59"/>
      <c r="L2824" s="6"/>
    </row>
    <row r="2825" spans="1:13" ht="15.75" thickBot="1" x14ac:dyDescent="0.3">
      <c r="A2825" s="15" t="s">
        <v>10</v>
      </c>
      <c r="B2825" s="5"/>
      <c r="C2825" s="5"/>
      <c r="D2825" s="5"/>
      <c r="E2825" s="5"/>
      <c r="F2825" s="5"/>
      <c r="G2825" s="15" t="s">
        <v>14</v>
      </c>
      <c r="H2825" s="5"/>
      <c r="I2825" s="5"/>
      <c r="J2825" s="5"/>
      <c r="K2825" s="5"/>
      <c r="L2825" s="5"/>
    </row>
    <row r="2826" spans="1:13" ht="15.75" thickBot="1" x14ac:dyDescent="0.3">
      <c r="A2826" s="121" t="s">
        <v>11</v>
      </c>
      <c r="B2826" s="122"/>
      <c r="C2826" s="123"/>
      <c r="D2826" s="16" t="s">
        <v>12</v>
      </c>
      <c r="E2826" s="16" t="s">
        <v>13</v>
      </c>
      <c r="F2826" s="5"/>
      <c r="G2826" s="121" t="s">
        <v>15</v>
      </c>
      <c r="H2826" s="122"/>
      <c r="I2826" s="123"/>
      <c r="J2826" s="121"/>
      <c r="K2826" s="123"/>
      <c r="L2826" s="5"/>
    </row>
    <row r="2827" spans="1:13" x14ac:dyDescent="0.25">
      <c r="A2827" s="94" t="s">
        <v>494</v>
      </c>
      <c r="B2827" s="46" t="s">
        <v>47</v>
      </c>
      <c r="C2827" s="47"/>
      <c r="D2827" s="56">
        <v>489.9</v>
      </c>
      <c r="E2827" s="57">
        <v>9999</v>
      </c>
      <c r="F2827" s="44">
        <f>E2827/D2827</f>
        <v>20.41028781383956</v>
      </c>
      <c r="G2827" s="125" t="s">
        <v>69</v>
      </c>
      <c r="H2827" s="126"/>
      <c r="I2827" s="127"/>
      <c r="J2827" s="128">
        <v>0</v>
      </c>
      <c r="K2827" s="129"/>
      <c r="L2827" s="5"/>
    </row>
    <row r="2828" spans="1:13" x14ac:dyDescent="0.25">
      <c r="A2828" s="94" t="s">
        <v>300</v>
      </c>
      <c r="B2828" s="46" t="s">
        <v>47</v>
      </c>
      <c r="C2828" s="47"/>
      <c r="D2828" s="56">
        <v>181.3</v>
      </c>
      <c r="E2828" s="57">
        <v>3701.97</v>
      </c>
      <c r="F2828" s="44">
        <f>E2828/D2828</f>
        <v>20.419029233314944</v>
      </c>
      <c r="G2828" s="110" t="s">
        <v>59</v>
      </c>
      <c r="H2828" s="111"/>
      <c r="I2828" s="112"/>
      <c r="J2828" s="113"/>
      <c r="K2828" s="114"/>
      <c r="L2828" s="5"/>
    </row>
    <row r="2829" spans="1:13" x14ac:dyDescent="0.25">
      <c r="A2829" s="94"/>
      <c r="B2829" s="46"/>
      <c r="C2829" s="47"/>
      <c r="D2829" s="56"/>
      <c r="E2829" s="57"/>
      <c r="F2829" s="44"/>
      <c r="G2829" s="110" t="s">
        <v>61</v>
      </c>
      <c r="H2829" s="111"/>
      <c r="I2829" s="112"/>
      <c r="J2829" s="113"/>
      <c r="K2829" s="114"/>
      <c r="L2829" s="5"/>
    </row>
    <row r="2830" spans="1:13" x14ac:dyDescent="0.25">
      <c r="A2830" s="94"/>
      <c r="B2830" s="46"/>
      <c r="C2830" s="47"/>
      <c r="D2830" s="56"/>
      <c r="E2830" s="57"/>
      <c r="F2830" s="44"/>
      <c r="G2830" s="110" t="s">
        <v>51</v>
      </c>
      <c r="H2830" s="111"/>
      <c r="I2830" s="112"/>
      <c r="J2830" s="113"/>
      <c r="K2830" s="114"/>
      <c r="L2830" s="5"/>
    </row>
    <row r="2831" spans="1:13" x14ac:dyDescent="0.25">
      <c r="A2831" s="48"/>
      <c r="B2831" s="46"/>
      <c r="C2831" s="39"/>
      <c r="D2831" s="52"/>
      <c r="E2831" s="53"/>
      <c r="F2831" s="44"/>
      <c r="G2831" s="110" t="s">
        <v>58</v>
      </c>
      <c r="H2831" s="111"/>
      <c r="I2831" s="112"/>
      <c r="J2831" s="113"/>
      <c r="K2831" s="114"/>
      <c r="L2831" s="5"/>
    </row>
    <row r="2832" spans="1:13" x14ac:dyDescent="0.25">
      <c r="A2832" s="48"/>
      <c r="B2832" s="35"/>
      <c r="C2832" s="39"/>
      <c r="D2832" s="52"/>
      <c r="E2832" s="53"/>
      <c r="F2832" s="44"/>
      <c r="G2832" s="110" t="s">
        <v>51</v>
      </c>
      <c r="H2832" s="111"/>
      <c r="I2832" s="112"/>
      <c r="J2832" s="113"/>
      <c r="K2832" s="114"/>
      <c r="L2832" s="5"/>
    </row>
    <row r="2833" spans="1:12" x14ac:dyDescent="0.25">
      <c r="A2833" s="48"/>
      <c r="B2833" s="35"/>
      <c r="C2833" s="39"/>
      <c r="D2833" s="52"/>
      <c r="E2833" s="53"/>
      <c r="F2833" s="44"/>
      <c r="G2833" s="77"/>
      <c r="H2833" s="78" t="s">
        <v>69</v>
      </c>
      <c r="I2833" s="79"/>
      <c r="J2833" s="113">
        <v>0</v>
      </c>
      <c r="K2833" s="114"/>
      <c r="L2833" s="5"/>
    </row>
    <row r="2834" spans="1:12" x14ac:dyDescent="0.25">
      <c r="A2834" s="38"/>
      <c r="B2834" s="35"/>
      <c r="C2834" s="39"/>
      <c r="D2834" s="52"/>
      <c r="E2834" s="53"/>
      <c r="F2834" s="44"/>
      <c r="G2834" s="77"/>
      <c r="H2834" s="78" t="s">
        <v>72</v>
      </c>
      <c r="I2834" s="79"/>
      <c r="J2834" s="113"/>
      <c r="K2834" s="114"/>
      <c r="L2834" s="5"/>
    </row>
    <row r="2835" spans="1:12" ht="15.75" thickBot="1" x14ac:dyDescent="0.3">
      <c r="A2835" s="5"/>
      <c r="B2835" s="5"/>
      <c r="C2835" s="7" t="s">
        <v>35</v>
      </c>
      <c r="D2835" s="17">
        <f>SUM(D2827:D2834)</f>
        <v>671.2</v>
      </c>
      <c r="E2835" s="17">
        <f>SUM(E2827:E2834)</f>
        <v>13700.97</v>
      </c>
      <c r="F2835" s="89">
        <f>AVERAGE(F2827:F2831)</f>
        <v>20.414658523577252</v>
      </c>
      <c r="G2835" s="110" t="s">
        <v>73</v>
      </c>
      <c r="H2835" s="111"/>
      <c r="I2835" s="112"/>
      <c r="J2835" s="113"/>
      <c r="K2835" s="114"/>
      <c r="L2835" s="7" t="s">
        <v>36</v>
      </c>
    </row>
    <row r="2836" spans="1:12" ht="15.75" thickBot="1" x14ac:dyDescent="0.3">
      <c r="A2836" s="5"/>
      <c r="B2836" s="5"/>
      <c r="C2836" s="5"/>
      <c r="D2836" s="5"/>
      <c r="E2836" s="5"/>
      <c r="F2836" s="5"/>
      <c r="G2836" s="130"/>
      <c r="H2836" s="131"/>
      <c r="I2836" s="132"/>
      <c r="J2836" s="133"/>
      <c r="K2836" s="134"/>
      <c r="L2836" s="18">
        <f>J2827+J2828+J2829+J2830+J2831+J2832+J2833+J2834+J2835</f>
        <v>0</v>
      </c>
    </row>
    <row r="2837" spans="1:12" ht="15.75" thickBot="1" x14ac:dyDescent="0.3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</row>
    <row r="2838" spans="1:12" ht="15.75" thickBot="1" x14ac:dyDescent="0.3">
      <c r="A2838" s="19"/>
      <c r="B2838" s="20"/>
      <c r="C2838" s="20"/>
      <c r="D2838" s="20"/>
      <c r="E2838" s="21" t="s">
        <v>13</v>
      </c>
      <c r="F2838" s="5"/>
      <c r="G2838" s="19"/>
      <c r="H2838" s="20"/>
      <c r="I2838" s="20"/>
      <c r="J2838" s="20"/>
      <c r="K2838" s="21" t="s">
        <v>13</v>
      </c>
      <c r="L2838" s="5"/>
    </row>
    <row r="2839" spans="1:12" x14ac:dyDescent="0.25">
      <c r="A2839" s="22" t="s">
        <v>31</v>
      </c>
      <c r="B2839" s="115">
        <v>8350</v>
      </c>
      <c r="C2839" s="116"/>
      <c r="D2839" s="116"/>
      <c r="E2839" s="117"/>
      <c r="F2839" s="5"/>
      <c r="G2839" s="22" t="s">
        <v>32</v>
      </c>
      <c r="H2839" s="115">
        <v>28246</v>
      </c>
      <c r="I2839" s="116"/>
      <c r="J2839" s="116"/>
      <c r="K2839" s="117"/>
      <c r="L2839" s="5"/>
    </row>
    <row r="2840" spans="1:12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</row>
    <row r="2841" spans="1:12" x14ac:dyDescent="0.25">
      <c r="A2841" s="7" t="s">
        <v>16</v>
      </c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</row>
    <row r="2842" spans="1:12" x14ac:dyDescent="0.25">
      <c r="A2842" s="9" t="s">
        <v>17</v>
      </c>
      <c r="B2842" s="23">
        <f>L2819-C2814</f>
        <v>1918</v>
      </c>
      <c r="C2842" s="5"/>
      <c r="D2842" s="106" t="s">
        <v>18</v>
      </c>
      <c r="E2842" s="107"/>
      <c r="F2842" s="24" t="s">
        <v>19</v>
      </c>
      <c r="G2842" s="9" t="s">
        <v>20</v>
      </c>
      <c r="H2842" s="118">
        <f>B2839+H2839</f>
        <v>36596</v>
      </c>
      <c r="I2842" s="119"/>
      <c r="J2842" s="60"/>
      <c r="K2842" s="5"/>
      <c r="L2842" s="5"/>
    </row>
    <row r="2843" spans="1:12" x14ac:dyDescent="0.25">
      <c r="A2843" s="9" t="s">
        <v>41</v>
      </c>
      <c r="B2843" s="40">
        <f>B2842/D2835</f>
        <v>2.8575685339690104</v>
      </c>
      <c r="C2843" s="5"/>
      <c r="D2843" s="102">
        <f>E2835</f>
        <v>13700.97</v>
      </c>
      <c r="E2843" s="103"/>
      <c r="F2843" s="25">
        <f>H2843/B2842</f>
        <v>8.2647393117831065</v>
      </c>
      <c r="G2843" s="9" t="s">
        <v>21</v>
      </c>
      <c r="H2843" s="104">
        <f>L2836+D2843+D2845+D2847+D2849+A2846</f>
        <v>15851.769999999999</v>
      </c>
      <c r="I2843" s="105"/>
      <c r="J2843" s="5"/>
      <c r="K2843" s="5"/>
      <c r="L2843" s="5"/>
    </row>
    <row r="2844" spans="1:12" x14ac:dyDescent="0.25">
      <c r="A2844" s="9" t="s">
        <v>43</v>
      </c>
      <c r="B2844" s="23">
        <f>D2835/B2842*100</f>
        <v>34.994786235662154</v>
      </c>
      <c r="C2844" s="5"/>
      <c r="D2844" s="106" t="s">
        <v>33</v>
      </c>
      <c r="E2844" s="107"/>
      <c r="F2844" s="5"/>
      <c r="G2844" s="13" t="s">
        <v>22</v>
      </c>
      <c r="H2844" s="6"/>
      <c r="I2844" s="26">
        <f>H2842-H2843</f>
        <v>20744.230000000003</v>
      </c>
      <c r="J2844" s="5"/>
      <c r="K2844" s="5"/>
      <c r="L2844" s="5"/>
    </row>
    <row r="2845" spans="1:12" x14ac:dyDescent="0.25">
      <c r="A2845" s="106" t="s">
        <v>40</v>
      </c>
      <c r="B2845" s="107"/>
      <c r="C2845" s="5"/>
      <c r="D2845" s="149">
        <v>1000</v>
      </c>
      <c r="E2845" s="150"/>
      <c r="F2845" s="5"/>
      <c r="G2845" s="5"/>
      <c r="H2845" s="5"/>
      <c r="I2845" s="5"/>
      <c r="J2845" s="5"/>
      <c r="K2845" s="5"/>
      <c r="L2845" s="5"/>
    </row>
    <row r="2846" spans="1:12" x14ac:dyDescent="0.25">
      <c r="A2846" s="108">
        <f>B2842*0.6</f>
        <v>1150.8</v>
      </c>
      <c r="B2846" s="109"/>
      <c r="C2846" s="5"/>
      <c r="D2846" s="106" t="s">
        <v>34</v>
      </c>
      <c r="E2846" s="107"/>
      <c r="F2846" s="5"/>
      <c r="G2846" s="145" t="s">
        <v>292</v>
      </c>
      <c r="H2846" s="146"/>
      <c r="I2846" s="23">
        <f>B2842/2.3</f>
        <v>833.91304347826099</v>
      </c>
      <c r="J2846" s="60"/>
      <c r="K2846" s="5"/>
      <c r="L2846" s="5"/>
    </row>
    <row r="2847" spans="1:12" x14ac:dyDescent="0.25">
      <c r="A2847" s="5"/>
      <c r="B2847" s="5"/>
      <c r="C2847" s="5"/>
      <c r="D2847" s="108">
        <v>0</v>
      </c>
      <c r="E2847" s="109"/>
      <c r="F2847" s="5"/>
      <c r="G2847" s="145" t="s">
        <v>294</v>
      </c>
      <c r="H2847" s="146"/>
      <c r="I2847" s="23">
        <f>I2846-D2835</f>
        <v>162.71304347826094</v>
      </c>
      <c r="J2847" s="5"/>
      <c r="K2847" s="5"/>
      <c r="L2847" s="5"/>
    </row>
    <row r="2848" spans="1:12" x14ac:dyDescent="0.25">
      <c r="A2848" s="5"/>
      <c r="B2848" s="5"/>
      <c r="C2848" s="5"/>
      <c r="D2848" s="106" t="s">
        <v>37</v>
      </c>
      <c r="E2848" s="107"/>
      <c r="F2848" s="5"/>
      <c r="G2848" s="147" t="s">
        <v>295</v>
      </c>
      <c r="H2848" s="148"/>
      <c r="I2848" s="86">
        <f>I2847*F2835</f>
        <v>3321.7312199406756</v>
      </c>
      <c r="J2848" s="87">
        <f>I2844-I2848</f>
        <v>17422.498780059326</v>
      </c>
      <c r="K2848" s="5"/>
      <c r="L2848" s="5"/>
    </row>
    <row r="2849" spans="1:12" x14ac:dyDescent="0.25">
      <c r="A2849" s="5"/>
      <c r="B2849" s="5"/>
      <c r="C2849" s="5"/>
      <c r="D2849" s="108">
        <v>0</v>
      </c>
      <c r="E2849" s="109"/>
      <c r="F2849" s="5" t="s">
        <v>78</v>
      </c>
      <c r="G2849" s="5"/>
      <c r="H2849" s="5"/>
      <c r="I2849" s="5"/>
      <c r="J2849" s="88" t="s">
        <v>293</v>
      </c>
      <c r="K2849" s="44"/>
      <c r="L2849" s="5"/>
    </row>
    <row r="2851" spans="1:12" s="49" customFormat="1" x14ac:dyDescent="0.25"/>
    <row r="2854" spans="1:12" x14ac:dyDescent="0.25">
      <c r="A2854" s="120" t="s">
        <v>24</v>
      </c>
      <c r="B2854" s="120"/>
      <c r="C2854" s="120"/>
      <c r="D2854" s="120"/>
      <c r="E2854" s="120"/>
      <c r="F2854" s="120"/>
      <c r="G2854" s="120"/>
      <c r="H2854" s="120"/>
      <c r="I2854" s="120"/>
      <c r="J2854" s="120"/>
      <c r="K2854" s="120"/>
      <c r="L2854" s="120"/>
    </row>
    <row r="2855" spans="1:12" x14ac:dyDescent="0.25">
      <c r="A2855" s="120"/>
      <c r="B2855" s="120"/>
      <c r="C2855" s="120"/>
      <c r="D2855" s="120"/>
      <c r="E2855" s="120"/>
      <c r="F2855" s="120"/>
      <c r="G2855" s="120"/>
      <c r="H2855" s="120"/>
      <c r="I2855" s="120"/>
      <c r="J2855" s="120"/>
      <c r="K2855" s="120"/>
      <c r="L2855" s="120"/>
    </row>
    <row r="2856" spans="1:12" x14ac:dyDescent="0.25">
      <c r="A2856" s="1" t="s">
        <v>4</v>
      </c>
      <c r="B2856" s="2"/>
      <c r="C2856" s="90"/>
      <c r="D2856" s="2"/>
      <c r="E2856" s="2"/>
      <c r="F2856" s="2"/>
      <c r="G2856" s="3" t="s">
        <v>5</v>
      </c>
      <c r="H2856" s="3" t="s">
        <v>6</v>
      </c>
      <c r="I2856" s="4" t="s">
        <v>7</v>
      </c>
      <c r="J2856" s="5"/>
      <c r="K2856" s="5"/>
      <c r="L2856" s="5"/>
    </row>
    <row r="2857" spans="1:12" x14ac:dyDescent="0.25">
      <c r="A2857" s="91" t="s">
        <v>359</v>
      </c>
      <c r="B2857" s="92" t="s">
        <v>42</v>
      </c>
      <c r="C2857" s="64"/>
      <c r="D2857" s="66"/>
      <c r="E2857" s="2"/>
      <c r="F2857" s="2"/>
      <c r="G2857" s="91" t="s">
        <v>299</v>
      </c>
      <c r="H2857" s="66"/>
      <c r="I2857" s="33"/>
      <c r="J2857" s="6"/>
      <c r="K2857" s="33"/>
      <c r="L2857" s="6"/>
    </row>
    <row r="2858" spans="1:12" x14ac:dyDescent="0.25">
      <c r="A2858" s="7" t="s">
        <v>2</v>
      </c>
      <c r="B2858" s="5"/>
      <c r="C2858" s="5"/>
      <c r="D2858" s="5"/>
      <c r="E2858" s="5"/>
      <c r="F2858" s="5"/>
      <c r="G2858" s="8" t="s">
        <v>8</v>
      </c>
      <c r="H2858" s="93">
        <v>3</v>
      </c>
      <c r="I2858" s="5"/>
      <c r="J2858" s="5"/>
      <c r="K2858" s="5"/>
      <c r="L2858" s="5"/>
    </row>
    <row r="2859" spans="1:12" x14ac:dyDescent="0.25">
      <c r="A2859" s="7" t="s">
        <v>25</v>
      </c>
      <c r="B2859" s="5"/>
      <c r="C2859" s="7" t="s">
        <v>0</v>
      </c>
      <c r="D2859" s="5"/>
      <c r="E2859" s="5"/>
      <c r="F2859" s="5"/>
      <c r="G2859" s="7" t="s">
        <v>25</v>
      </c>
      <c r="H2859" s="5"/>
      <c r="I2859" s="7" t="s">
        <v>0</v>
      </c>
      <c r="J2859" s="5"/>
      <c r="K2859" s="5"/>
      <c r="L2859" s="5"/>
    </row>
    <row r="2860" spans="1:12" x14ac:dyDescent="0.25">
      <c r="A2860" s="42" t="s">
        <v>494</v>
      </c>
      <c r="B2860" s="6"/>
      <c r="C2860" s="31">
        <f>L2819</f>
        <v>1001031</v>
      </c>
      <c r="D2860" s="5"/>
      <c r="E2860" s="5"/>
      <c r="F2860" s="5"/>
      <c r="G2860" s="42"/>
      <c r="H2860" s="6"/>
      <c r="I2860" s="9"/>
      <c r="J2860" s="5"/>
      <c r="K2860" s="5"/>
      <c r="L2860" s="5"/>
    </row>
    <row r="2861" spans="1:12" ht="16.5" thickBot="1" x14ac:dyDescent="0.3">
      <c r="A2861" s="7"/>
      <c r="B2861" s="62"/>
      <c r="C2861" s="62"/>
      <c r="D2861" s="62"/>
      <c r="E2861" s="5"/>
      <c r="F2861" s="5"/>
      <c r="G2861" s="10"/>
      <c r="H2861" s="5"/>
      <c r="I2861" s="5"/>
      <c r="J2861" s="5"/>
      <c r="K2861" s="5"/>
      <c r="L2861" s="5"/>
    </row>
    <row r="2862" spans="1:12" ht="15.75" thickBot="1" x14ac:dyDescent="0.3">
      <c r="A2862" s="121" t="s">
        <v>9</v>
      </c>
      <c r="B2862" s="122"/>
      <c r="C2862" s="123"/>
      <c r="D2862" s="5"/>
      <c r="E2862" s="5"/>
      <c r="F2862" s="5"/>
      <c r="G2862" s="121" t="s">
        <v>26</v>
      </c>
      <c r="H2862" s="122"/>
      <c r="I2862" s="123"/>
      <c r="J2862" s="5"/>
      <c r="K2862" s="5"/>
      <c r="L2862" s="5"/>
    </row>
    <row r="2863" spans="1:12" x14ac:dyDescent="0.25">
      <c r="A2863" s="30" t="s">
        <v>38</v>
      </c>
      <c r="B2863" s="11"/>
      <c r="C2863" s="11"/>
      <c r="D2863" s="11"/>
      <c r="E2863" s="6"/>
      <c r="F2863" s="5"/>
      <c r="G2863" s="30" t="str">
        <f>A2866</f>
        <v>JHB</v>
      </c>
      <c r="H2863" s="11"/>
      <c r="I2863" s="11"/>
      <c r="J2863" s="11"/>
      <c r="K2863" s="11"/>
      <c r="L2863" s="6"/>
    </row>
    <row r="2864" spans="1:12" ht="15.75" thickBot="1" x14ac:dyDescent="0.3">
      <c r="A2864" s="7"/>
      <c r="B2864" s="7"/>
      <c r="C2864" s="7"/>
      <c r="D2864" s="5"/>
      <c r="E2864" s="5"/>
      <c r="F2864" s="5"/>
      <c r="G2864" s="7" t="str">
        <f>A2866</f>
        <v>JHB</v>
      </c>
      <c r="H2864" s="7"/>
      <c r="I2864" s="7"/>
      <c r="J2864" s="5"/>
      <c r="K2864" s="5"/>
      <c r="L2864" s="5"/>
    </row>
    <row r="2865" spans="1:14" ht="15.75" thickBot="1" x14ac:dyDescent="0.3">
      <c r="A2865" s="121"/>
      <c r="B2865" s="122"/>
      <c r="C2865" s="124"/>
      <c r="D2865" s="12" t="s">
        <v>1</v>
      </c>
      <c r="E2865" s="32"/>
      <c r="F2865" s="5"/>
      <c r="G2865" s="121" t="s">
        <v>27</v>
      </c>
      <c r="H2865" s="122"/>
      <c r="I2865" s="123"/>
      <c r="J2865" s="5"/>
      <c r="K2865" s="12" t="s">
        <v>1</v>
      </c>
      <c r="L2865" s="32">
        <v>1004023</v>
      </c>
      <c r="N2865">
        <v>1008590</v>
      </c>
    </row>
    <row r="2866" spans="1:14" x14ac:dyDescent="0.25">
      <c r="A2866" s="30" t="s">
        <v>489</v>
      </c>
      <c r="B2866" s="11"/>
      <c r="C2866" s="11"/>
      <c r="D2866" s="11"/>
      <c r="E2866" s="6"/>
      <c r="F2866" s="5"/>
      <c r="G2866" s="30" t="s">
        <v>364</v>
      </c>
      <c r="H2866" s="11"/>
      <c r="I2866" s="11"/>
      <c r="J2866" s="11"/>
      <c r="K2866" s="11"/>
      <c r="L2866" s="6"/>
    </row>
    <row r="2867" spans="1:14" x14ac:dyDescent="0.25">
      <c r="A2867" s="76"/>
      <c r="B2867" s="11"/>
      <c r="C2867" s="11"/>
      <c r="D2867" s="11"/>
      <c r="E2867" s="6"/>
      <c r="F2867" s="5"/>
      <c r="G2867" s="34"/>
      <c r="H2867" s="11"/>
      <c r="I2867" s="11"/>
      <c r="J2867" s="11"/>
      <c r="K2867" s="11"/>
      <c r="L2867" s="6"/>
    </row>
    <row r="2868" spans="1:14" x14ac:dyDescent="0.25">
      <c r="A2868" s="13"/>
      <c r="B2868" s="11"/>
      <c r="C2868" s="11"/>
      <c r="D2868" s="11"/>
      <c r="E2868" s="6"/>
      <c r="F2868" s="5"/>
      <c r="G2868" s="13"/>
      <c r="H2868" s="11"/>
      <c r="I2868" s="11"/>
      <c r="J2868" s="11"/>
      <c r="K2868" s="11"/>
      <c r="L2868" s="6"/>
    </row>
    <row r="2869" spans="1:14" x14ac:dyDescent="0.25">
      <c r="A2869" s="13"/>
      <c r="B2869" s="11"/>
      <c r="C2869" s="11"/>
      <c r="D2869" s="11"/>
      <c r="E2869" s="6"/>
      <c r="F2869" s="5"/>
      <c r="G2869" s="13"/>
      <c r="H2869" s="11"/>
      <c r="I2869" s="11"/>
      <c r="J2869" s="11"/>
      <c r="K2869" s="11"/>
      <c r="L2869" s="6"/>
    </row>
    <row r="2870" spans="1:14" ht="15.75" thickBot="1" x14ac:dyDescent="0.3">
      <c r="A2870" s="13"/>
      <c r="B2870" s="11"/>
      <c r="C2870" s="11" t="s">
        <v>29</v>
      </c>
      <c r="D2870" s="43"/>
      <c r="E2870" s="6"/>
      <c r="F2870" s="5"/>
      <c r="G2870" s="13"/>
      <c r="H2870" s="11"/>
      <c r="I2870" s="14" t="s">
        <v>28</v>
      </c>
      <c r="J2870" s="43"/>
      <c r="K2870" s="59"/>
      <c r="L2870" s="6"/>
    </row>
    <row r="2871" spans="1:14" ht="15.75" thickBot="1" x14ac:dyDescent="0.3">
      <c r="A2871" s="15" t="s">
        <v>10</v>
      </c>
      <c r="B2871" s="5"/>
      <c r="C2871" s="5"/>
      <c r="D2871" s="5"/>
      <c r="E2871" s="5"/>
      <c r="F2871" s="5"/>
      <c r="G2871" s="15" t="s">
        <v>14</v>
      </c>
      <c r="H2871" s="5"/>
      <c r="I2871" s="5"/>
      <c r="J2871" s="5"/>
      <c r="K2871" s="5"/>
      <c r="L2871" s="5"/>
    </row>
    <row r="2872" spans="1:14" ht="15.75" thickBot="1" x14ac:dyDescent="0.3">
      <c r="A2872" s="121" t="s">
        <v>11</v>
      </c>
      <c r="B2872" s="122"/>
      <c r="C2872" s="123"/>
      <c r="D2872" s="16" t="s">
        <v>12</v>
      </c>
      <c r="E2872" s="16" t="s">
        <v>13</v>
      </c>
      <c r="F2872" s="5"/>
      <c r="G2872" s="121" t="s">
        <v>15</v>
      </c>
      <c r="H2872" s="122"/>
      <c r="I2872" s="123"/>
      <c r="J2872" s="121"/>
      <c r="K2872" s="123"/>
      <c r="L2872" s="5"/>
    </row>
    <row r="2873" spans="1:14" x14ac:dyDescent="0.25">
      <c r="A2873" s="94" t="s">
        <v>492</v>
      </c>
      <c r="B2873" s="46" t="s">
        <v>495</v>
      </c>
      <c r="C2873" s="47"/>
      <c r="D2873" s="56">
        <v>300</v>
      </c>
      <c r="E2873" s="57">
        <v>6342</v>
      </c>
      <c r="F2873" s="44">
        <f>E2873/D2873</f>
        <v>21.14</v>
      </c>
      <c r="G2873" s="125" t="s">
        <v>69</v>
      </c>
      <c r="H2873" s="126"/>
      <c r="I2873" s="127"/>
      <c r="J2873" s="128">
        <f>355+355</f>
        <v>710</v>
      </c>
      <c r="K2873" s="129"/>
      <c r="L2873" s="5"/>
    </row>
    <row r="2874" spans="1:14" x14ac:dyDescent="0.25">
      <c r="A2874" s="94" t="s">
        <v>493</v>
      </c>
      <c r="B2874" s="46" t="s">
        <v>496</v>
      </c>
      <c r="C2874" s="47"/>
      <c r="D2874" s="56">
        <v>502</v>
      </c>
      <c r="E2874" s="57">
        <v>9984.7800000000007</v>
      </c>
      <c r="F2874" s="44">
        <f>E2874/D2874</f>
        <v>19.89</v>
      </c>
      <c r="G2874" s="110" t="s">
        <v>59</v>
      </c>
      <c r="H2874" s="111"/>
      <c r="I2874" s="112"/>
      <c r="J2874" s="113"/>
      <c r="K2874" s="114"/>
      <c r="L2874" s="5"/>
    </row>
    <row r="2875" spans="1:14" x14ac:dyDescent="0.25">
      <c r="A2875" s="94" t="s">
        <v>497</v>
      </c>
      <c r="B2875" s="46" t="s">
        <v>316</v>
      </c>
      <c r="C2875" s="47"/>
      <c r="D2875" s="56">
        <v>489.9</v>
      </c>
      <c r="E2875" s="57">
        <v>9999</v>
      </c>
      <c r="F2875" s="44">
        <f>E2875/D2875</f>
        <v>20.41028781383956</v>
      </c>
      <c r="G2875" s="110" t="s">
        <v>61</v>
      </c>
      <c r="H2875" s="111"/>
      <c r="I2875" s="112"/>
      <c r="J2875" s="113"/>
      <c r="K2875" s="114"/>
      <c r="L2875" s="5"/>
    </row>
    <row r="2876" spans="1:14" x14ac:dyDescent="0.25">
      <c r="A2876" s="94"/>
      <c r="B2876" s="46"/>
      <c r="C2876" s="47"/>
      <c r="D2876" s="56"/>
      <c r="E2876" s="57"/>
      <c r="F2876" s="44"/>
      <c r="G2876" s="110" t="s">
        <v>51</v>
      </c>
      <c r="H2876" s="111"/>
      <c r="I2876" s="112"/>
      <c r="J2876" s="113"/>
      <c r="K2876" s="114"/>
      <c r="L2876" s="5"/>
    </row>
    <row r="2877" spans="1:14" x14ac:dyDescent="0.25">
      <c r="A2877" s="48"/>
      <c r="B2877" s="46"/>
      <c r="C2877" s="39"/>
      <c r="D2877" s="52"/>
      <c r="E2877" s="53"/>
      <c r="F2877" s="44"/>
      <c r="G2877" s="110" t="s">
        <v>58</v>
      </c>
      <c r="H2877" s="111"/>
      <c r="I2877" s="112"/>
      <c r="J2877" s="113"/>
      <c r="K2877" s="114"/>
      <c r="L2877" s="5"/>
    </row>
    <row r="2878" spans="1:14" x14ac:dyDescent="0.25">
      <c r="A2878" s="48"/>
      <c r="B2878" s="35"/>
      <c r="C2878" s="39"/>
      <c r="D2878" s="52"/>
      <c r="E2878" s="53"/>
      <c r="F2878" s="44"/>
      <c r="G2878" s="110" t="s">
        <v>51</v>
      </c>
      <c r="H2878" s="111"/>
      <c r="I2878" s="112"/>
      <c r="J2878" s="113"/>
      <c r="K2878" s="114"/>
      <c r="L2878" s="5"/>
    </row>
    <row r="2879" spans="1:14" x14ac:dyDescent="0.25">
      <c r="A2879" s="48"/>
      <c r="B2879" s="35"/>
      <c r="C2879" s="39"/>
      <c r="D2879" s="52"/>
      <c r="E2879" s="53"/>
      <c r="F2879" s="44"/>
      <c r="G2879" s="77"/>
      <c r="H2879" s="78" t="s">
        <v>69</v>
      </c>
      <c r="I2879" s="79"/>
      <c r="J2879" s="113">
        <v>0</v>
      </c>
      <c r="K2879" s="114"/>
      <c r="L2879" s="5"/>
    </row>
    <row r="2880" spans="1:14" x14ac:dyDescent="0.25">
      <c r="A2880" s="38"/>
      <c r="B2880" s="35"/>
      <c r="C2880" s="39"/>
      <c r="D2880" s="52"/>
      <c r="E2880" s="53"/>
      <c r="F2880" s="44"/>
      <c r="G2880" s="77"/>
      <c r="H2880" s="78" t="s">
        <v>72</v>
      </c>
      <c r="I2880" s="79"/>
      <c r="J2880" s="113"/>
      <c r="K2880" s="114"/>
      <c r="L2880" s="5"/>
    </row>
    <row r="2881" spans="1:12" ht="15.75" thickBot="1" x14ac:dyDescent="0.3">
      <c r="A2881" s="5"/>
      <c r="B2881" s="5"/>
      <c r="C2881" s="7" t="s">
        <v>35</v>
      </c>
      <c r="D2881" s="17">
        <f>SUM(D2873:D2880)</f>
        <v>1291.9000000000001</v>
      </c>
      <c r="E2881" s="17">
        <f>SUM(E2873:E2880)</f>
        <v>26325.78</v>
      </c>
      <c r="F2881" s="89">
        <f>AVERAGE(F2873:F2877)</f>
        <v>20.480095937946519</v>
      </c>
      <c r="G2881" s="110" t="s">
        <v>73</v>
      </c>
      <c r="H2881" s="111"/>
      <c r="I2881" s="112"/>
      <c r="J2881" s="113"/>
      <c r="K2881" s="114"/>
      <c r="L2881" s="7" t="s">
        <v>36</v>
      </c>
    </row>
    <row r="2882" spans="1:12" ht="15.75" thickBot="1" x14ac:dyDescent="0.3">
      <c r="A2882" s="5"/>
      <c r="B2882" s="5"/>
      <c r="C2882" s="5"/>
      <c r="D2882" s="5"/>
      <c r="E2882" s="5"/>
      <c r="F2882" s="5"/>
      <c r="G2882" s="130"/>
      <c r="H2882" s="131"/>
      <c r="I2882" s="132"/>
      <c r="J2882" s="133"/>
      <c r="K2882" s="134"/>
      <c r="L2882" s="18">
        <f>J2873+J2874+J2875+J2876+J2877+J2878+J2879+J2880+J2881</f>
        <v>710</v>
      </c>
    </row>
    <row r="2883" spans="1:12" ht="15.75" thickBot="1" x14ac:dyDescent="0.3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</row>
    <row r="2884" spans="1:12" ht="15.75" thickBot="1" x14ac:dyDescent="0.3">
      <c r="A2884" s="19"/>
      <c r="B2884" s="20"/>
      <c r="C2884" s="20"/>
      <c r="D2884" s="20"/>
      <c r="E2884" s="21" t="s">
        <v>13</v>
      </c>
      <c r="F2884" s="5"/>
      <c r="G2884" s="19"/>
      <c r="H2884" s="20"/>
      <c r="I2884" s="20"/>
      <c r="J2884" s="20"/>
      <c r="K2884" s="21" t="s">
        <v>13</v>
      </c>
      <c r="L2884" s="5"/>
    </row>
    <row r="2885" spans="1:12" x14ac:dyDescent="0.25">
      <c r="A2885" s="22" t="s">
        <v>31</v>
      </c>
      <c r="B2885" s="115">
        <v>17696</v>
      </c>
      <c r="C2885" s="116"/>
      <c r="D2885" s="116"/>
      <c r="E2885" s="117"/>
      <c r="F2885" s="5"/>
      <c r="G2885" s="22" t="s">
        <v>32</v>
      </c>
      <c r="H2885" s="115">
        <v>41388</v>
      </c>
      <c r="I2885" s="116"/>
      <c r="J2885" s="116"/>
      <c r="K2885" s="117"/>
      <c r="L2885" s="5"/>
    </row>
    <row r="2886" spans="1:12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</row>
    <row r="2887" spans="1:12" x14ac:dyDescent="0.25">
      <c r="A2887" s="7" t="s">
        <v>16</v>
      </c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</row>
    <row r="2888" spans="1:12" x14ac:dyDescent="0.25">
      <c r="A2888" s="9" t="s">
        <v>17</v>
      </c>
      <c r="B2888" s="23">
        <f>L2865-C2860</f>
        <v>2992</v>
      </c>
      <c r="C2888" s="5"/>
      <c r="D2888" s="106" t="s">
        <v>18</v>
      </c>
      <c r="E2888" s="107"/>
      <c r="F2888" s="24" t="s">
        <v>19</v>
      </c>
      <c r="G2888" s="9" t="s">
        <v>20</v>
      </c>
      <c r="H2888" s="118">
        <f>B2885+H2885</f>
        <v>59084</v>
      </c>
      <c r="I2888" s="119"/>
      <c r="J2888" s="60"/>
      <c r="K2888" s="5"/>
      <c r="L2888" s="5"/>
    </row>
    <row r="2889" spans="1:12" x14ac:dyDescent="0.25">
      <c r="A2889" s="9" t="s">
        <v>41</v>
      </c>
      <c r="B2889" s="40">
        <f>B2888/D2881</f>
        <v>2.315968728229739</v>
      </c>
      <c r="C2889" s="5"/>
      <c r="D2889" s="102">
        <f>E2881</f>
        <v>26325.78</v>
      </c>
      <c r="E2889" s="103"/>
      <c r="F2889" s="25">
        <f>H2889/B2888</f>
        <v>11.440835561497325</v>
      </c>
      <c r="G2889" s="9" t="s">
        <v>21</v>
      </c>
      <c r="H2889" s="104">
        <f>L2882+D2889+D2891+D2893+D2895+A2892</f>
        <v>34230.979999999996</v>
      </c>
      <c r="I2889" s="105"/>
      <c r="J2889" s="5"/>
      <c r="K2889" s="5"/>
      <c r="L2889" s="5"/>
    </row>
    <row r="2890" spans="1:12" x14ac:dyDescent="0.25">
      <c r="A2890" s="9" t="s">
        <v>43</v>
      </c>
      <c r="B2890" s="23">
        <f>D2881/B2888*100</f>
        <v>43.178475935828878</v>
      </c>
      <c r="C2890" s="5"/>
      <c r="D2890" s="106" t="s">
        <v>33</v>
      </c>
      <c r="E2890" s="107"/>
      <c r="F2890" s="5"/>
      <c r="G2890" s="13" t="s">
        <v>22</v>
      </c>
      <c r="H2890" s="6"/>
      <c r="I2890" s="26">
        <f>H2888-H2889</f>
        <v>24853.020000000004</v>
      </c>
      <c r="J2890" s="5"/>
      <c r="K2890" s="5"/>
      <c r="L2890" s="5"/>
    </row>
    <row r="2891" spans="1:12" x14ac:dyDescent="0.25">
      <c r="A2891" s="106" t="s">
        <v>40</v>
      </c>
      <c r="B2891" s="107"/>
      <c r="C2891" s="5"/>
      <c r="D2891" s="149">
        <v>1100</v>
      </c>
      <c r="E2891" s="150"/>
      <c r="F2891" s="5"/>
      <c r="G2891" s="5"/>
      <c r="H2891" s="5"/>
      <c r="I2891" s="5"/>
      <c r="J2891" s="5"/>
      <c r="K2891" s="5"/>
      <c r="L2891" s="5"/>
    </row>
    <row r="2892" spans="1:12" x14ac:dyDescent="0.25">
      <c r="A2892" s="108">
        <f>B2888*0.6</f>
        <v>1795.2</v>
      </c>
      <c r="B2892" s="109"/>
      <c r="C2892" s="5"/>
      <c r="D2892" s="106" t="s">
        <v>34</v>
      </c>
      <c r="E2892" s="107"/>
      <c r="F2892" s="5"/>
      <c r="G2892" s="145" t="s">
        <v>292</v>
      </c>
      <c r="H2892" s="146"/>
      <c r="I2892" s="23">
        <f>B2888/2.3</f>
        <v>1300.8695652173915</v>
      </c>
      <c r="J2892" s="60"/>
      <c r="K2892" s="5"/>
      <c r="L2892" s="5"/>
    </row>
    <row r="2893" spans="1:12" x14ac:dyDescent="0.25">
      <c r="A2893" s="5"/>
      <c r="B2893" s="5"/>
      <c r="C2893" s="5"/>
      <c r="D2893" s="108">
        <v>0</v>
      </c>
      <c r="E2893" s="109"/>
      <c r="F2893" s="5"/>
      <c r="G2893" s="145" t="s">
        <v>294</v>
      </c>
      <c r="H2893" s="146"/>
      <c r="I2893" s="23">
        <f>I2892-D2881</f>
        <v>8.9695652173913913</v>
      </c>
      <c r="J2893" s="5"/>
      <c r="K2893" s="5"/>
      <c r="L2893" s="5"/>
    </row>
    <row r="2894" spans="1:12" x14ac:dyDescent="0.25">
      <c r="A2894" s="5"/>
      <c r="B2894" s="5"/>
      <c r="C2894" s="5"/>
      <c r="D2894" s="106" t="s">
        <v>37</v>
      </c>
      <c r="E2894" s="107"/>
      <c r="F2894" s="5"/>
      <c r="G2894" s="147" t="s">
        <v>295</v>
      </c>
      <c r="H2894" s="148"/>
      <c r="I2894" s="86">
        <f>I2893*F2881</f>
        <v>183.69755617384382</v>
      </c>
      <c r="J2894" s="87">
        <f>I2890-I2894</f>
        <v>24669.32244382616</v>
      </c>
      <c r="K2894" s="5"/>
      <c r="L2894" s="5"/>
    </row>
    <row r="2895" spans="1:12" x14ac:dyDescent="0.25">
      <c r="A2895" s="5"/>
      <c r="B2895" s="5"/>
      <c r="C2895" s="5"/>
      <c r="D2895" s="108">
        <v>4300</v>
      </c>
      <c r="E2895" s="109"/>
      <c r="F2895" s="5" t="s">
        <v>78</v>
      </c>
      <c r="G2895" s="5"/>
      <c r="H2895" s="5"/>
      <c r="I2895" s="5"/>
      <c r="J2895" s="88" t="s">
        <v>293</v>
      </c>
      <c r="K2895" s="44"/>
      <c r="L2895" s="5"/>
    </row>
    <row r="2897" spans="1:12" s="49" customFormat="1" x14ac:dyDescent="0.25"/>
    <row r="2900" spans="1:12" x14ac:dyDescent="0.25">
      <c r="A2900" s="120" t="s">
        <v>24</v>
      </c>
      <c r="B2900" s="120"/>
      <c r="C2900" s="120"/>
      <c r="D2900" s="120"/>
      <c r="E2900" s="120"/>
      <c r="F2900" s="120"/>
      <c r="G2900" s="120"/>
      <c r="H2900" s="120"/>
      <c r="I2900" s="120"/>
      <c r="J2900" s="120"/>
      <c r="K2900" s="120"/>
      <c r="L2900" s="120"/>
    </row>
    <row r="2901" spans="1:12" x14ac:dyDescent="0.25">
      <c r="A2901" s="120"/>
      <c r="B2901" s="120"/>
      <c r="C2901" s="120"/>
      <c r="D2901" s="120"/>
      <c r="E2901" s="120"/>
      <c r="F2901" s="120"/>
      <c r="G2901" s="120"/>
      <c r="H2901" s="120"/>
      <c r="I2901" s="120"/>
      <c r="J2901" s="120"/>
      <c r="K2901" s="120"/>
      <c r="L2901" s="120"/>
    </row>
    <row r="2902" spans="1:12" x14ac:dyDescent="0.25">
      <c r="A2902" s="1" t="s">
        <v>4</v>
      </c>
      <c r="B2902" s="2"/>
      <c r="C2902" s="90"/>
      <c r="D2902" s="2"/>
      <c r="E2902" s="2"/>
      <c r="F2902" s="2"/>
      <c r="G2902" s="3" t="s">
        <v>5</v>
      </c>
      <c r="H2902" s="3" t="s">
        <v>6</v>
      </c>
      <c r="I2902" s="4" t="s">
        <v>7</v>
      </c>
      <c r="J2902" s="5"/>
      <c r="K2902" s="5"/>
      <c r="L2902" s="5"/>
    </row>
    <row r="2903" spans="1:12" x14ac:dyDescent="0.25">
      <c r="A2903" s="91" t="s">
        <v>359</v>
      </c>
      <c r="B2903" s="92" t="s">
        <v>42</v>
      </c>
      <c r="C2903" s="64"/>
      <c r="D2903" s="66"/>
      <c r="E2903" s="2"/>
      <c r="F2903" s="2"/>
      <c r="G2903" s="91" t="s">
        <v>299</v>
      </c>
      <c r="H2903" s="66"/>
      <c r="I2903" s="33"/>
      <c r="J2903" s="6"/>
      <c r="K2903" s="33"/>
      <c r="L2903" s="6"/>
    </row>
    <row r="2904" spans="1:12" x14ac:dyDescent="0.25">
      <c r="A2904" s="7" t="s">
        <v>2</v>
      </c>
      <c r="B2904" s="5"/>
      <c r="C2904" s="5"/>
      <c r="D2904" s="5"/>
      <c r="E2904" s="5"/>
      <c r="F2904" s="5"/>
      <c r="G2904" s="8" t="s">
        <v>8</v>
      </c>
      <c r="H2904" s="93">
        <v>3</v>
      </c>
      <c r="I2904" s="5"/>
      <c r="J2904" s="5"/>
      <c r="K2904" s="5"/>
      <c r="L2904" s="5"/>
    </row>
    <row r="2905" spans="1:12" x14ac:dyDescent="0.25">
      <c r="A2905" s="7" t="s">
        <v>25</v>
      </c>
      <c r="B2905" s="5"/>
      <c r="C2905" s="7" t="s">
        <v>0</v>
      </c>
      <c r="D2905" s="5"/>
      <c r="E2905" s="5"/>
      <c r="F2905" s="5"/>
      <c r="G2905" s="7" t="s">
        <v>25</v>
      </c>
      <c r="H2905" s="5"/>
      <c r="I2905" s="7" t="s">
        <v>0</v>
      </c>
      <c r="J2905" s="5"/>
      <c r="K2905" s="5"/>
      <c r="L2905" s="5"/>
    </row>
    <row r="2906" spans="1:12" x14ac:dyDescent="0.25">
      <c r="A2906" s="42" t="s">
        <v>497</v>
      </c>
      <c r="B2906" s="6"/>
      <c r="C2906" s="31">
        <f>L2865</f>
        <v>1004023</v>
      </c>
      <c r="D2906" s="5"/>
      <c r="E2906" s="5"/>
      <c r="F2906" s="5"/>
      <c r="G2906" s="42"/>
      <c r="H2906" s="6"/>
      <c r="I2906" s="9"/>
      <c r="J2906" s="5"/>
      <c r="K2906" s="5"/>
      <c r="L2906" s="5"/>
    </row>
    <row r="2907" spans="1:12" ht="16.5" thickBot="1" x14ac:dyDescent="0.3">
      <c r="A2907" s="7"/>
      <c r="B2907" s="62"/>
      <c r="C2907" s="62"/>
      <c r="D2907" s="62"/>
      <c r="E2907" s="5"/>
      <c r="F2907" s="5"/>
      <c r="G2907" s="10"/>
      <c r="H2907" s="5"/>
      <c r="I2907" s="5"/>
      <c r="J2907" s="5"/>
      <c r="K2907" s="5"/>
      <c r="L2907" s="5"/>
    </row>
    <row r="2908" spans="1:12" ht="15.75" thickBot="1" x14ac:dyDescent="0.3">
      <c r="A2908" s="121" t="s">
        <v>9</v>
      </c>
      <c r="B2908" s="122"/>
      <c r="C2908" s="123"/>
      <c r="D2908" s="5"/>
      <c r="E2908" s="5"/>
      <c r="F2908" s="5"/>
      <c r="G2908" s="121" t="s">
        <v>26</v>
      </c>
      <c r="H2908" s="122"/>
      <c r="I2908" s="123"/>
      <c r="J2908" s="5"/>
      <c r="K2908" s="5"/>
      <c r="L2908" s="5"/>
    </row>
    <row r="2909" spans="1:12" x14ac:dyDescent="0.25">
      <c r="A2909" s="30" t="s">
        <v>38</v>
      </c>
      <c r="B2909" s="11"/>
      <c r="C2909" s="11"/>
      <c r="D2909" s="11"/>
      <c r="E2909" s="6"/>
      <c r="F2909" s="5"/>
      <c r="G2909" s="30" t="str">
        <f>A2912</f>
        <v>Cape Town</v>
      </c>
      <c r="H2909" s="11"/>
      <c r="I2909" s="11"/>
      <c r="J2909" s="11"/>
      <c r="K2909" s="11"/>
      <c r="L2909" s="6"/>
    </row>
    <row r="2910" spans="1:12" ht="15.75" thickBot="1" x14ac:dyDescent="0.3">
      <c r="A2910" s="7"/>
      <c r="B2910" s="7"/>
      <c r="C2910" s="7"/>
      <c r="D2910" s="5"/>
      <c r="E2910" s="5"/>
      <c r="F2910" s="5"/>
      <c r="G2910" s="7" t="str">
        <f>A2912</f>
        <v>Cape Town</v>
      </c>
      <c r="H2910" s="7"/>
      <c r="I2910" s="7"/>
      <c r="J2910" s="5"/>
      <c r="K2910" s="5"/>
      <c r="L2910" s="5"/>
    </row>
    <row r="2911" spans="1:12" ht="15.75" thickBot="1" x14ac:dyDescent="0.3">
      <c r="A2911" s="121"/>
      <c r="B2911" s="122"/>
      <c r="C2911" s="124"/>
      <c r="D2911" s="12" t="s">
        <v>1</v>
      </c>
      <c r="E2911" s="32"/>
      <c r="F2911" s="5"/>
      <c r="G2911" s="121" t="s">
        <v>27</v>
      </c>
      <c r="H2911" s="122"/>
      <c r="I2911" s="123"/>
      <c r="J2911" s="5"/>
      <c r="K2911" s="12" t="s">
        <v>1</v>
      </c>
      <c r="L2911" s="32">
        <v>1007070</v>
      </c>
    </row>
    <row r="2912" spans="1:12" x14ac:dyDescent="0.25">
      <c r="A2912" s="30" t="s">
        <v>65</v>
      </c>
      <c r="B2912" s="11"/>
      <c r="C2912" s="11"/>
      <c r="D2912" s="11"/>
      <c r="E2912" s="6"/>
      <c r="F2912" s="5"/>
      <c r="G2912" s="30" t="s">
        <v>364</v>
      </c>
      <c r="H2912" s="11"/>
      <c r="I2912" s="11"/>
      <c r="J2912" s="11"/>
      <c r="K2912" s="11"/>
      <c r="L2912" s="6"/>
    </row>
    <row r="2913" spans="1:12" x14ac:dyDescent="0.25">
      <c r="A2913" s="76"/>
      <c r="B2913" s="11"/>
      <c r="C2913" s="11"/>
      <c r="D2913" s="11"/>
      <c r="E2913" s="6"/>
      <c r="F2913" s="5"/>
      <c r="G2913" s="34"/>
      <c r="H2913" s="11"/>
      <c r="I2913" s="11"/>
      <c r="J2913" s="11"/>
      <c r="K2913" s="11"/>
      <c r="L2913" s="6"/>
    </row>
    <row r="2914" spans="1:12" x14ac:dyDescent="0.25">
      <c r="A2914" s="13"/>
      <c r="B2914" s="11"/>
      <c r="C2914" s="11"/>
      <c r="D2914" s="11"/>
      <c r="E2914" s="6"/>
      <c r="F2914" s="5"/>
      <c r="G2914" s="13"/>
      <c r="H2914" s="11"/>
      <c r="I2914" s="11"/>
      <c r="J2914" s="11"/>
      <c r="K2914" s="11"/>
      <c r="L2914" s="6"/>
    </row>
    <row r="2915" spans="1:12" x14ac:dyDescent="0.25">
      <c r="A2915" s="13"/>
      <c r="B2915" s="11"/>
      <c r="C2915" s="11"/>
      <c r="D2915" s="11"/>
      <c r="E2915" s="6"/>
      <c r="F2915" s="5"/>
      <c r="G2915" s="13"/>
      <c r="H2915" s="11"/>
      <c r="I2915" s="11"/>
      <c r="J2915" s="11"/>
      <c r="K2915" s="11"/>
      <c r="L2915" s="6"/>
    </row>
    <row r="2916" spans="1:12" ht="15.75" thickBot="1" x14ac:dyDescent="0.3">
      <c r="A2916" s="13"/>
      <c r="B2916" s="11"/>
      <c r="C2916" s="11" t="s">
        <v>29</v>
      </c>
      <c r="D2916" s="43"/>
      <c r="E2916" s="6"/>
      <c r="F2916" s="5"/>
      <c r="G2916" s="13"/>
      <c r="H2916" s="11"/>
      <c r="I2916" s="14" t="s">
        <v>28</v>
      </c>
      <c r="J2916" s="43"/>
      <c r="K2916" s="59"/>
      <c r="L2916" s="6"/>
    </row>
    <row r="2917" spans="1:12" ht="15.75" thickBot="1" x14ac:dyDescent="0.3">
      <c r="A2917" s="15" t="s">
        <v>10</v>
      </c>
      <c r="B2917" s="5"/>
      <c r="C2917" s="5"/>
      <c r="D2917" s="5"/>
      <c r="E2917" s="5"/>
      <c r="F2917" s="5"/>
      <c r="G2917" s="15" t="s">
        <v>14</v>
      </c>
      <c r="H2917" s="5"/>
      <c r="I2917" s="5"/>
      <c r="J2917" s="5"/>
      <c r="K2917" s="5"/>
      <c r="L2917" s="5"/>
    </row>
    <row r="2918" spans="1:12" ht="15.75" thickBot="1" x14ac:dyDescent="0.3">
      <c r="A2918" s="121" t="s">
        <v>11</v>
      </c>
      <c r="B2918" s="122"/>
      <c r="C2918" s="123"/>
      <c r="D2918" s="16" t="s">
        <v>12</v>
      </c>
      <c r="E2918" s="16" t="s">
        <v>13</v>
      </c>
      <c r="F2918" s="5"/>
      <c r="G2918" s="121" t="s">
        <v>15</v>
      </c>
      <c r="H2918" s="122"/>
      <c r="I2918" s="123"/>
      <c r="J2918" s="121"/>
      <c r="K2918" s="123"/>
      <c r="L2918" s="5"/>
    </row>
    <row r="2919" spans="1:12" x14ac:dyDescent="0.25">
      <c r="A2919" s="94">
        <v>45723</v>
      </c>
      <c r="B2919" s="46" t="s">
        <v>93</v>
      </c>
      <c r="C2919" s="47"/>
      <c r="D2919" s="56">
        <v>770.33600000000001</v>
      </c>
      <c r="E2919" s="57">
        <v>16639.25</v>
      </c>
      <c r="F2919" s="44">
        <f>E2919/D2919</f>
        <v>21.599990134175215</v>
      </c>
      <c r="G2919" s="125" t="s">
        <v>69</v>
      </c>
      <c r="H2919" s="126"/>
      <c r="I2919" s="127"/>
      <c r="J2919" s="128"/>
      <c r="K2919" s="129"/>
      <c r="L2919" s="5"/>
    </row>
    <row r="2920" spans="1:12" x14ac:dyDescent="0.25">
      <c r="A2920" s="94">
        <v>45754</v>
      </c>
      <c r="B2920" s="46" t="s">
        <v>498</v>
      </c>
      <c r="C2920" s="47"/>
      <c r="D2920" s="56">
        <v>200</v>
      </c>
      <c r="E2920" s="57">
        <v>4128</v>
      </c>
      <c r="F2920" s="44">
        <f>E2920/D2920</f>
        <v>20.64</v>
      </c>
      <c r="G2920" s="110" t="s">
        <v>59</v>
      </c>
      <c r="H2920" s="111"/>
      <c r="I2920" s="112"/>
      <c r="J2920" s="113"/>
      <c r="K2920" s="114"/>
      <c r="L2920" s="5"/>
    </row>
    <row r="2921" spans="1:12" x14ac:dyDescent="0.25">
      <c r="A2921" s="94">
        <v>45784</v>
      </c>
      <c r="B2921" s="46" t="s">
        <v>47</v>
      </c>
      <c r="C2921" s="47"/>
      <c r="D2921" s="56">
        <f>489.9+147.2</f>
        <v>637.09999999999991</v>
      </c>
      <c r="E2921" s="57">
        <v>13004.78</v>
      </c>
      <c r="F2921" s="44">
        <f>E2921/D2921</f>
        <v>20.412462721707744</v>
      </c>
      <c r="G2921" s="110" t="s">
        <v>61</v>
      </c>
      <c r="H2921" s="111"/>
      <c r="I2921" s="112"/>
      <c r="J2921" s="113"/>
      <c r="K2921" s="114"/>
      <c r="L2921" s="5"/>
    </row>
    <row r="2922" spans="1:12" x14ac:dyDescent="0.25">
      <c r="A2922" s="94"/>
      <c r="B2922" s="46"/>
      <c r="C2922" s="47"/>
      <c r="D2922" s="56"/>
      <c r="E2922" s="57"/>
      <c r="F2922" s="44"/>
      <c r="G2922" s="110" t="s">
        <v>51</v>
      </c>
      <c r="H2922" s="111"/>
      <c r="I2922" s="112"/>
      <c r="J2922" s="113"/>
      <c r="K2922" s="114"/>
      <c r="L2922" s="5"/>
    </row>
    <row r="2923" spans="1:12" x14ac:dyDescent="0.25">
      <c r="A2923" s="48"/>
      <c r="B2923" s="46"/>
      <c r="C2923" s="39"/>
      <c r="D2923" s="52"/>
      <c r="E2923" s="53"/>
      <c r="F2923" s="44"/>
      <c r="G2923" s="110" t="s">
        <v>58</v>
      </c>
      <c r="H2923" s="111"/>
      <c r="I2923" s="112"/>
      <c r="J2923" s="113"/>
      <c r="K2923" s="114"/>
      <c r="L2923" s="5"/>
    </row>
    <row r="2924" spans="1:12" x14ac:dyDescent="0.25">
      <c r="A2924" s="48"/>
      <c r="B2924" s="35"/>
      <c r="C2924" s="39"/>
      <c r="D2924" s="52"/>
      <c r="E2924" s="53"/>
      <c r="F2924" s="44"/>
      <c r="G2924" s="110" t="s">
        <v>51</v>
      </c>
      <c r="H2924" s="111"/>
      <c r="I2924" s="112"/>
      <c r="J2924" s="113"/>
      <c r="K2924" s="114"/>
      <c r="L2924" s="5"/>
    </row>
    <row r="2925" spans="1:12" x14ac:dyDescent="0.25">
      <c r="A2925" s="48"/>
      <c r="B2925" s="35"/>
      <c r="C2925" s="39"/>
      <c r="D2925" s="52"/>
      <c r="E2925" s="53"/>
      <c r="F2925" s="44"/>
      <c r="G2925" s="77"/>
      <c r="H2925" s="78" t="s">
        <v>69</v>
      </c>
      <c r="I2925" s="79"/>
      <c r="J2925" s="113">
        <v>0</v>
      </c>
      <c r="K2925" s="114"/>
      <c r="L2925" s="5"/>
    </row>
    <row r="2926" spans="1:12" x14ac:dyDescent="0.25">
      <c r="A2926" s="38"/>
      <c r="B2926" s="35"/>
      <c r="C2926" s="39"/>
      <c r="D2926" s="52"/>
      <c r="E2926" s="53"/>
      <c r="F2926" s="44"/>
      <c r="G2926" s="77"/>
      <c r="H2926" s="78" t="s">
        <v>72</v>
      </c>
      <c r="I2926" s="79"/>
      <c r="J2926" s="113"/>
      <c r="K2926" s="114"/>
      <c r="L2926" s="5"/>
    </row>
    <row r="2927" spans="1:12" ht="15.75" thickBot="1" x14ac:dyDescent="0.3">
      <c r="A2927" s="5"/>
      <c r="B2927" s="5"/>
      <c r="C2927" s="7" t="s">
        <v>35</v>
      </c>
      <c r="D2927" s="17">
        <f>SUM(D2919:D2926)</f>
        <v>1607.4359999999999</v>
      </c>
      <c r="E2927" s="17">
        <f>SUM(E2919:E2926)</f>
        <v>33772.03</v>
      </c>
      <c r="F2927" s="89">
        <f>AVERAGE(F2919:F2923)</f>
        <v>20.884150951960986</v>
      </c>
      <c r="G2927" s="110" t="s">
        <v>73</v>
      </c>
      <c r="H2927" s="111"/>
      <c r="I2927" s="112"/>
      <c r="J2927" s="113"/>
      <c r="K2927" s="114"/>
      <c r="L2927" s="7" t="s">
        <v>36</v>
      </c>
    </row>
    <row r="2928" spans="1:12" ht="15.75" thickBot="1" x14ac:dyDescent="0.3">
      <c r="A2928" s="5"/>
      <c r="B2928" s="5"/>
      <c r="C2928" s="5"/>
      <c r="D2928" s="5"/>
      <c r="E2928" s="5"/>
      <c r="F2928" s="5"/>
      <c r="G2928" s="130"/>
      <c r="H2928" s="131"/>
      <c r="I2928" s="132"/>
      <c r="J2928" s="133"/>
      <c r="K2928" s="134"/>
      <c r="L2928" s="18">
        <f>J2919+J2920+J2921+J2922+J2923+J2924+J2925+J2926+J2927</f>
        <v>0</v>
      </c>
    </row>
    <row r="2929" spans="1:12" ht="15.75" thickBot="1" x14ac:dyDescent="0.3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</row>
    <row r="2930" spans="1:12" ht="15.75" thickBot="1" x14ac:dyDescent="0.3">
      <c r="A2930" s="19"/>
      <c r="B2930" s="20"/>
      <c r="C2930" s="20"/>
      <c r="D2930" s="20"/>
      <c r="E2930" s="21" t="s">
        <v>13</v>
      </c>
      <c r="F2930" s="5"/>
      <c r="G2930" s="19"/>
      <c r="H2930" s="20"/>
      <c r="I2930" s="20"/>
      <c r="J2930" s="20"/>
      <c r="K2930" s="21" t="s">
        <v>13</v>
      </c>
      <c r="L2930" s="5"/>
    </row>
    <row r="2931" spans="1:12" x14ac:dyDescent="0.25">
      <c r="A2931" s="22" t="s">
        <v>31</v>
      </c>
      <c r="B2931" s="115">
        <v>18687</v>
      </c>
      <c r="C2931" s="116"/>
      <c r="D2931" s="116"/>
      <c r="E2931" s="117"/>
      <c r="F2931" s="5"/>
      <c r="G2931" s="22" t="s">
        <v>32</v>
      </c>
      <c r="H2931" s="115">
        <v>41700</v>
      </c>
      <c r="I2931" s="116"/>
      <c r="J2931" s="116"/>
      <c r="K2931" s="117"/>
      <c r="L2931" s="5"/>
    </row>
    <row r="2932" spans="1:12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</row>
    <row r="2933" spans="1:12" x14ac:dyDescent="0.25">
      <c r="A2933" s="7" t="s">
        <v>16</v>
      </c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</row>
    <row r="2934" spans="1:12" x14ac:dyDescent="0.25">
      <c r="A2934" s="9" t="s">
        <v>17</v>
      </c>
      <c r="B2934" s="23">
        <f>L2911-C2906</f>
        <v>3047</v>
      </c>
      <c r="C2934" s="5"/>
      <c r="D2934" s="106" t="s">
        <v>18</v>
      </c>
      <c r="E2934" s="107"/>
      <c r="F2934" s="24" t="s">
        <v>19</v>
      </c>
      <c r="G2934" s="9" t="s">
        <v>20</v>
      </c>
      <c r="H2934" s="118">
        <f>B2931+H2931</f>
        <v>60387</v>
      </c>
      <c r="I2934" s="119"/>
      <c r="J2934" s="60"/>
      <c r="K2934" s="5"/>
      <c r="L2934" s="5"/>
    </row>
    <row r="2935" spans="1:12" x14ac:dyDescent="0.25">
      <c r="A2935" s="9" t="s">
        <v>41</v>
      </c>
      <c r="B2935" s="40">
        <f>B2934/D2927</f>
        <v>1.8955653599894491</v>
      </c>
      <c r="C2935" s="5"/>
      <c r="D2935" s="102">
        <f>E2927</f>
        <v>33772.03</v>
      </c>
      <c r="E2935" s="103"/>
      <c r="F2935" s="25">
        <f>H2935/B2934</f>
        <v>12.044709550377419</v>
      </c>
      <c r="G2935" s="9" t="s">
        <v>21</v>
      </c>
      <c r="H2935" s="104">
        <f>L2928+D2935+D2937+D2939+D2941+A2938</f>
        <v>36700.229999999996</v>
      </c>
      <c r="I2935" s="105"/>
      <c r="J2935" s="5"/>
      <c r="K2935" s="5"/>
      <c r="L2935" s="5"/>
    </row>
    <row r="2936" spans="1:12" x14ac:dyDescent="0.25">
      <c r="A2936" s="9" t="s">
        <v>43</v>
      </c>
      <c r="B2936" s="23">
        <f>D2927/B2934*100</f>
        <v>52.75470955037742</v>
      </c>
      <c r="C2936" s="5"/>
      <c r="D2936" s="106" t="s">
        <v>33</v>
      </c>
      <c r="E2936" s="107"/>
      <c r="F2936" s="5"/>
      <c r="G2936" s="13" t="s">
        <v>22</v>
      </c>
      <c r="H2936" s="6"/>
      <c r="I2936" s="26">
        <f>H2934-H2935</f>
        <v>23686.770000000004</v>
      </c>
      <c r="J2936" s="5"/>
      <c r="K2936" s="5"/>
      <c r="L2936" s="5"/>
    </row>
    <row r="2937" spans="1:12" x14ac:dyDescent="0.25">
      <c r="A2937" s="106" t="s">
        <v>40</v>
      </c>
      <c r="B2937" s="107"/>
      <c r="C2937" s="5"/>
      <c r="D2937" s="149">
        <v>1100</v>
      </c>
      <c r="E2937" s="150"/>
      <c r="F2937" s="5"/>
      <c r="G2937" s="5"/>
      <c r="H2937" s="5"/>
      <c r="I2937" s="5"/>
      <c r="J2937" s="5"/>
      <c r="K2937" s="5"/>
      <c r="L2937" s="5"/>
    </row>
    <row r="2938" spans="1:12" x14ac:dyDescent="0.25">
      <c r="A2938" s="108">
        <f>B2934*0.6</f>
        <v>1828.2</v>
      </c>
      <c r="B2938" s="109"/>
      <c r="C2938" s="5"/>
      <c r="D2938" s="106" t="s">
        <v>34</v>
      </c>
      <c r="E2938" s="107"/>
      <c r="F2938" s="5"/>
      <c r="G2938" s="145" t="s">
        <v>292</v>
      </c>
      <c r="H2938" s="146"/>
      <c r="I2938" s="23">
        <f>B2934/2.3</f>
        <v>1324.7826086956522</v>
      </c>
      <c r="J2938" s="60"/>
      <c r="K2938" s="5"/>
      <c r="L2938" s="5"/>
    </row>
    <row r="2939" spans="1:12" x14ac:dyDescent="0.25">
      <c r="A2939" s="5"/>
      <c r="B2939" s="5"/>
      <c r="C2939" s="5"/>
      <c r="D2939" s="108">
        <v>0</v>
      </c>
      <c r="E2939" s="109"/>
      <c r="F2939" s="5"/>
      <c r="G2939" s="145" t="s">
        <v>294</v>
      </c>
      <c r="H2939" s="146"/>
      <c r="I2939" s="23">
        <f>I2938-D2927</f>
        <v>-282.65339130434768</v>
      </c>
      <c r="J2939" s="5"/>
      <c r="K2939" s="5"/>
      <c r="L2939" s="5"/>
    </row>
    <row r="2940" spans="1:12" x14ac:dyDescent="0.25">
      <c r="A2940" s="5"/>
      <c r="B2940" s="5"/>
      <c r="C2940" s="5"/>
      <c r="D2940" s="106" t="s">
        <v>37</v>
      </c>
      <c r="E2940" s="107"/>
      <c r="F2940" s="5"/>
      <c r="G2940" s="147" t="s">
        <v>295</v>
      </c>
      <c r="H2940" s="148"/>
      <c r="I2940" s="86">
        <f>I2939*F2927</f>
        <v>-5902.976091083694</v>
      </c>
      <c r="J2940" s="87">
        <f>I2936-I2940</f>
        <v>29589.746091083696</v>
      </c>
      <c r="K2940" s="5"/>
      <c r="L2940" s="5"/>
    </row>
    <row r="2941" spans="1:12" x14ac:dyDescent="0.25">
      <c r="A2941" s="5"/>
      <c r="B2941" s="5"/>
      <c r="C2941" s="5"/>
      <c r="D2941" s="108">
        <v>0</v>
      </c>
      <c r="E2941" s="109"/>
      <c r="F2941" s="5" t="s">
        <v>78</v>
      </c>
      <c r="G2941" s="5"/>
      <c r="H2941" s="5"/>
      <c r="I2941" s="5"/>
      <c r="J2941" s="88" t="s">
        <v>293</v>
      </c>
      <c r="K2941" s="44"/>
      <c r="L2941" s="5"/>
    </row>
    <row r="2943" spans="1:12" s="49" customFormat="1" x14ac:dyDescent="0.25"/>
    <row r="2946" spans="1:12" x14ac:dyDescent="0.25">
      <c r="A2946" s="120" t="s">
        <v>24</v>
      </c>
      <c r="B2946" s="120"/>
      <c r="C2946" s="120"/>
      <c r="D2946" s="120"/>
      <c r="E2946" s="120"/>
      <c r="F2946" s="120"/>
      <c r="G2946" s="120"/>
      <c r="H2946" s="120"/>
      <c r="I2946" s="120"/>
      <c r="J2946" s="120"/>
      <c r="K2946" s="120"/>
      <c r="L2946" s="120"/>
    </row>
    <row r="2947" spans="1:12" x14ac:dyDescent="0.25">
      <c r="A2947" s="120"/>
      <c r="B2947" s="120"/>
      <c r="C2947" s="120"/>
      <c r="D2947" s="120"/>
      <c r="E2947" s="120"/>
      <c r="F2947" s="120"/>
      <c r="G2947" s="120"/>
      <c r="H2947" s="120"/>
      <c r="I2947" s="120"/>
      <c r="J2947" s="120"/>
      <c r="K2947" s="120"/>
      <c r="L2947" s="120"/>
    </row>
    <row r="2948" spans="1:12" x14ac:dyDescent="0.25">
      <c r="A2948" s="1" t="s">
        <v>4</v>
      </c>
      <c r="B2948" s="2"/>
      <c r="C2948" s="90"/>
      <c r="D2948" s="2"/>
      <c r="E2948" s="2"/>
      <c r="F2948" s="2"/>
      <c r="G2948" s="3" t="s">
        <v>5</v>
      </c>
      <c r="H2948" s="3" t="s">
        <v>6</v>
      </c>
      <c r="I2948" s="4" t="s">
        <v>7</v>
      </c>
      <c r="J2948" s="5"/>
      <c r="K2948" s="5"/>
      <c r="L2948" s="5"/>
    </row>
    <row r="2949" spans="1:12" x14ac:dyDescent="0.25">
      <c r="A2949" s="91" t="s">
        <v>359</v>
      </c>
      <c r="B2949" s="92" t="s">
        <v>42</v>
      </c>
      <c r="C2949" s="64"/>
      <c r="D2949" s="66"/>
      <c r="E2949" s="2"/>
      <c r="F2949" s="2"/>
      <c r="G2949" s="91" t="s">
        <v>299</v>
      </c>
      <c r="H2949" s="66"/>
      <c r="I2949" s="33"/>
      <c r="J2949" s="6"/>
      <c r="K2949" s="33"/>
      <c r="L2949" s="6"/>
    </row>
    <row r="2950" spans="1:12" x14ac:dyDescent="0.25">
      <c r="A2950" s="7" t="s">
        <v>2</v>
      </c>
      <c r="B2950" s="5"/>
      <c r="C2950" s="5"/>
      <c r="D2950" s="5"/>
      <c r="E2950" s="5"/>
      <c r="F2950" s="5"/>
      <c r="G2950" s="8" t="s">
        <v>8</v>
      </c>
      <c r="H2950" s="93">
        <v>3</v>
      </c>
      <c r="I2950" s="5"/>
      <c r="J2950" s="5"/>
      <c r="K2950" s="5"/>
      <c r="L2950" s="5"/>
    </row>
    <row r="2951" spans="1:12" x14ac:dyDescent="0.25">
      <c r="A2951" s="7" t="s">
        <v>25</v>
      </c>
      <c r="B2951" s="5"/>
      <c r="C2951" s="7" t="s">
        <v>0</v>
      </c>
      <c r="D2951" s="5"/>
      <c r="E2951" s="5"/>
      <c r="F2951" s="5"/>
      <c r="G2951" s="7" t="s">
        <v>25</v>
      </c>
      <c r="H2951" s="5"/>
      <c r="I2951" s="7" t="s">
        <v>0</v>
      </c>
      <c r="J2951" s="5"/>
      <c r="K2951" s="5"/>
      <c r="L2951" s="5"/>
    </row>
    <row r="2952" spans="1:12" x14ac:dyDescent="0.25">
      <c r="A2952" s="42">
        <v>45754</v>
      </c>
      <c r="B2952" s="6"/>
      <c r="C2952" s="31">
        <f>L2911</f>
        <v>1007070</v>
      </c>
      <c r="D2952" s="5"/>
      <c r="E2952" s="5"/>
      <c r="F2952" s="5"/>
      <c r="G2952" s="42"/>
      <c r="H2952" s="6"/>
      <c r="I2952" s="9"/>
      <c r="J2952" s="5"/>
      <c r="K2952" s="5"/>
      <c r="L2952" s="5"/>
    </row>
    <row r="2953" spans="1:12" ht="16.5" thickBot="1" x14ac:dyDescent="0.3">
      <c r="A2953" s="7"/>
      <c r="B2953" s="62"/>
      <c r="C2953" s="62"/>
      <c r="D2953" s="62"/>
      <c r="E2953" s="5"/>
      <c r="F2953" s="5"/>
      <c r="G2953" s="10"/>
      <c r="H2953" s="5"/>
      <c r="I2953" s="5"/>
      <c r="J2953" s="5"/>
      <c r="K2953" s="5"/>
      <c r="L2953" s="5"/>
    </row>
    <row r="2954" spans="1:12" ht="15.75" thickBot="1" x14ac:dyDescent="0.3">
      <c r="A2954" s="121" t="s">
        <v>9</v>
      </c>
      <c r="B2954" s="122"/>
      <c r="C2954" s="123"/>
      <c r="D2954" s="5"/>
      <c r="E2954" s="5"/>
      <c r="F2954" s="5"/>
      <c r="G2954" s="121" t="s">
        <v>26</v>
      </c>
      <c r="H2954" s="122"/>
      <c r="I2954" s="123"/>
      <c r="J2954" s="5"/>
      <c r="K2954" s="5"/>
      <c r="L2954" s="5"/>
    </row>
    <row r="2955" spans="1:12" x14ac:dyDescent="0.25">
      <c r="A2955" s="30" t="s">
        <v>38</v>
      </c>
      <c r="B2955" s="11"/>
      <c r="C2955" s="11"/>
      <c r="D2955" s="11"/>
      <c r="E2955" s="6"/>
      <c r="F2955" s="5"/>
      <c r="G2955" s="30" t="str">
        <f>A2958</f>
        <v>Cape Town</v>
      </c>
      <c r="H2955" s="11"/>
      <c r="I2955" s="11"/>
      <c r="J2955" s="11"/>
      <c r="K2955" s="11"/>
      <c r="L2955" s="6"/>
    </row>
    <row r="2956" spans="1:12" ht="15.75" thickBot="1" x14ac:dyDescent="0.3">
      <c r="A2956" s="7"/>
      <c r="B2956" s="7"/>
      <c r="C2956" s="7"/>
      <c r="D2956" s="5"/>
      <c r="E2956" s="5"/>
      <c r="F2956" s="5"/>
      <c r="G2956" s="7" t="str">
        <f>A2958</f>
        <v>Cape Town</v>
      </c>
      <c r="H2956" s="7"/>
      <c r="I2956" s="7"/>
      <c r="J2956" s="5"/>
      <c r="K2956" s="5"/>
      <c r="L2956" s="5"/>
    </row>
    <row r="2957" spans="1:12" ht="15.75" thickBot="1" x14ac:dyDescent="0.3">
      <c r="A2957" s="121"/>
      <c r="B2957" s="122"/>
      <c r="C2957" s="124"/>
      <c r="D2957" s="12" t="s">
        <v>1</v>
      </c>
      <c r="E2957" s="32"/>
      <c r="F2957" s="5"/>
      <c r="G2957" s="121" t="s">
        <v>27</v>
      </c>
      <c r="H2957" s="122"/>
      <c r="I2957" s="123"/>
      <c r="J2957" s="5"/>
      <c r="K2957" s="12" t="s">
        <v>1</v>
      </c>
      <c r="L2957" s="32">
        <v>1010115</v>
      </c>
    </row>
    <row r="2958" spans="1:12" x14ac:dyDescent="0.25">
      <c r="A2958" s="30" t="s">
        <v>65</v>
      </c>
      <c r="B2958" s="11"/>
      <c r="C2958" s="11"/>
      <c r="D2958" s="11"/>
      <c r="E2958" s="6"/>
      <c r="F2958" s="5"/>
      <c r="G2958" s="30" t="s">
        <v>364</v>
      </c>
      <c r="H2958" s="11"/>
      <c r="I2958" s="11"/>
      <c r="J2958" s="11"/>
      <c r="K2958" s="11"/>
      <c r="L2958" s="6"/>
    </row>
    <row r="2959" spans="1:12" x14ac:dyDescent="0.25">
      <c r="A2959" s="76"/>
      <c r="B2959" s="11"/>
      <c r="C2959" s="11"/>
      <c r="D2959" s="11"/>
      <c r="E2959" s="6"/>
      <c r="F2959" s="5"/>
      <c r="G2959" s="34"/>
      <c r="H2959" s="11"/>
      <c r="I2959" s="11"/>
      <c r="J2959" s="11"/>
      <c r="K2959" s="11"/>
      <c r="L2959" s="6"/>
    </row>
    <row r="2960" spans="1:12" x14ac:dyDescent="0.25">
      <c r="A2960" s="13"/>
      <c r="B2960" s="11"/>
      <c r="C2960" s="11"/>
      <c r="D2960" s="11"/>
      <c r="E2960" s="6"/>
      <c r="F2960" s="5"/>
      <c r="G2960" s="13"/>
      <c r="H2960" s="11"/>
      <c r="I2960" s="11"/>
      <c r="J2960" s="11"/>
      <c r="K2960" s="11"/>
      <c r="L2960" s="6"/>
    </row>
    <row r="2961" spans="1:12" x14ac:dyDescent="0.25">
      <c r="A2961" s="13"/>
      <c r="B2961" s="11"/>
      <c r="C2961" s="11"/>
      <c r="D2961" s="11"/>
      <c r="E2961" s="6"/>
      <c r="F2961" s="5"/>
      <c r="G2961" s="13"/>
      <c r="H2961" s="11"/>
      <c r="I2961" s="11"/>
      <c r="J2961" s="11"/>
      <c r="K2961" s="11"/>
      <c r="L2961" s="6"/>
    </row>
    <row r="2962" spans="1:12" ht="15.75" thickBot="1" x14ac:dyDescent="0.3">
      <c r="A2962" s="13"/>
      <c r="B2962" s="11"/>
      <c r="C2962" s="11" t="s">
        <v>29</v>
      </c>
      <c r="D2962" s="43"/>
      <c r="E2962" s="6"/>
      <c r="F2962" s="5"/>
      <c r="G2962" s="13"/>
      <c r="H2962" s="11"/>
      <c r="I2962" s="14" t="s">
        <v>28</v>
      </c>
      <c r="J2962" s="43"/>
      <c r="K2962" s="59"/>
      <c r="L2962" s="6"/>
    </row>
    <row r="2963" spans="1:12" ht="15.75" thickBot="1" x14ac:dyDescent="0.3">
      <c r="A2963" s="15" t="s">
        <v>10</v>
      </c>
      <c r="B2963" s="5"/>
      <c r="C2963" s="5"/>
      <c r="D2963" s="5"/>
      <c r="E2963" s="5"/>
      <c r="F2963" s="5"/>
      <c r="G2963" s="15" t="s">
        <v>14</v>
      </c>
      <c r="H2963" s="5"/>
      <c r="I2963" s="5"/>
      <c r="J2963" s="5"/>
      <c r="K2963" s="5"/>
      <c r="L2963" s="5"/>
    </row>
    <row r="2964" spans="1:12" ht="15.75" thickBot="1" x14ac:dyDescent="0.3">
      <c r="A2964" s="121" t="s">
        <v>11</v>
      </c>
      <c r="B2964" s="122"/>
      <c r="C2964" s="123"/>
      <c r="D2964" s="16" t="s">
        <v>12</v>
      </c>
      <c r="E2964" s="16" t="s">
        <v>13</v>
      </c>
      <c r="F2964" s="5"/>
      <c r="G2964" s="121" t="s">
        <v>15</v>
      </c>
      <c r="H2964" s="122"/>
      <c r="I2964" s="123"/>
      <c r="J2964" s="121"/>
      <c r="K2964" s="123"/>
      <c r="L2964" s="5"/>
    </row>
    <row r="2965" spans="1:12" x14ac:dyDescent="0.25">
      <c r="A2965" s="94">
        <v>45845</v>
      </c>
      <c r="B2965" s="46" t="s">
        <v>499</v>
      </c>
      <c r="C2965" s="47"/>
      <c r="D2965" s="56">
        <v>623.80999999999995</v>
      </c>
      <c r="E2965" s="57">
        <v>12264.1</v>
      </c>
      <c r="F2965" s="44">
        <f>E2965/D2965</f>
        <v>19.659992625959831</v>
      </c>
      <c r="G2965" s="125" t="s">
        <v>69</v>
      </c>
      <c r="H2965" s="126"/>
      <c r="I2965" s="127"/>
      <c r="J2965" s="128"/>
      <c r="K2965" s="129"/>
      <c r="L2965" s="5"/>
    </row>
    <row r="2966" spans="1:12" x14ac:dyDescent="0.25">
      <c r="A2966" s="94">
        <v>45907</v>
      </c>
      <c r="B2966" s="46" t="s">
        <v>47</v>
      </c>
      <c r="C2966" s="47"/>
      <c r="D2966" s="56">
        <f>489.9+153.9</f>
        <v>643.79999999999995</v>
      </c>
      <c r="E2966" s="57">
        <v>13140.3</v>
      </c>
      <c r="F2966" s="44">
        <f>E2966/D2966</f>
        <v>20.410531220876049</v>
      </c>
      <c r="G2966" s="110" t="s">
        <v>59</v>
      </c>
      <c r="H2966" s="111"/>
      <c r="I2966" s="112"/>
      <c r="J2966" s="113"/>
      <c r="K2966" s="114"/>
      <c r="L2966" s="5"/>
    </row>
    <row r="2967" spans="1:12" x14ac:dyDescent="0.25">
      <c r="A2967" s="94"/>
      <c r="B2967" s="46"/>
      <c r="C2967" s="47"/>
      <c r="D2967" s="56"/>
      <c r="E2967" s="57"/>
      <c r="F2967" s="44"/>
      <c r="G2967" s="110" t="s">
        <v>61</v>
      </c>
      <c r="H2967" s="111"/>
      <c r="I2967" s="112"/>
      <c r="J2967" s="113"/>
      <c r="K2967" s="114"/>
      <c r="L2967" s="5"/>
    </row>
    <row r="2968" spans="1:12" x14ac:dyDescent="0.25">
      <c r="A2968" s="94"/>
      <c r="B2968" s="46"/>
      <c r="C2968" s="47"/>
      <c r="D2968" s="56"/>
      <c r="E2968" s="57"/>
      <c r="F2968" s="44"/>
      <c r="G2968" s="110" t="s">
        <v>51</v>
      </c>
      <c r="H2968" s="111"/>
      <c r="I2968" s="112"/>
      <c r="J2968" s="113"/>
      <c r="K2968" s="114"/>
      <c r="L2968" s="5"/>
    </row>
    <row r="2969" spans="1:12" x14ac:dyDescent="0.25">
      <c r="A2969" s="48"/>
      <c r="B2969" s="46"/>
      <c r="C2969" s="39"/>
      <c r="D2969" s="52"/>
      <c r="E2969" s="53"/>
      <c r="F2969" s="44"/>
      <c r="G2969" s="110" t="s">
        <v>58</v>
      </c>
      <c r="H2969" s="111"/>
      <c r="I2969" s="112"/>
      <c r="J2969" s="113"/>
      <c r="K2969" s="114"/>
      <c r="L2969" s="5"/>
    </row>
    <row r="2970" spans="1:12" x14ac:dyDescent="0.25">
      <c r="A2970" s="48"/>
      <c r="B2970" s="35"/>
      <c r="C2970" s="39"/>
      <c r="D2970" s="52"/>
      <c r="E2970" s="53"/>
      <c r="F2970" s="44"/>
      <c r="G2970" s="110" t="s">
        <v>51</v>
      </c>
      <c r="H2970" s="111"/>
      <c r="I2970" s="112"/>
      <c r="J2970" s="113"/>
      <c r="K2970" s="114"/>
      <c r="L2970" s="5"/>
    </row>
    <row r="2971" spans="1:12" x14ac:dyDescent="0.25">
      <c r="A2971" s="48"/>
      <c r="B2971" s="35"/>
      <c r="C2971" s="39"/>
      <c r="D2971" s="52"/>
      <c r="E2971" s="53"/>
      <c r="F2971" s="44"/>
      <c r="G2971" s="77"/>
      <c r="H2971" s="78" t="s">
        <v>69</v>
      </c>
      <c r="I2971" s="79"/>
      <c r="J2971" s="113">
        <v>0</v>
      </c>
      <c r="K2971" s="114"/>
      <c r="L2971" s="5"/>
    </row>
    <row r="2972" spans="1:12" x14ac:dyDescent="0.25">
      <c r="A2972" s="38"/>
      <c r="B2972" s="35"/>
      <c r="C2972" s="39"/>
      <c r="D2972" s="52"/>
      <c r="E2972" s="53"/>
      <c r="F2972" s="44"/>
      <c r="G2972" s="77"/>
      <c r="H2972" s="78" t="s">
        <v>72</v>
      </c>
      <c r="I2972" s="79"/>
      <c r="J2972" s="113"/>
      <c r="K2972" s="114"/>
      <c r="L2972" s="5"/>
    </row>
    <row r="2973" spans="1:12" ht="15.75" thickBot="1" x14ac:dyDescent="0.3">
      <c r="A2973" s="5"/>
      <c r="B2973" s="5"/>
      <c r="C2973" s="7" t="s">
        <v>35</v>
      </c>
      <c r="D2973" s="17">
        <f>SUM(D2965:D2972)</f>
        <v>1267.6099999999999</v>
      </c>
      <c r="E2973" s="17">
        <f>SUM(E2965:E2972)</f>
        <v>25404.400000000001</v>
      </c>
      <c r="F2973" s="89">
        <f>AVERAGE(F2965:F2969)</f>
        <v>20.035261923417941</v>
      </c>
      <c r="G2973" s="110" t="s">
        <v>73</v>
      </c>
      <c r="H2973" s="111"/>
      <c r="I2973" s="112"/>
      <c r="J2973" s="113"/>
      <c r="K2973" s="114"/>
      <c r="L2973" s="7" t="s">
        <v>36</v>
      </c>
    </row>
    <row r="2974" spans="1:12" ht="15.75" thickBot="1" x14ac:dyDescent="0.3">
      <c r="A2974" s="5"/>
      <c r="B2974" s="5"/>
      <c r="C2974" s="5"/>
      <c r="D2974" s="5"/>
      <c r="E2974" s="5"/>
      <c r="F2974" s="5"/>
      <c r="G2974" s="130"/>
      <c r="H2974" s="131"/>
      <c r="I2974" s="132"/>
      <c r="J2974" s="133"/>
      <c r="K2974" s="134"/>
      <c r="L2974" s="18">
        <f>J2965+J2966+J2967+J2968+J2969+J2970+J2971+J2972+J2973</f>
        <v>0</v>
      </c>
    </row>
    <row r="2975" spans="1:12" ht="15.75" thickBot="1" x14ac:dyDescent="0.3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</row>
    <row r="2976" spans="1:12" ht="15.75" thickBot="1" x14ac:dyDescent="0.3">
      <c r="A2976" s="19"/>
      <c r="B2976" s="20"/>
      <c r="C2976" s="20"/>
      <c r="D2976" s="20"/>
      <c r="E2976" s="21" t="s">
        <v>13</v>
      </c>
      <c r="F2976" s="5"/>
      <c r="G2976" s="19"/>
      <c r="H2976" s="20"/>
      <c r="I2976" s="20"/>
      <c r="J2976" s="20"/>
      <c r="K2976" s="21" t="s">
        <v>13</v>
      </c>
      <c r="L2976" s="5"/>
    </row>
    <row r="2977" spans="1:12" x14ac:dyDescent="0.25">
      <c r="A2977" s="22" t="s">
        <v>31</v>
      </c>
      <c r="B2977" s="115">
        <v>18687</v>
      </c>
      <c r="C2977" s="116"/>
      <c r="D2977" s="116"/>
      <c r="E2977" s="117"/>
      <c r="F2977" s="5"/>
      <c r="G2977" s="22" t="s">
        <v>32</v>
      </c>
      <c r="H2977" s="115">
        <v>41700</v>
      </c>
      <c r="I2977" s="116"/>
      <c r="J2977" s="116"/>
      <c r="K2977" s="117"/>
      <c r="L2977" s="5"/>
    </row>
    <row r="2978" spans="1:12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</row>
    <row r="2979" spans="1:12" x14ac:dyDescent="0.25">
      <c r="A2979" s="7" t="s">
        <v>16</v>
      </c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</row>
    <row r="2980" spans="1:12" x14ac:dyDescent="0.25">
      <c r="A2980" s="9" t="s">
        <v>17</v>
      </c>
      <c r="B2980" s="23">
        <f>L2957-C2952</f>
        <v>3045</v>
      </c>
      <c r="C2980" s="5"/>
      <c r="D2980" s="106" t="s">
        <v>18</v>
      </c>
      <c r="E2980" s="107"/>
      <c r="F2980" s="24" t="s">
        <v>19</v>
      </c>
      <c r="G2980" s="9" t="s">
        <v>20</v>
      </c>
      <c r="H2980" s="118">
        <f>B2977+H2977</f>
        <v>60387</v>
      </c>
      <c r="I2980" s="119"/>
      <c r="J2980" s="60"/>
      <c r="K2980" s="5"/>
      <c r="L2980" s="5"/>
    </row>
    <row r="2981" spans="1:12" x14ac:dyDescent="0.25">
      <c r="A2981" s="9" t="s">
        <v>41</v>
      </c>
      <c r="B2981" s="40">
        <f>B2980/D2973</f>
        <v>2.402158392565537</v>
      </c>
      <c r="C2981" s="5"/>
      <c r="D2981" s="102">
        <f>E2973</f>
        <v>25404.400000000001</v>
      </c>
      <c r="E2981" s="103"/>
      <c r="F2981" s="25">
        <f>H2981/B2980</f>
        <v>9.3042364532019715</v>
      </c>
      <c r="G2981" s="9" t="s">
        <v>21</v>
      </c>
      <c r="H2981" s="104">
        <f>L2974+D2981+D2983+D2985+D2987+A2984</f>
        <v>28331.4</v>
      </c>
      <c r="I2981" s="105"/>
      <c r="J2981" s="5"/>
      <c r="K2981" s="5"/>
      <c r="L2981" s="5"/>
    </row>
    <row r="2982" spans="1:12" x14ac:dyDescent="0.25">
      <c r="A2982" s="9" t="s">
        <v>43</v>
      </c>
      <c r="B2982" s="23">
        <f>D2973/B2980*100</f>
        <v>41.629228243021345</v>
      </c>
      <c r="C2982" s="5"/>
      <c r="D2982" s="106" t="s">
        <v>33</v>
      </c>
      <c r="E2982" s="107"/>
      <c r="F2982" s="5"/>
      <c r="G2982" s="13" t="s">
        <v>22</v>
      </c>
      <c r="H2982" s="6"/>
      <c r="I2982" s="26">
        <f>H2980-H2981</f>
        <v>32055.599999999999</v>
      </c>
      <c r="J2982" s="5"/>
      <c r="K2982" s="5"/>
      <c r="L2982" s="5"/>
    </row>
    <row r="2983" spans="1:12" x14ac:dyDescent="0.25">
      <c r="A2983" s="106" t="s">
        <v>40</v>
      </c>
      <c r="B2983" s="107"/>
      <c r="C2983" s="5"/>
      <c r="D2983" s="149">
        <v>1100</v>
      </c>
      <c r="E2983" s="150"/>
      <c r="F2983" s="5"/>
      <c r="G2983" s="5"/>
      <c r="H2983" s="5"/>
      <c r="I2983" s="5"/>
      <c r="J2983" s="5"/>
      <c r="K2983" s="5"/>
      <c r="L2983" s="5"/>
    </row>
    <row r="2984" spans="1:12" x14ac:dyDescent="0.25">
      <c r="A2984" s="108">
        <f>B2980*0.6</f>
        <v>1827</v>
      </c>
      <c r="B2984" s="109"/>
      <c r="C2984" s="5"/>
      <c r="D2984" s="106" t="s">
        <v>34</v>
      </c>
      <c r="E2984" s="107"/>
      <c r="F2984" s="5"/>
      <c r="G2984" s="145" t="s">
        <v>292</v>
      </c>
      <c r="H2984" s="146"/>
      <c r="I2984" s="23">
        <f>B2980/2.3</f>
        <v>1323.913043478261</v>
      </c>
      <c r="J2984" s="60"/>
      <c r="K2984" s="5"/>
      <c r="L2984" s="5"/>
    </row>
    <row r="2985" spans="1:12" x14ac:dyDescent="0.25">
      <c r="A2985" s="5"/>
      <c r="B2985" s="5"/>
      <c r="C2985" s="5"/>
      <c r="D2985" s="108">
        <v>0</v>
      </c>
      <c r="E2985" s="109"/>
      <c r="F2985" s="5"/>
      <c r="G2985" s="145" t="s">
        <v>294</v>
      </c>
      <c r="H2985" s="146"/>
      <c r="I2985" s="23">
        <f>I2984-D2973</f>
        <v>56.303043478261088</v>
      </c>
      <c r="J2985" s="5"/>
      <c r="K2985" s="5"/>
      <c r="L2985" s="5"/>
    </row>
    <row r="2986" spans="1:12" x14ac:dyDescent="0.25">
      <c r="A2986" s="5"/>
      <c r="B2986" s="5"/>
      <c r="C2986" s="5"/>
      <c r="D2986" s="106" t="s">
        <v>37</v>
      </c>
      <c r="E2986" s="107"/>
      <c r="F2986" s="5"/>
      <c r="G2986" s="147" t="s">
        <v>295</v>
      </c>
      <c r="H2986" s="148"/>
      <c r="I2986" s="86">
        <f>I2985*F2973</f>
        <v>1128.0462231725492</v>
      </c>
      <c r="J2986" s="87">
        <f>I2982-I2986</f>
        <v>30927.553776827448</v>
      </c>
      <c r="K2986" s="5"/>
      <c r="L2986" s="5"/>
    </row>
    <row r="2987" spans="1:12" x14ac:dyDescent="0.25">
      <c r="A2987" s="5"/>
      <c r="B2987" s="5"/>
      <c r="C2987" s="5"/>
      <c r="D2987" s="108">
        <v>0</v>
      </c>
      <c r="E2987" s="109"/>
      <c r="F2987" s="5" t="s">
        <v>78</v>
      </c>
      <c r="G2987" s="5"/>
      <c r="H2987" s="5"/>
      <c r="I2987" s="5"/>
      <c r="J2987" s="88" t="s">
        <v>293</v>
      </c>
      <c r="K2987" s="44"/>
      <c r="L2987" s="5"/>
    </row>
    <row r="2990" spans="1:12" s="49" customFormat="1" x14ac:dyDescent="0.25"/>
    <row r="2993" spans="1:12" x14ac:dyDescent="0.25">
      <c r="A2993" s="120" t="s">
        <v>24</v>
      </c>
      <c r="B2993" s="120"/>
      <c r="C2993" s="120"/>
      <c r="D2993" s="120"/>
      <c r="E2993" s="120"/>
      <c r="F2993" s="120"/>
      <c r="G2993" s="120"/>
      <c r="H2993" s="120"/>
      <c r="I2993" s="120"/>
      <c r="J2993" s="120"/>
      <c r="K2993" s="120"/>
      <c r="L2993" s="120"/>
    </row>
    <row r="2994" spans="1:12" x14ac:dyDescent="0.25">
      <c r="A2994" s="120"/>
      <c r="B2994" s="120"/>
      <c r="C2994" s="120"/>
      <c r="D2994" s="120"/>
      <c r="E2994" s="120"/>
      <c r="F2994" s="120"/>
      <c r="G2994" s="120"/>
      <c r="H2994" s="120"/>
      <c r="I2994" s="120"/>
      <c r="J2994" s="120"/>
      <c r="K2994" s="120"/>
      <c r="L2994" s="120"/>
    </row>
    <row r="2995" spans="1:12" x14ac:dyDescent="0.25">
      <c r="A2995" s="1" t="s">
        <v>4</v>
      </c>
      <c r="B2995" s="2"/>
      <c r="C2995" s="90"/>
      <c r="D2995" s="2"/>
      <c r="E2995" s="2"/>
      <c r="F2995" s="2"/>
      <c r="G2995" s="3" t="s">
        <v>5</v>
      </c>
      <c r="H2995" s="3" t="s">
        <v>6</v>
      </c>
      <c r="I2995" s="4" t="s">
        <v>7</v>
      </c>
      <c r="J2995" s="5"/>
      <c r="K2995" s="5"/>
      <c r="L2995" s="5"/>
    </row>
    <row r="2996" spans="1:12" x14ac:dyDescent="0.25">
      <c r="A2996" s="91" t="s">
        <v>359</v>
      </c>
      <c r="B2996" s="92" t="s">
        <v>42</v>
      </c>
      <c r="C2996" s="64"/>
      <c r="D2996" s="66"/>
      <c r="E2996" s="2"/>
      <c r="F2996" s="2"/>
      <c r="G2996" s="91" t="s">
        <v>299</v>
      </c>
      <c r="H2996" s="66"/>
      <c r="I2996" s="33"/>
      <c r="J2996" s="6"/>
      <c r="K2996" s="33"/>
      <c r="L2996" s="6"/>
    </row>
    <row r="2997" spans="1:12" x14ac:dyDescent="0.25">
      <c r="A2997" s="7" t="s">
        <v>2</v>
      </c>
      <c r="B2997" s="5"/>
      <c r="C2997" s="5"/>
      <c r="D2997" s="5"/>
      <c r="E2997" s="5"/>
      <c r="F2997" s="5"/>
      <c r="G2997" s="8" t="s">
        <v>8</v>
      </c>
      <c r="H2997" s="93">
        <v>3</v>
      </c>
      <c r="I2997" s="5"/>
      <c r="J2997" s="5"/>
      <c r="K2997" s="5"/>
      <c r="L2997" s="5"/>
    </row>
    <row r="2998" spans="1:12" x14ac:dyDescent="0.25">
      <c r="A2998" s="7" t="s">
        <v>25</v>
      </c>
      <c r="B2998" s="5"/>
      <c r="C2998" s="7" t="s">
        <v>0</v>
      </c>
      <c r="D2998" s="5"/>
      <c r="E2998" s="5"/>
      <c r="F2998" s="5"/>
      <c r="G2998" s="7" t="s">
        <v>25</v>
      </c>
      <c r="H2998" s="5"/>
      <c r="I2998" s="7" t="s">
        <v>0</v>
      </c>
      <c r="J2998" s="5"/>
      <c r="K2998" s="5"/>
      <c r="L2998" s="5"/>
    </row>
    <row r="2999" spans="1:12" x14ac:dyDescent="0.25">
      <c r="A2999" s="42">
        <v>45907</v>
      </c>
      <c r="B2999" s="6"/>
      <c r="C2999" s="31">
        <f>L2957</f>
        <v>1010115</v>
      </c>
      <c r="D2999" s="5"/>
      <c r="E2999" s="5"/>
      <c r="F2999" s="5"/>
      <c r="G2999" s="42"/>
      <c r="H2999" s="6"/>
      <c r="I2999" s="9"/>
      <c r="J2999" s="5"/>
      <c r="K2999" s="5"/>
      <c r="L2999" s="5"/>
    </row>
    <row r="3000" spans="1:12" ht="16.5" thickBot="1" x14ac:dyDescent="0.3">
      <c r="A3000" s="7"/>
      <c r="B3000" s="62"/>
      <c r="C3000" s="62"/>
      <c r="D3000" s="62"/>
      <c r="E3000" s="5"/>
      <c r="F3000" s="5"/>
      <c r="G3000" s="10"/>
      <c r="H3000" s="5"/>
      <c r="I3000" s="5"/>
      <c r="J3000" s="5"/>
      <c r="K3000" s="5"/>
      <c r="L3000" s="5"/>
    </row>
    <row r="3001" spans="1:12" ht="15.75" thickBot="1" x14ac:dyDescent="0.3">
      <c r="A3001" s="121" t="s">
        <v>9</v>
      </c>
      <c r="B3001" s="122"/>
      <c r="C3001" s="123"/>
      <c r="D3001" s="5"/>
      <c r="E3001" s="5"/>
      <c r="F3001" s="5"/>
      <c r="G3001" s="121" t="s">
        <v>26</v>
      </c>
      <c r="H3001" s="122"/>
      <c r="I3001" s="123"/>
      <c r="J3001" s="5"/>
      <c r="K3001" s="5"/>
      <c r="L3001" s="5"/>
    </row>
    <row r="3002" spans="1:12" x14ac:dyDescent="0.25">
      <c r="A3002" s="30" t="s">
        <v>38</v>
      </c>
      <c r="B3002" s="11"/>
      <c r="C3002" s="11"/>
      <c r="D3002" s="11"/>
      <c r="E3002" s="6"/>
      <c r="F3002" s="5"/>
      <c r="G3002" s="30" t="str">
        <f>A3005</f>
        <v>Cape Town</v>
      </c>
      <c r="H3002" s="11"/>
      <c r="I3002" s="11"/>
      <c r="J3002" s="11"/>
      <c r="K3002" s="11"/>
      <c r="L3002" s="6"/>
    </row>
    <row r="3003" spans="1:12" ht="15.75" thickBot="1" x14ac:dyDescent="0.3">
      <c r="A3003" s="7"/>
      <c r="B3003" s="7"/>
      <c r="C3003" s="7"/>
      <c r="D3003" s="5"/>
      <c r="E3003" s="5"/>
      <c r="F3003" s="5"/>
      <c r="G3003" s="7" t="str">
        <f>A3005</f>
        <v>Cape Town</v>
      </c>
      <c r="H3003" s="7"/>
      <c r="I3003" s="7"/>
      <c r="J3003" s="5"/>
      <c r="K3003" s="5"/>
      <c r="L3003" s="5"/>
    </row>
    <row r="3004" spans="1:12" ht="15.75" thickBot="1" x14ac:dyDescent="0.3">
      <c r="A3004" s="121"/>
      <c r="B3004" s="122"/>
      <c r="C3004" s="124"/>
      <c r="D3004" s="12" t="s">
        <v>1</v>
      </c>
      <c r="E3004" s="32"/>
      <c r="F3004" s="5"/>
      <c r="G3004" s="121" t="s">
        <v>27</v>
      </c>
      <c r="H3004" s="122"/>
      <c r="I3004" s="123"/>
      <c r="J3004" s="5"/>
      <c r="K3004" s="12" t="s">
        <v>1</v>
      </c>
      <c r="L3004" s="32">
        <v>1013160</v>
      </c>
    </row>
    <row r="3005" spans="1:12" x14ac:dyDescent="0.25">
      <c r="A3005" s="30" t="s">
        <v>65</v>
      </c>
      <c r="B3005" s="11"/>
      <c r="C3005" s="11"/>
      <c r="D3005" s="11"/>
      <c r="E3005" s="6"/>
      <c r="F3005" s="5"/>
      <c r="G3005" s="30" t="s">
        <v>364</v>
      </c>
      <c r="H3005" s="11"/>
      <c r="I3005" s="11"/>
      <c r="J3005" s="11"/>
      <c r="K3005" s="11"/>
      <c r="L3005" s="6"/>
    </row>
    <row r="3006" spans="1:12" x14ac:dyDescent="0.25">
      <c r="A3006" s="76"/>
      <c r="B3006" s="11"/>
      <c r="C3006" s="11"/>
      <c r="D3006" s="11"/>
      <c r="E3006" s="6"/>
      <c r="F3006" s="5"/>
      <c r="G3006" s="34"/>
      <c r="H3006" s="11"/>
      <c r="I3006" s="11"/>
      <c r="J3006" s="11"/>
      <c r="K3006" s="11"/>
      <c r="L3006" s="6"/>
    </row>
    <row r="3007" spans="1:12" x14ac:dyDescent="0.25">
      <c r="A3007" s="13"/>
      <c r="B3007" s="11"/>
      <c r="C3007" s="11"/>
      <c r="D3007" s="11"/>
      <c r="E3007" s="6"/>
      <c r="F3007" s="5"/>
      <c r="G3007" s="13"/>
      <c r="H3007" s="11"/>
      <c r="I3007" s="11"/>
      <c r="J3007" s="11"/>
      <c r="K3007" s="11"/>
      <c r="L3007" s="6"/>
    </row>
    <row r="3008" spans="1:12" x14ac:dyDescent="0.25">
      <c r="A3008" s="13"/>
      <c r="B3008" s="11"/>
      <c r="C3008" s="11"/>
      <c r="D3008" s="11"/>
      <c r="E3008" s="6"/>
      <c r="F3008" s="5"/>
      <c r="G3008" s="13"/>
      <c r="H3008" s="11"/>
      <c r="I3008" s="11"/>
      <c r="J3008" s="11"/>
      <c r="K3008" s="11"/>
      <c r="L3008" s="6"/>
    </row>
    <row r="3009" spans="1:15" ht="15.75" thickBot="1" x14ac:dyDescent="0.3">
      <c r="A3009" s="13"/>
      <c r="B3009" s="11"/>
      <c r="C3009" s="11" t="s">
        <v>29</v>
      </c>
      <c r="D3009" s="43"/>
      <c r="E3009" s="6"/>
      <c r="F3009" s="5"/>
      <c r="G3009" s="13"/>
      <c r="H3009" s="11"/>
      <c r="I3009" s="14" t="s">
        <v>28</v>
      </c>
      <c r="J3009" s="43"/>
      <c r="K3009" s="59"/>
      <c r="L3009" s="6"/>
    </row>
    <row r="3010" spans="1:15" ht="15.75" thickBot="1" x14ac:dyDescent="0.3">
      <c r="A3010" s="15" t="s">
        <v>10</v>
      </c>
      <c r="B3010" s="5"/>
      <c r="C3010" s="5"/>
      <c r="D3010" s="5"/>
      <c r="E3010" s="5"/>
      <c r="F3010" s="5"/>
      <c r="G3010" s="15" t="s">
        <v>14</v>
      </c>
      <c r="H3010" s="5"/>
      <c r="I3010" s="5"/>
      <c r="J3010" s="5"/>
      <c r="K3010" s="5"/>
      <c r="L3010" s="5"/>
    </row>
    <row r="3011" spans="1:15" ht="15.75" thickBot="1" x14ac:dyDescent="0.3">
      <c r="A3011" s="121" t="s">
        <v>11</v>
      </c>
      <c r="B3011" s="122"/>
      <c r="C3011" s="123"/>
      <c r="D3011" s="16" t="s">
        <v>12</v>
      </c>
      <c r="E3011" s="16" t="s">
        <v>13</v>
      </c>
      <c r="F3011" s="5"/>
      <c r="G3011" s="121" t="s">
        <v>15</v>
      </c>
      <c r="H3011" s="122"/>
      <c r="I3011" s="123"/>
      <c r="J3011" s="121"/>
      <c r="K3011" s="123"/>
      <c r="L3011" s="5"/>
    </row>
    <row r="3012" spans="1:15" x14ac:dyDescent="0.25">
      <c r="A3012" s="94">
        <v>45907</v>
      </c>
      <c r="B3012" s="46" t="s">
        <v>498</v>
      </c>
      <c r="C3012" s="47"/>
      <c r="D3012" s="56">
        <v>200</v>
      </c>
      <c r="E3012" s="57">
        <v>4128</v>
      </c>
      <c r="F3012" s="44">
        <f>E3012/D3012</f>
        <v>20.64</v>
      </c>
      <c r="G3012" s="125" t="s">
        <v>69</v>
      </c>
      <c r="H3012" s="126"/>
      <c r="I3012" s="127"/>
      <c r="J3012" s="128"/>
      <c r="K3012" s="129"/>
      <c r="L3012" s="5"/>
    </row>
    <row r="3013" spans="1:15" x14ac:dyDescent="0.25">
      <c r="A3013" s="94">
        <v>45968</v>
      </c>
      <c r="B3013" s="46" t="s">
        <v>500</v>
      </c>
      <c r="C3013" s="47"/>
      <c r="D3013" s="56">
        <v>513.59900000000005</v>
      </c>
      <c r="E3013" s="57">
        <v>10097.35</v>
      </c>
      <c r="F3013" s="44">
        <f>E3013/D3013</f>
        <v>19.659987655739204</v>
      </c>
      <c r="G3013" s="110" t="s">
        <v>59</v>
      </c>
      <c r="H3013" s="111"/>
      <c r="I3013" s="112"/>
      <c r="J3013" s="113"/>
      <c r="K3013" s="114"/>
      <c r="L3013" s="5"/>
    </row>
    <row r="3014" spans="1:15" x14ac:dyDescent="0.25">
      <c r="A3014" s="94" t="s">
        <v>501</v>
      </c>
      <c r="B3014" s="46" t="s">
        <v>498</v>
      </c>
      <c r="C3014" s="47"/>
      <c r="D3014" s="56">
        <v>200</v>
      </c>
      <c r="E3014" s="57">
        <v>4128</v>
      </c>
      <c r="F3014" s="44">
        <f>E3014/D3014</f>
        <v>20.64</v>
      </c>
      <c r="G3014" s="110" t="s">
        <v>61</v>
      </c>
      <c r="H3014" s="111"/>
      <c r="I3014" s="112"/>
      <c r="J3014" s="113"/>
      <c r="K3014" s="114"/>
      <c r="L3014" s="5"/>
    </row>
    <row r="3015" spans="1:15" x14ac:dyDescent="0.25">
      <c r="A3015" s="94" t="s">
        <v>502</v>
      </c>
      <c r="B3015" s="46" t="s">
        <v>47</v>
      </c>
      <c r="C3015" s="47"/>
      <c r="D3015" s="56">
        <f>489.9+148.8</f>
        <v>638.70000000000005</v>
      </c>
      <c r="E3015" s="57">
        <v>13037.64</v>
      </c>
      <c r="F3015" s="44">
        <f>E3015/D3015</f>
        <v>20.412775951150774</v>
      </c>
      <c r="G3015" s="110" t="s">
        <v>51</v>
      </c>
      <c r="H3015" s="111"/>
      <c r="I3015" s="112"/>
      <c r="J3015" s="113"/>
      <c r="K3015" s="114"/>
      <c r="L3015" s="5"/>
      <c r="O3015">
        <f>10097.35/19.66</f>
        <v>513.59867751780268</v>
      </c>
    </row>
    <row r="3016" spans="1:15" x14ac:dyDescent="0.25">
      <c r="A3016" s="48"/>
      <c r="B3016" s="46"/>
      <c r="C3016" s="39"/>
      <c r="D3016" s="52"/>
      <c r="E3016" s="53"/>
      <c r="F3016" s="44"/>
      <c r="G3016" s="110" t="s">
        <v>58</v>
      </c>
      <c r="H3016" s="111"/>
      <c r="I3016" s="112"/>
      <c r="J3016" s="113"/>
      <c r="K3016" s="114"/>
      <c r="L3016" s="5"/>
    </row>
    <row r="3017" spans="1:15" x14ac:dyDescent="0.25">
      <c r="A3017" s="48"/>
      <c r="B3017" s="35"/>
      <c r="C3017" s="39"/>
      <c r="D3017" s="52"/>
      <c r="E3017" s="53"/>
      <c r="F3017" s="44"/>
      <c r="G3017" s="110" t="s">
        <v>51</v>
      </c>
      <c r="H3017" s="111"/>
      <c r="I3017" s="112"/>
      <c r="J3017" s="113"/>
      <c r="K3017" s="114"/>
      <c r="L3017" s="5"/>
    </row>
    <row r="3018" spans="1:15" x14ac:dyDescent="0.25">
      <c r="A3018" s="48"/>
      <c r="B3018" s="35"/>
      <c r="C3018" s="39"/>
      <c r="D3018" s="52"/>
      <c r="E3018" s="53"/>
      <c r="F3018" s="44"/>
      <c r="G3018" s="77"/>
      <c r="H3018" s="78" t="s">
        <v>69</v>
      </c>
      <c r="I3018" s="79"/>
      <c r="J3018" s="113">
        <v>0</v>
      </c>
      <c r="K3018" s="114"/>
      <c r="L3018" s="5"/>
    </row>
    <row r="3019" spans="1:15" x14ac:dyDescent="0.25">
      <c r="A3019" s="38"/>
      <c r="B3019" s="35"/>
      <c r="C3019" s="39"/>
      <c r="D3019" s="52"/>
      <c r="E3019" s="53"/>
      <c r="F3019" s="44"/>
      <c r="G3019" s="77"/>
      <c r="H3019" s="78" t="s">
        <v>72</v>
      </c>
      <c r="I3019" s="79"/>
      <c r="J3019" s="113"/>
      <c r="K3019" s="114"/>
      <c r="L3019" s="5"/>
    </row>
    <row r="3020" spans="1:15" ht="15.75" thickBot="1" x14ac:dyDescent="0.3">
      <c r="A3020" s="5"/>
      <c r="B3020" s="5"/>
      <c r="C3020" s="7" t="s">
        <v>35</v>
      </c>
      <c r="D3020" s="17">
        <f>SUM(D3012:D3019)</f>
        <v>1552.299</v>
      </c>
      <c r="E3020" s="17">
        <f>SUM(E3012:E3019)</f>
        <v>31390.989999999998</v>
      </c>
      <c r="F3020" s="89">
        <f>AVERAGE(F3012:F3016)</f>
        <v>20.338190901722495</v>
      </c>
      <c r="G3020" s="110" t="s">
        <v>73</v>
      </c>
      <c r="H3020" s="111"/>
      <c r="I3020" s="112"/>
      <c r="J3020" s="113"/>
      <c r="K3020" s="114"/>
      <c r="L3020" s="7" t="s">
        <v>36</v>
      </c>
    </row>
    <row r="3021" spans="1:15" ht="15.75" thickBot="1" x14ac:dyDescent="0.3">
      <c r="A3021" s="5"/>
      <c r="B3021" s="5"/>
      <c r="C3021" s="5"/>
      <c r="D3021" s="5"/>
      <c r="E3021" s="5"/>
      <c r="F3021" s="5"/>
      <c r="G3021" s="130"/>
      <c r="H3021" s="131"/>
      <c r="I3021" s="132"/>
      <c r="J3021" s="133"/>
      <c r="K3021" s="134"/>
      <c r="L3021" s="18">
        <f>J3012+J3013+J3014+J3015+J3016+J3017+J3018+J3019+J3020</f>
        <v>0</v>
      </c>
    </row>
    <row r="3022" spans="1:15" ht="15.75" thickBot="1" x14ac:dyDescent="0.3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</row>
    <row r="3023" spans="1:15" ht="15.75" thickBot="1" x14ac:dyDescent="0.3">
      <c r="A3023" s="19"/>
      <c r="B3023" s="20"/>
      <c r="C3023" s="20"/>
      <c r="D3023" s="20"/>
      <c r="E3023" s="21" t="s">
        <v>13</v>
      </c>
      <c r="F3023" s="5"/>
      <c r="G3023" s="19"/>
      <c r="H3023" s="20"/>
      <c r="I3023" s="20"/>
      <c r="J3023" s="20"/>
      <c r="K3023" s="21" t="s">
        <v>13</v>
      </c>
      <c r="L3023" s="5"/>
    </row>
    <row r="3024" spans="1:15" x14ac:dyDescent="0.25">
      <c r="A3024" s="22" t="s">
        <v>31</v>
      </c>
      <c r="B3024" s="115">
        <v>19091</v>
      </c>
      <c r="C3024" s="116"/>
      <c r="D3024" s="116"/>
      <c r="E3024" s="117"/>
      <c r="F3024" s="5"/>
      <c r="G3024" s="22" t="s">
        <v>32</v>
      </c>
      <c r="H3024" s="115">
        <v>41700</v>
      </c>
      <c r="I3024" s="116"/>
      <c r="J3024" s="116"/>
      <c r="K3024" s="117"/>
      <c r="L3024" s="5"/>
    </row>
    <row r="3025" spans="1:12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</row>
    <row r="3026" spans="1:12" x14ac:dyDescent="0.25">
      <c r="A3026" s="7" t="s">
        <v>16</v>
      </c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</row>
    <row r="3027" spans="1:12" x14ac:dyDescent="0.25">
      <c r="A3027" s="9" t="s">
        <v>17</v>
      </c>
      <c r="B3027" s="23">
        <f>L3004-C2999</f>
        <v>3045</v>
      </c>
      <c r="C3027" s="5"/>
      <c r="D3027" s="106" t="s">
        <v>18</v>
      </c>
      <c r="E3027" s="107"/>
      <c r="F3027" s="24" t="s">
        <v>19</v>
      </c>
      <c r="G3027" s="9" t="s">
        <v>20</v>
      </c>
      <c r="H3027" s="118">
        <f>B3024+H3024</f>
        <v>60791</v>
      </c>
      <c r="I3027" s="119"/>
      <c r="J3027" s="60"/>
      <c r="K3027" s="5"/>
      <c r="L3027" s="5"/>
    </row>
    <row r="3028" spans="1:12" x14ac:dyDescent="0.25">
      <c r="A3028" s="9" t="s">
        <v>41</v>
      </c>
      <c r="B3028" s="40">
        <f>B3027/D3020</f>
        <v>1.9616066234662266</v>
      </c>
      <c r="C3028" s="5"/>
      <c r="D3028" s="102">
        <f>E3020</f>
        <v>31390.989999999998</v>
      </c>
      <c r="E3028" s="103"/>
      <c r="F3028" s="25">
        <f>H3028/B3027</f>
        <v>11.270275862068965</v>
      </c>
      <c r="G3028" s="9" t="s">
        <v>21</v>
      </c>
      <c r="H3028" s="104">
        <f>L3021+D3028+D3030+D3032+D3034+A3031</f>
        <v>34317.99</v>
      </c>
      <c r="I3028" s="105"/>
      <c r="J3028" s="5"/>
      <c r="K3028" s="5"/>
      <c r="L3028" s="5"/>
    </row>
    <row r="3029" spans="1:12" x14ac:dyDescent="0.25">
      <c r="A3029" s="9" t="s">
        <v>43</v>
      </c>
      <c r="B3029" s="23">
        <f>D3020/B3027*100</f>
        <v>50.978620689655173</v>
      </c>
      <c r="C3029" s="5"/>
      <c r="D3029" s="106" t="s">
        <v>33</v>
      </c>
      <c r="E3029" s="107"/>
      <c r="F3029" s="5"/>
      <c r="G3029" s="13" t="s">
        <v>22</v>
      </c>
      <c r="H3029" s="6"/>
      <c r="I3029" s="26">
        <f>H3027-H3028</f>
        <v>26473.010000000002</v>
      </c>
      <c r="J3029" s="5"/>
      <c r="K3029" s="5"/>
      <c r="L3029" s="5"/>
    </row>
    <row r="3030" spans="1:12" x14ac:dyDescent="0.25">
      <c r="A3030" s="106" t="s">
        <v>40</v>
      </c>
      <c r="B3030" s="107"/>
      <c r="C3030" s="5"/>
      <c r="D3030" s="149">
        <v>1100</v>
      </c>
      <c r="E3030" s="150"/>
      <c r="F3030" s="5"/>
      <c r="G3030" s="5"/>
      <c r="H3030" s="5"/>
      <c r="I3030" s="5"/>
      <c r="J3030" s="5"/>
      <c r="K3030" s="5"/>
      <c r="L3030" s="5"/>
    </row>
    <row r="3031" spans="1:12" x14ac:dyDescent="0.25">
      <c r="A3031" s="108">
        <f>B3027*0.6</f>
        <v>1827</v>
      </c>
      <c r="B3031" s="109"/>
      <c r="C3031" s="5"/>
      <c r="D3031" s="106" t="s">
        <v>34</v>
      </c>
      <c r="E3031" s="107"/>
      <c r="F3031" s="5"/>
      <c r="G3031" s="145" t="s">
        <v>292</v>
      </c>
      <c r="H3031" s="146"/>
      <c r="I3031" s="23">
        <f>B3027/2.3</f>
        <v>1323.913043478261</v>
      </c>
      <c r="J3031" s="60"/>
      <c r="K3031" s="5"/>
      <c r="L3031" s="5"/>
    </row>
    <row r="3032" spans="1:12" x14ac:dyDescent="0.25">
      <c r="A3032" s="5"/>
      <c r="B3032" s="5"/>
      <c r="C3032" s="5"/>
      <c r="D3032" s="108">
        <v>0</v>
      </c>
      <c r="E3032" s="109"/>
      <c r="F3032" s="5"/>
      <c r="G3032" s="145" t="s">
        <v>294</v>
      </c>
      <c r="H3032" s="146"/>
      <c r="I3032" s="23">
        <f>I3031-D3020</f>
        <v>-228.38595652173899</v>
      </c>
      <c r="J3032" s="5"/>
      <c r="K3032" s="5"/>
      <c r="L3032" s="5"/>
    </row>
    <row r="3033" spans="1:12" x14ac:dyDescent="0.25">
      <c r="A3033" s="5"/>
      <c r="B3033" s="5"/>
      <c r="C3033" s="5"/>
      <c r="D3033" s="106" t="s">
        <v>37</v>
      </c>
      <c r="E3033" s="107"/>
      <c r="F3033" s="5"/>
      <c r="G3033" s="147" t="s">
        <v>295</v>
      </c>
      <c r="H3033" s="148"/>
      <c r="I3033" s="86">
        <f>I3032*F3020</f>
        <v>-4644.9571830116211</v>
      </c>
      <c r="J3033" s="87">
        <f>I3029-I3033</f>
        <v>31117.967183011624</v>
      </c>
      <c r="K3033" s="5"/>
      <c r="L3033" s="5"/>
    </row>
    <row r="3034" spans="1:12" x14ac:dyDescent="0.25">
      <c r="A3034" s="5"/>
      <c r="B3034" s="5"/>
      <c r="C3034" s="5"/>
      <c r="D3034" s="108">
        <v>0</v>
      </c>
      <c r="E3034" s="109"/>
      <c r="F3034" s="5" t="s">
        <v>78</v>
      </c>
      <c r="G3034" s="5"/>
      <c r="H3034" s="5"/>
      <c r="I3034" s="5"/>
      <c r="J3034" s="88" t="s">
        <v>293</v>
      </c>
      <c r="K3034" s="44"/>
      <c r="L3034" s="5"/>
    </row>
    <row r="3036" spans="1:12" s="49" customFormat="1" x14ac:dyDescent="0.25"/>
    <row r="3039" spans="1:12" x14ac:dyDescent="0.25">
      <c r="A3039" s="120" t="s">
        <v>24</v>
      </c>
      <c r="B3039" s="120"/>
      <c r="C3039" s="120"/>
      <c r="D3039" s="120"/>
      <c r="E3039" s="120"/>
      <c r="F3039" s="120"/>
      <c r="G3039" s="120"/>
      <c r="H3039" s="120"/>
      <c r="I3039" s="120"/>
      <c r="J3039" s="120"/>
      <c r="K3039" s="120"/>
      <c r="L3039" s="120"/>
    </row>
    <row r="3040" spans="1:12" x14ac:dyDescent="0.25">
      <c r="A3040" s="120"/>
      <c r="B3040" s="120"/>
      <c r="C3040" s="120"/>
      <c r="D3040" s="120"/>
      <c r="E3040" s="120"/>
      <c r="F3040" s="120"/>
      <c r="G3040" s="120"/>
      <c r="H3040" s="120"/>
      <c r="I3040" s="120"/>
      <c r="J3040" s="120"/>
      <c r="K3040" s="120"/>
      <c r="L3040" s="120"/>
    </row>
    <row r="3041" spans="1:12" x14ac:dyDescent="0.25">
      <c r="A3041" s="1" t="s">
        <v>4</v>
      </c>
      <c r="B3041" s="2"/>
      <c r="C3041" s="90"/>
      <c r="D3041" s="2"/>
      <c r="E3041" s="2"/>
      <c r="F3041" s="2"/>
      <c r="G3041" s="3" t="s">
        <v>5</v>
      </c>
      <c r="H3041" s="3" t="s">
        <v>6</v>
      </c>
      <c r="I3041" s="4" t="s">
        <v>7</v>
      </c>
      <c r="J3041" s="5"/>
      <c r="K3041" s="5"/>
      <c r="L3041" s="5"/>
    </row>
    <row r="3042" spans="1:12" x14ac:dyDescent="0.25">
      <c r="A3042" s="91" t="s">
        <v>359</v>
      </c>
      <c r="B3042" s="92" t="s">
        <v>42</v>
      </c>
      <c r="C3042" s="64"/>
      <c r="D3042" s="66"/>
      <c r="E3042" s="2"/>
      <c r="F3042" s="2"/>
      <c r="G3042" s="91" t="s">
        <v>299</v>
      </c>
      <c r="H3042" s="66"/>
      <c r="I3042" s="33"/>
      <c r="J3042" s="6"/>
      <c r="K3042" s="33"/>
      <c r="L3042" s="6"/>
    </row>
    <row r="3043" spans="1:12" x14ac:dyDescent="0.25">
      <c r="A3043" s="7" t="s">
        <v>2</v>
      </c>
      <c r="B3043" s="5"/>
      <c r="C3043" s="5"/>
      <c r="D3043" s="5"/>
      <c r="E3043" s="5"/>
      <c r="F3043" s="5"/>
      <c r="G3043" s="8" t="s">
        <v>8</v>
      </c>
      <c r="H3043" s="93">
        <v>3</v>
      </c>
      <c r="I3043" s="5"/>
      <c r="J3043" s="5"/>
      <c r="K3043" s="5"/>
      <c r="L3043" s="5"/>
    </row>
    <row r="3044" spans="1:12" x14ac:dyDescent="0.25">
      <c r="A3044" s="7" t="s">
        <v>25</v>
      </c>
      <c r="B3044" s="5"/>
      <c r="C3044" s="7" t="s">
        <v>0</v>
      </c>
      <c r="D3044" s="5"/>
      <c r="E3044" s="5"/>
      <c r="F3044" s="5"/>
      <c r="G3044" s="7" t="s">
        <v>25</v>
      </c>
      <c r="H3044" s="5"/>
      <c r="I3044" s="7" t="s">
        <v>0</v>
      </c>
      <c r="J3044" s="5"/>
      <c r="K3044" s="5"/>
      <c r="L3044" s="5"/>
    </row>
    <row r="3045" spans="1:12" x14ac:dyDescent="0.25">
      <c r="A3045" s="42" t="s">
        <v>502</v>
      </c>
      <c r="B3045" s="6"/>
      <c r="C3045" s="31">
        <f>L3004</f>
        <v>1013160</v>
      </c>
      <c r="D3045" s="5"/>
      <c r="E3045" s="5"/>
      <c r="F3045" s="5"/>
      <c r="G3045" s="42"/>
      <c r="H3045" s="6"/>
      <c r="I3045" s="9"/>
      <c r="J3045" s="5"/>
      <c r="K3045" s="5"/>
      <c r="L3045" s="5"/>
    </row>
    <row r="3046" spans="1:12" ht="16.5" thickBot="1" x14ac:dyDescent="0.3">
      <c r="A3046" s="7"/>
      <c r="B3046" s="62"/>
      <c r="C3046" s="62"/>
      <c r="D3046" s="62"/>
      <c r="E3046" s="5"/>
      <c r="F3046" s="5"/>
      <c r="G3046" s="10"/>
      <c r="H3046" s="5"/>
      <c r="I3046" s="5"/>
      <c r="J3046" s="5"/>
      <c r="K3046" s="5"/>
      <c r="L3046" s="5"/>
    </row>
    <row r="3047" spans="1:12" ht="15.75" thickBot="1" x14ac:dyDescent="0.3">
      <c r="A3047" s="121" t="s">
        <v>9</v>
      </c>
      <c r="B3047" s="122"/>
      <c r="C3047" s="123"/>
      <c r="D3047" s="5"/>
      <c r="E3047" s="5"/>
      <c r="F3047" s="5"/>
      <c r="G3047" s="121" t="s">
        <v>26</v>
      </c>
      <c r="H3047" s="122"/>
      <c r="I3047" s="123"/>
      <c r="J3047" s="5"/>
      <c r="K3047" s="5"/>
      <c r="L3047" s="5"/>
    </row>
    <row r="3048" spans="1:12" x14ac:dyDescent="0.25">
      <c r="A3048" s="30" t="s">
        <v>38</v>
      </c>
      <c r="B3048" s="11"/>
      <c r="C3048" s="11"/>
      <c r="D3048" s="11"/>
      <c r="E3048" s="6"/>
      <c r="F3048" s="5"/>
      <c r="G3048" s="30" t="str">
        <f>A3051</f>
        <v>Cape Town</v>
      </c>
      <c r="H3048" s="11"/>
      <c r="I3048" s="11"/>
      <c r="J3048" s="11"/>
      <c r="K3048" s="11"/>
      <c r="L3048" s="6"/>
    </row>
    <row r="3049" spans="1:12" ht="15.75" thickBot="1" x14ac:dyDescent="0.3">
      <c r="A3049" s="7"/>
      <c r="B3049" s="7"/>
      <c r="C3049" s="7"/>
      <c r="D3049" s="5"/>
      <c r="E3049" s="5"/>
      <c r="F3049" s="5"/>
      <c r="G3049" s="7" t="str">
        <f>A3051</f>
        <v>Cape Town</v>
      </c>
      <c r="H3049" s="7"/>
      <c r="I3049" s="7"/>
      <c r="J3049" s="5"/>
      <c r="K3049" s="5"/>
      <c r="L3049" s="5"/>
    </row>
    <row r="3050" spans="1:12" ht="15.75" thickBot="1" x14ac:dyDescent="0.3">
      <c r="A3050" s="121"/>
      <c r="B3050" s="122"/>
      <c r="C3050" s="124"/>
      <c r="D3050" s="12" t="s">
        <v>1</v>
      </c>
      <c r="E3050" s="32"/>
      <c r="F3050" s="5"/>
      <c r="G3050" s="121" t="s">
        <v>27</v>
      </c>
      <c r="H3050" s="122"/>
      <c r="I3050" s="123"/>
      <c r="J3050" s="5"/>
      <c r="K3050" s="12" t="s">
        <v>1</v>
      </c>
      <c r="L3050" s="32">
        <v>1016214</v>
      </c>
    </row>
    <row r="3051" spans="1:12" x14ac:dyDescent="0.25">
      <c r="A3051" s="30" t="s">
        <v>65</v>
      </c>
      <c r="B3051" s="11"/>
      <c r="C3051" s="11"/>
      <c r="D3051" s="11"/>
      <c r="E3051" s="6"/>
      <c r="F3051" s="5"/>
      <c r="G3051" s="30" t="s">
        <v>364</v>
      </c>
      <c r="H3051" s="11"/>
      <c r="I3051" s="11"/>
      <c r="J3051" s="11"/>
      <c r="K3051" s="11"/>
      <c r="L3051" s="6"/>
    </row>
    <row r="3052" spans="1:12" x14ac:dyDescent="0.25">
      <c r="A3052" s="76"/>
      <c r="B3052" s="11"/>
      <c r="C3052" s="11"/>
      <c r="D3052" s="11"/>
      <c r="E3052" s="6"/>
      <c r="F3052" s="5"/>
      <c r="G3052" s="34"/>
      <c r="H3052" s="11"/>
      <c r="I3052" s="11"/>
      <c r="J3052" s="11"/>
      <c r="K3052" s="11"/>
      <c r="L3052" s="6"/>
    </row>
    <row r="3053" spans="1:12" x14ac:dyDescent="0.25">
      <c r="A3053" s="13"/>
      <c r="B3053" s="11"/>
      <c r="C3053" s="11"/>
      <c r="D3053" s="11"/>
      <c r="E3053" s="6"/>
      <c r="F3053" s="5"/>
      <c r="G3053" s="13"/>
      <c r="H3053" s="11"/>
      <c r="I3053" s="11"/>
      <c r="J3053" s="11"/>
      <c r="K3053" s="11"/>
      <c r="L3053" s="6"/>
    </row>
    <row r="3054" spans="1:12" x14ac:dyDescent="0.25">
      <c r="A3054" s="13"/>
      <c r="B3054" s="11"/>
      <c r="C3054" s="11"/>
      <c r="D3054" s="11"/>
      <c r="E3054" s="6"/>
      <c r="F3054" s="5"/>
      <c r="G3054" s="13"/>
      <c r="H3054" s="11"/>
      <c r="I3054" s="11"/>
      <c r="J3054" s="11"/>
      <c r="K3054" s="11"/>
      <c r="L3054" s="6"/>
    </row>
    <row r="3055" spans="1:12" ht="15.75" thickBot="1" x14ac:dyDescent="0.3">
      <c r="A3055" s="13"/>
      <c r="B3055" s="11"/>
      <c r="C3055" s="11" t="s">
        <v>29</v>
      </c>
      <c r="D3055" s="43"/>
      <c r="E3055" s="6"/>
      <c r="F3055" s="5"/>
      <c r="G3055" s="13"/>
      <c r="H3055" s="11"/>
      <c r="I3055" s="14" t="s">
        <v>28</v>
      </c>
      <c r="J3055" s="43"/>
      <c r="K3055" s="59"/>
      <c r="L3055" s="6"/>
    </row>
    <row r="3056" spans="1:12" ht="15.75" thickBot="1" x14ac:dyDescent="0.3">
      <c r="A3056" s="15" t="s">
        <v>10</v>
      </c>
      <c r="B3056" s="5"/>
      <c r="C3056" s="5"/>
      <c r="D3056" s="5"/>
      <c r="E3056" s="5"/>
      <c r="F3056" s="5"/>
      <c r="G3056" s="15" t="s">
        <v>14</v>
      </c>
      <c r="H3056" s="5"/>
      <c r="I3056" s="5"/>
      <c r="J3056" s="5"/>
      <c r="K3056" s="5"/>
      <c r="L3056" s="5"/>
    </row>
    <row r="3057" spans="1:12" ht="15.75" thickBot="1" x14ac:dyDescent="0.3">
      <c r="A3057" s="121" t="s">
        <v>11</v>
      </c>
      <c r="B3057" s="122"/>
      <c r="C3057" s="123"/>
      <c r="D3057" s="16" t="s">
        <v>12</v>
      </c>
      <c r="E3057" s="16" t="s">
        <v>13</v>
      </c>
      <c r="F3057" s="5"/>
      <c r="G3057" s="121" t="s">
        <v>15</v>
      </c>
      <c r="H3057" s="122"/>
      <c r="I3057" s="123"/>
      <c r="J3057" s="121"/>
      <c r="K3057" s="123"/>
      <c r="L3057" s="5"/>
    </row>
    <row r="3058" spans="1:12" x14ac:dyDescent="0.25">
      <c r="A3058" s="94" t="s">
        <v>503</v>
      </c>
      <c r="B3058" s="46" t="s">
        <v>498</v>
      </c>
      <c r="C3058" s="47"/>
      <c r="D3058" s="56">
        <v>502.60899999999998</v>
      </c>
      <c r="E3058" s="57">
        <v>9881.2999999999993</v>
      </c>
      <c r="F3058" s="44">
        <f>E3058/D3058</f>
        <v>19.660014046704298</v>
      </c>
      <c r="G3058" s="125" t="s">
        <v>69</v>
      </c>
      <c r="H3058" s="126"/>
      <c r="I3058" s="127"/>
      <c r="J3058" s="128"/>
      <c r="K3058" s="129"/>
      <c r="L3058" s="5"/>
    </row>
    <row r="3059" spans="1:12" x14ac:dyDescent="0.25">
      <c r="A3059" s="94" t="s">
        <v>504</v>
      </c>
      <c r="B3059" s="46" t="s">
        <v>498</v>
      </c>
      <c r="C3059" s="47"/>
      <c r="D3059" s="56">
        <v>200</v>
      </c>
      <c r="E3059" s="57">
        <v>4128</v>
      </c>
      <c r="F3059" s="44">
        <f>E3059/D3059</f>
        <v>20.64</v>
      </c>
      <c r="G3059" s="110" t="s">
        <v>59</v>
      </c>
      <c r="H3059" s="111"/>
      <c r="I3059" s="112"/>
      <c r="J3059" s="113"/>
      <c r="K3059" s="114"/>
      <c r="L3059" s="5"/>
    </row>
    <row r="3060" spans="1:12" x14ac:dyDescent="0.25">
      <c r="A3060" s="94" t="s">
        <v>505</v>
      </c>
      <c r="B3060" s="46" t="s">
        <v>47</v>
      </c>
      <c r="C3060" s="47"/>
      <c r="D3060" s="56">
        <f>489.9+140.2</f>
        <v>630.09999999999991</v>
      </c>
      <c r="E3060" s="57">
        <v>12861.71</v>
      </c>
      <c r="F3060" s="44">
        <f>E3060/D3060</f>
        <v>20.412172671004605</v>
      </c>
      <c r="G3060" s="110" t="s">
        <v>61</v>
      </c>
      <c r="H3060" s="111"/>
      <c r="I3060" s="112"/>
      <c r="J3060" s="113"/>
      <c r="K3060" s="114"/>
      <c r="L3060" s="5"/>
    </row>
    <row r="3061" spans="1:12" x14ac:dyDescent="0.25">
      <c r="A3061" s="94"/>
      <c r="B3061" s="46"/>
      <c r="C3061" s="47"/>
      <c r="D3061" s="56"/>
      <c r="E3061" s="57"/>
      <c r="F3061" s="44"/>
      <c r="G3061" s="110" t="s">
        <v>51</v>
      </c>
      <c r="H3061" s="111"/>
      <c r="I3061" s="112"/>
      <c r="J3061" s="113"/>
      <c r="K3061" s="114"/>
      <c r="L3061" s="5"/>
    </row>
    <row r="3062" spans="1:12" x14ac:dyDescent="0.25">
      <c r="A3062" s="48"/>
      <c r="B3062" s="46"/>
      <c r="C3062" s="39"/>
      <c r="D3062" s="52"/>
      <c r="E3062" s="53"/>
      <c r="F3062" s="44"/>
      <c r="G3062" s="110" t="s">
        <v>58</v>
      </c>
      <c r="H3062" s="111"/>
      <c r="I3062" s="112"/>
      <c r="J3062" s="113"/>
      <c r="K3062" s="114"/>
      <c r="L3062" s="5"/>
    </row>
    <row r="3063" spans="1:12" x14ac:dyDescent="0.25">
      <c r="A3063" s="48"/>
      <c r="B3063" s="35"/>
      <c r="C3063" s="39"/>
      <c r="D3063" s="52"/>
      <c r="E3063" s="53"/>
      <c r="F3063" s="44"/>
      <c r="G3063" s="110" t="s">
        <v>51</v>
      </c>
      <c r="H3063" s="111"/>
      <c r="I3063" s="112"/>
      <c r="J3063" s="113"/>
      <c r="K3063" s="114"/>
      <c r="L3063" s="5"/>
    </row>
    <row r="3064" spans="1:12" x14ac:dyDescent="0.25">
      <c r="A3064" s="48"/>
      <c r="B3064" s="35"/>
      <c r="C3064" s="39"/>
      <c r="D3064" s="52"/>
      <c r="E3064" s="53"/>
      <c r="F3064" s="44"/>
      <c r="G3064" s="77"/>
      <c r="H3064" s="78" t="s">
        <v>69</v>
      </c>
      <c r="I3064" s="79"/>
      <c r="J3064" s="113">
        <v>0</v>
      </c>
      <c r="K3064" s="114"/>
      <c r="L3064" s="5"/>
    </row>
    <row r="3065" spans="1:12" x14ac:dyDescent="0.25">
      <c r="A3065" s="38"/>
      <c r="B3065" s="35"/>
      <c r="C3065" s="39"/>
      <c r="D3065" s="52"/>
      <c r="E3065" s="53"/>
      <c r="F3065" s="44"/>
      <c r="G3065" s="77"/>
      <c r="H3065" s="78" t="s">
        <v>72</v>
      </c>
      <c r="I3065" s="79"/>
      <c r="J3065" s="113"/>
      <c r="K3065" s="114"/>
      <c r="L3065" s="5"/>
    </row>
    <row r="3066" spans="1:12" ht="15.75" thickBot="1" x14ac:dyDescent="0.3">
      <c r="A3066" s="5"/>
      <c r="B3066" s="5"/>
      <c r="C3066" s="7" t="s">
        <v>35</v>
      </c>
      <c r="D3066" s="17">
        <f>SUM(D3058:D3065)</f>
        <v>1332.7089999999998</v>
      </c>
      <c r="E3066" s="17">
        <f>SUM(E3058:E3065)</f>
        <v>26871.01</v>
      </c>
      <c r="F3066" s="89">
        <f>AVERAGE(F3058:F3062)</f>
        <v>20.237395572569636</v>
      </c>
      <c r="G3066" s="110" t="s">
        <v>73</v>
      </c>
      <c r="H3066" s="111"/>
      <c r="I3066" s="112"/>
      <c r="J3066" s="113"/>
      <c r="K3066" s="114"/>
      <c r="L3066" s="7" t="s">
        <v>36</v>
      </c>
    </row>
    <row r="3067" spans="1:12" ht="15.75" thickBot="1" x14ac:dyDescent="0.3">
      <c r="A3067" s="5"/>
      <c r="B3067" s="5"/>
      <c r="C3067" s="5"/>
      <c r="D3067" s="5"/>
      <c r="E3067" s="5"/>
      <c r="F3067" s="5"/>
      <c r="G3067" s="130"/>
      <c r="H3067" s="131"/>
      <c r="I3067" s="132"/>
      <c r="J3067" s="133"/>
      <c r="K3067" s="134"/>
      <c r="L3067" s="18">
        <f>J3058+J3059+J3060+J3061+J3062+J3063+J3064+J3065+J3066</f>
        <v>0</v>
      </c>
    </row>
    <row r="3068" spans="1:12" ht="15.75" thickBot="1" x14ac:dyDescent="0.3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</row>
    <row r="3069" spans="1:12" ht="15.75" thickBot="1" x14ac:dyDescent="0.3">
      <c r="A3069" s="19"/>
      <c r="B3069" s="20"/>
      <c r="C3069" s="20"/>
      <c r="D3069" s="20"/>
      <c r="E3069" s="21" t="s">
        <v>13</v>
      </c>
      <c r="F3069" s="5"/>
      <c r="G3069" s="19"/>
      <c r="H3069" s="20"/>
      <c r="I3069" s="20"/>
      <c r="J3069" s="20"/>
      <c r="K3069" s="21" t="s">
        <v>13</v>
      </c>
      <c r="L3069" s="5"/>
    </row>
    <row r="3070" spans="1:12" x14ac:dyDescent="0.25">
      <c r="A3070" s="22" t="s">
        <v>31</v>
      </c>
      <c r="B3070" s="115">
        <v>19091</v>
      </c>
      <c r="C3070" s="116"/>
      <c r="D3070" s="116"/>
      <c r="E3070" s="117"/>
      <c r="F3070" s="5"/>
      <c r="G3070" s="22" t="s">
        <v>32</v>
      </c>
      <c r="H3070" s="115">
        <v>41700</v>
      </c>
      <c r="I3070" s="116"/>
      <c r="J3070" s="116"/>
      <c r="K3070" s="117"/>
      <c r="L3070" s="5"/>
    </row>
    <row r="3071" spans="1:12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</row>
    <row r="3072" spans="1:12" x14ac:dyDescent="0.25">
      <c r="A3072" s="7" t="s">
        <v>16</v>
      </c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</row>
    <row r="3073" spans="1:12" x14ac:dyDescent="0.25">
      <c r="A3073" s="9" t="s">
        <v>17</v>
      </c>
      <c r="B3073" s="23">
        <f>L3050-C3045</f>
        <v>3054</v>
      </c>
      <c r="C3073" s="5"/>
      <c r="D3073" s="106" t="s">
        <v>18</v>
      </c>
      <c r="E3073" s="107"/>
      <c r="F3073" s="24" t="s">
        <v>19</v>
      </c>
      <c r="G3073" s="9" t="s">
        <v>20</v>
      </c>
      <c r="H3073" s="118">
        <f>B3070+H3070</f>
        <v>60791</v>
      </c>
      <c r="I3073" s="119"/>
      <c r="J3073" s="60"/>
      <c r="K3073" s="5"/>
      <c r="L3073" s="5"/>
    </row>
    <row r="3074" spans="1:12" x14ac:dyDescent="0.25">
      <c r="A3074" s="9" t="s">
        <v>41</v>
      </c>
      <c r="B3074" s="40">
        <f>B3073/D3066</f>
        <v>2.2915730290708627</v>
      </c>
      <c r="C3074" s="5"/>
      <c r="D3074" s="102">
        <f>E3066</f>
        <v>26871.01</v>
      </c>
      <c r="E3074" s="103"/>
      <c r="F3074" s="25">
        <f>H3074/B3073</f>
        <v>9.7588113948919446</v>
      </c>
      <c r="G3074" s="9" t="s">
        <v>21</v>
      </c>
      <c r="H3074" s="104">
        <f>L3067+D3074+D3076+D3078+D3080+A3077</f>
        <v>29803.41</v>
      </c>
      <c r="I3074" s="105"/>
      <c r="J3074" s="5"/>
      <c r="K3074" s="5"/>
      <c r="L3074" s="5"/>
    </row>
    <row r="3075" spans="1:12" x14ac:dyDescent="0.25">
      <c r="A3075" s="9" t="s">
        <v>43</v>
      </c>
      <c r="B3075" s="23">
        <f>D3066/B3073*100</f>
        <v>43.638146692861817</v>
      </c>
      <c r="C3075" s="5"/>
      <c r="D3075" s="106" t="s">
        <v>33</v>
      </c>
      <c r="E3075" s="107"/>
      <c r="F3075" s="5"/>
      <c r="G3075" s="13" t="s">
        <v>22</v>
      </c>
      <c r="H3075" s="6"/>
      <c r="I3075" s="26">
        <f>H3073-H3074</f>
        <v>30987.59</v>
      </c>
      <c r="J3075" s="5"/>
      <c r="K3075" s="5"/>
      <c r="L3075" s="5"/>
    </row>
    <row r="3076" spans="1:12" x14ac:dyDescent="0.25">
      <c r="A3076" s="106" t="s">
        <v>40</v>
      </c>
      <c r="B3076" s="107"/>
      <c r="C3076" s="5"/>
      <c r="D3076" s="149">
        <v>1100</v>
      </c>
      <c r="E3076" s="150"/>
      <c r="F3076" s="5"/>
      <c r="G3076" s="5"/>
      <c r="H3076" s="5"/>
      <c r="I3076" s="5"/>
      <c r="J3076" s="5"/>
      <c r="K3076" s="5"/>
      <c r="L3076" s="5"/>
    </row>
    <row r="3077" spans="1:12" x14ac:dyDescent="0.25">
      <c r="A3077" s="108">
        <f>B3073*0.6</f>
        <v>1832.3999999999999</v>
      </c>
      <c r="B3077" s="109"/>
      <c r="C3077" s="5">
        <v>2000</v>
      </c>
      <c r="D3077" s="106" t="s">
        <v>34</v>
      </c>
      <c r="E3077" s="107"/>
      <c r="F3077" s="5"/>
      <c r="G3077" s="145" t="s">
        <v>292</v>
      </c>
      <c r="H3077" s="146"/>
      <c r="I3077" s="23">
        <f>B3073/2.3</f>
        <v>1327.8260869565217</v>
      </c>
      <c r="J3077" s="60"/>
      <c r="K3077" s="5"/>
      <c r="L3077" s="5"/>
    </row>
    <row r="3078" spans="1:12" x14ac:dyDescent="0.25">
      <c r="A3078" s="5"/>
      <c r="B3078" s="5"/>
      <c r="C3078" s="60">
        <f>C3077-A3077</f>
        <v>167.60000000000014</v>
      </c>
      <c r="D3078" s="108">
        <v>0</v>
      </c>
      <c r="E3078" s="109"/>
      <c r="F3078" s="5"/>
      <c r="G3078" s="145" t="s">
        <v>294</v>
      </c>
      <c r="H3078" s="146"/>
      <c r="I3078" s="23">
        <f>I3077-D3066</f>
        <v>-4.8829130434780836</v>
      </c>
      <c r="J3078" s="5"/>
      <c r="K3078" s="5"/>
      <c r="L3078" s="5"/>
    </row>
    <row r="3079" spans="1:12" x14ac:dyDescent="0.25">
      <c r="A3079" s="5"/>
      <c r="B3079" s="5"/>
      <c r="C3079" s="5"/>
      <c r="D3079" s="106" t="s">
        <v>37</v>
      </c>
      <c r="E3079" s="107"/>
      <c r="F3079" s="5"/>
      <c r="G3079" s="147" t="s">
        <v>295</v>
      </c>
      <c r="H3079" s="148"/>
      <c r="I3079" s="86">
        <f>I3078*F3066</f>
        <v>-98.817442807325889</v>
      </c>
      <c r="J3079" s="87">
        <f>I3075-I3079</f>
        <v>31086.407442807325</v>
      </c>
      <c r="K3079" s="5"/>
      <c r="L3079" s="5"/>
    </row>
    <row r="3080" spans="1:12" x14ac:dyDescent="0.25">
      <c r="A3080" s="5"/>
      <c r="B3080" s="5"/>
      <c r="C3080" s="5"/>
      <c r="D3080" s="108">
        <v>0</v>
      </c>
      <c r="E3080" s="109"/>
      <c r="F3080" s="5" t="s">
        <v>78</v>
      </c>
      <c r="G3080" s="5"/>
      <c r="H3080" s="5"/>
      <c r="I3080" s="5"/>
      <c r="J3080" s="88" t="s">
        <v>293</v>
      </c>
      <c r="K3080" s="44"/>
      <c r="L3080" s="5"/>
    </row>
    <row r="3082" spans="1:12" s="49" customFormat="1" x14ac:dyDescent="0.25"/>
    <row r="3085" spans="1:12" x14ac:dyDescent="0.25">
      <c r="A3085" s="120" t="s">
        <v>24</v>
      </c>
      <c r="B3085" s="120"/>
      <c r="C3085" s="120"/>
      <c r="D3085" s="120"/>
      <c r="E3085" s="120"/>
      <c r="F3085" s="120"/>
      <c r="G3085" s="120"/>
      <c r="H3085" s="120"/>
      <c r="I3085" s="120"/>
      <c r="J3085" s="120"/>
      <c r="K3085" s="120"/>
      <c r="L3085" s="120"/>
    </row>
    <row r="3086" spans="1:12" x14ac:dyDescent="0.25">
      <c r="A3086" s="120"/>
      <c r="B3086" s="120"/>
      <c r="C3086" s="120"/>
      <c r="D3086" s="120"/>
      <c r="E3086" s="120"/>
      <c r="F3086" s="120"/>
      <c r="G3086" s="120"/>
      <c r="H3086" s="120"/>
      <c r="I3086" s="120"/>
      <c r="J3086" s="120"/>
      <c r="K3086" s="120"/>
      <c r="L3086" s="120"/>
    </row>
    <row r="3087" spans="1:12" x14ac:dyDescent="0.25">
      <c r="A3087" s="1" t="s">
        <v>4</v>
      </c>
      <c r="B3087" s="2"/>
      <c r="C3087" s="90"/>
      <c r="D3087" s="2"/>
      <c r="E3087" s="2"/>
      <c r="F3087" s="2"/>
      <c r="G3087" s="3" t="s">
        <v>5</v>
      </c>
      <c r="H3087" s="3" t="s">
        <v>6</v>
      </c>
      <c r="I3087" s="4" t="s">
        <v>7</v>
      </c>
      <c r="J3087" s="5"/>
      <c r="K3087" s="5"/>
      <c r="L3087" s="5"/>
    </row>
    <row r="3088" spans="1:12" x14ac:dyDescent="0.25">
      <c r="A3088" s="91" t="s">
        <v>359</v>
      </c>
      <c r="B3088" s="92" t="s">
        <v>42</v>
      </c>
      <c r="C3088" s="64"/>
      <c r="D3088" s="66"/>
      <c r="E3088" s="2"/>
      <c r="F3088" s="2"/>
      <c r="G3088" s="91" t="s">
        <v>299</v>
      </c>
      <c r="H3088" s="66"/>
      <c r="I3088" s="33"/>
      <c r="J3088" s="6"/>
      <c r="K3088" s="33"/>
      <c r="L3088" s="6"/>
    </row>
    <row r="3089" spans="1:12" x14ac:dyDescent="0.25">
      <c r="A3089" s="7" t="s">
        <v>2</v>
      </c>
      <c r="B3089" s="5"/>
      <c r="C3089" s="5"/>
      <c r="D3089" s="5"/>
      <c r="E3089" s="5"/>
      <c r="F3089" s="5"/>
      <c r="G3089" s="8" t="s">
        <v>8</v>
      </c>
      <c r="H3089" s="93">
        <v>3</v>
      </c>
      <c r="I3089" s="5"/>
      <c r="J3089" s="5"/>
      <c r="K3089" s="5"/>
      <c r="L3089" s="5"/>
    </row>
    <row r="3090" spans="1:12" x14ac:dyDescent="0.25">
      <c r="A3090" s="7" t="s">
        <v>25</v>
      </c>
      <c r="B3090" s="5"/>
      <c r="C3090" s="7" t="s">
        <v>0</v>
      </c>
      <c r="D3090" s="5"/>
      <c r="E3090" s="5"/>
      <c r="F3090" s="5"/>
      <c r="G3090" s="7" t="s">
        <v>25</v>
      </c>
      <c r="H3090" s="5"/>
      <c r="I3090" s="7" t="s">
        <v>0</v>
      </c>
      <c r="J3090" s="5"/>
      <c r="K3090" s="5"/>
      <c r="L3090" s="5"/>
    </row>
    <row r="3091" spans="1:12" x14ac:dyDescent="0.25">
      <c r="A3091" s="42" t="s">
        <v>505</v>
      </c>
      <c r="B3091" s="6"/>
      <c r="C3091" s="31">
        <f>L3050</f>
        <v>1016214</v>
      </c>
      <c r="D3091" s="5"/>
      <c r="E3091" s="5"/>
      <c r="F3091" s="5"/>
      <c r="G3091" s="42"/>
      <c r="H3091" s="6"/>
      <c r="I3091" s="9"/>
      <c r="J3091" s="5"/>
      <c r="K3091" s="5"/>
      <c r="L3091" s="5"/>
    </row>
    <row r="3092" spans="1:12" ht="16.5" thickBot="1" x14ac:dyDescent="0.3">
      <c r="A3092" s="7"/>
      <c r="B3092" s="62"/>
      <c r="C3092" s="62"/>
      <c r="D3092" s="62"/>
      <c r="E3092" s="5"/>
      <c r="F3092" s="5"/>
      <c r="G3092" s="10"/>
      <c r="H3092" s="5"/>
      <c r="I3092" s="5"/>
      <c r="J3092" s="5"/>
      <c r="K3092" s="5"/>
      <c r="L3092" s="5"/>
    </row>
    <row r="3093" spans="1:12" ht="15.75" thickBot="1" x14ac:dyDescent="0.3">
      <c r="A3093" s="121" t="s">
        <v>9</v>
      </c>
      <c r="B3093" s="122"/>
      <c r="C3093" s="123"/>
      <c r="D3093" s="5"/>
      <c r="E3093" s="5"/>
      <c r="F3093" s="5"/>
      <c r="G3093" s="121" t="s">
        <v>26</v>
      </c>
      <c r="H3093" s="122"/>
      <c r="I3093" s="123"/>
      <c r="J3093" s="5"/>
      <c r="K3093" s="5"/>
      <c r="L3093" s="5"/>
    </row>
    <row r="3094" spans="1:12" x14ac:dyDescent="0.25">
      <c r="A3094" s="30" t="s">
        <v>38</v>
      </c>
      <c r="B3094" s="11"/>
      <c r="C3094" s="11"/>
      <c r="D3094" s="11"/>
      <c r="E3094" s="6"/>
      <c r="F3094" s="5"/>
      <c r="G3094" s="30" t="str">
        <f>A3097</f>
        <v>Johannesburg</v>
      </c>
      <c r="H3094" s="11"/>
      <c r="I3094" s="11"/>
      <c r="J3094" s="11"/>
      <c r="K3094" s="11"/>
      <c r="L3094" s="6"/>
    </row>
    <row r="3095" spans="1:12" ht="15.75" thickBot="1" x14ac:dyDescent="0.3">
      <c r="A3095" s="7"/>
      <c r="B3095" s="7"/>
      <c r="C3095" s="7"/>
      <c r="D3095" s="5"/>
      <c r="E3095" s="5"/>
      <c r="F3095" s="5"/>
      <c r="G3095" s="7" t="str">
        <f>A3097</f>
        <v>Johannesburg</v>
      </c>
      <c r="H3095" s="7"/>
      <c r="I3095" s="7"/>
      <c r="J3095" s="5"/>
      <c r="K3095" s="5"/>
      <c r="L3095" s="5"/>
    </row>
    <row r="3096" spans="1:12" ht="15.75" thickBot="1" x14ac:dyDescent="0.3">
      <c r="A3096" s="121"/>
      <c r="B3096" s="122"/>
      <c r="C3096" s="124"/>
      <c r="D3096" s="12" t="s">
        <v>1</v>
      </c>
      <c r="E3096" s="32"/>
      <c r="F3096" s="5"/>
      <c r="G3096" s="121" t="s">
        <v>27</v>
      </c>
      <c r="H3096" s="122"/>
      <c r="I3096" s="123"/>
      <c r="J3096" s="5"/>
      <c r="K3096" s="12" t="s">
        <v>1</v>
      </c>
      <c r="L3096" s="32">
        <v>1019185</v>
      </c>
    </row>
    <row r="3097" spans="1:12" x14ac:dyDescent="0.25">
      <c r="A3097" s="30" t="s">
        <v>68</v>
      </c>
      <c r="B3097" s="11"/>
      <c r="C3097" s="11"/>
      <c r="D3097" s="11"/>
      <c r="E3097" s="6"/>
      <c r="F3097" s="5"/>
      <c r="G3097" s="30" t="s">
        <v>364</v>
      </c>
      <c r="H3097" s="11"/>
      <c r="I3097" s="11"/>
      <c r="J3097" s="11"/>
      <c r="K3097" s="11"/>
      <c r="L3097" s="6"/>
    </row>
    <row r="3098" spans="1:12" x14ac:dyDescent="0.25">
      <c r="A3098" s="76"/>
      <c r="B3098" s="11"/>
      <c r="C3098" s="11"/>
      <c r="D3098" s="11"/>
      <c r="E3098" s="6"/>
      <c r="F3098" s="5"/>
      <c r="G3098" s="34"/>
      <c r="H3098" s="11"/>
      <c r="I3098" s="11"/>
      <c r="J3098" s="11"/>
      <c r="K3098" s="11"/>
      <c r="L3098" s="6"/>
    </row>
    <row r="3099" spans="1:12" x14ac:dyDescent="0.25">
      <c r="A3099" s="13"/>
      <c r="B3099" s="11"/>
      <c r="C3099" s="11"/>
      <c r="D3099" s="11"/>
      <c r="E3099" s="6"/>
      <c r="F3099" s="5"/>
      <c r="G3099" s="13"/>
      <c r="H3099" s="11"/>
      <c r="I3099" s="11"/>
      <c r="J3099" s="11"/>
      <c r="K3099" s="11"/>
      <c r="L3099" s="6"/>
    </row>
    <row r="3100" spans="1:12" x14ac:dyDescent="0.25">
      <c r="A3100" s="13"/>
      <c r="B3100" s="11"/>
      <c r="C3100" s="11"/>
      <c r="D3100" s="11"/>
      <c r="E3100" s="6"/>
      <c r="F3100" s="5"/>
      <c r="G3100" s="13"/>
      <c r="H3100" s="11"/>
      <c r="I3100" s="11"/>
      <c r="J3100" s="11"/>
      <c r="K3100" s="11"/>
      <c r="L3100" s="6"/>
    </row>
    <row r="3101" spans="1:12" ht="15.75" thickBot="1" x14ac:dyDescent="0.3">
      <c r="A3101" s="13"/>
      <c r="B3101" s="11"/>
      <c r="C3101" s="11" t="s">
        <v>29</v>
      </c>
      <c r="D3101" s="43"/>
      <c r="E3101" s="6"/>
      <c r="F3101" s="5"/>
      <c r="G3101" s="13"/>
      <c r="H3101" s="11"/>
      <c r="I3101" s="14" t="s">
        <v>28</v>
      </c>
      <c r="J3101" s="43"/>
      <c r="K3101" s="59"/>
      <c r="L3101" s="6"/>
    </row>
    <row r="3102" spans="1:12" ht="15.75" thickBot="1" x14ac:dyDescent="0.3">
      <c r="A3102" s="15" t="s">
        <v>10</v>
      </c>
      <c r="B3102" s="5"/>
      <c r="C3102" s="5"/>
      <c r="D3102" s="5"/>
      <c r="E3102" s="5"/>
      <c r="F3102" s="5"/>
      <c r="G3102" s="15" t="s">
        <v>14</v>
      </c>
      <c r="H3102" s="5"/>
      <c r="I3102" s="5"/>
      <c r="J3102" s="5"/>
      <c r="K3102" s="5"/>
      <c r="L3102" s="5"/>
    </row>
    <row r="3103" spans="1:12" ht="15.75" thickBot="1" x14ac:dyDescent="0.3">
      <c r="A3103" s="121" t="s">
        <v>11</v>
      </c>
      <c r="B3103" s="122"/>
      <c r="C3103" s="123"/>
      <c r="D3103" s="16" t="s">
        <v>12</v>
      </c>
      <c r="E3103" s="16" t="s">
        <v>13</v>
      </c>
      <c r="F3103" s="5"/>
      <c r="G3103" s="121" t="s">
        <v>15</v>
      </c>
      <c r="H3103" s="122"/>
      <c r="I3103" s="123"/>
      <c r="J3103" s="121"/>
      <c r="K3103" s="123"/>
      <c r="L3103" s="5"/>
    </row>
    <row r="3104" spans="1:12" x14ac:dyDescent="0.25">
      <c r="A3104" s="94" t="s">
        <v>506</v>
      </c>
      <c r="B3104" s="46" t="s">
        <v>507</v>
      </c>
      <c r="C3104" s="47"/>
      <c r="D3104" s="56">
        <v>745.72</v>
      </c>
      <c r="E3104" s="57">
        <v>15458.77</v>
      </c>
      <c r="F3104" s="44">
        <f>E3104/D3104</f>
        <v>20.729992490478999</v>
      </c>
      <c r="G3104" s="125" t="s">
        <v>69</v>
      </c>
      <c r="H3104" s="126"/>
      <c r="I3104" s="127"/>
      <c r="J3104" s="128">
        <f>355+355</f>
        <v>710</v>
      </c>
      <c r="K3104" s="129"/>
      <c r="L3104" s="5"/>
    </row>
    <row r="3105" spans="1:12" x14ac:dyDescent="0.25">
      <c r="A3105" s="94" t="s">
        <v>508</v>
      </c>
      <c r="B3105" s="46" t="s">
        <v>47</v>
      </c>
      <c r="C3105" s="47"/>
      <c r="D3105" s="56">
        <f>550.002+103.977</f>
        <v>653.97899999999993</v>
      </c>
      <c r="E3105" s="57">
        <f>9999+1890.17</f>
        <v>11889.17</v>
      </c>
      <c r="F3105" s="44">
        <f>E3105/D3105</f>
        <v>18.179742774615089</v>
      </c>
      <c r="G3105" s="110" t="s">
        <v>59</v>
      </c>
      <c r="H3105" s="111"/>
      <c r="I3105" s="112"/>
      <c r="J3105" s="113"/>
      <c r="K3105" s="114"/>
      <c r="L3105" s="5"/>
    </row>
    <row r="3106" spans="1:12" x14ac:dyDescent="0.25">
      <c r="A3106" s="94"/>
      <c r="B3106" s="46"/>
      <c r="C3106" s="47"/>
      <c r="D3106" s="56"/>
      <c r="E3106" s="57"/>
      <c r="F3106" s="44"/>
      <c r="G3106" s="110" t="s">
        <v>61</v>
      </c>
      <c r="H3106" s="111"/>
      <c r="I3106" s="112"/>
      <c r="J3106" s="113"/>
      <c r="K3106" s="114"/>
      <c r="L3106" s="5"/>
    </row>
    <row r="3107" spans="1:12" x14ac:dyDescent="0.25">
      <c r="A3107" s="94"/>
      <c r="B3107" s="46"/>
      <c r="C3107" s="47"/>
      <c r="D3107" s="56"/>
      <c r="E3107" s="57"/>
      <c r="F3107" s="44"/>
      <c r="G3107" s="110" t="s">
        <v>51</v>
      </c>
      <c r="H3107" s="111"/>
      <c r="I3107" s="112"/>
      <c r="J3107" s="113"/>
      <c r="K3107" s="114"/>
      <c r="L3107" s="5"/>
    </row>
    <row r="3108" spans="1:12" x14ac:dyDescent="0.25">
      <c r="A3108" s="48"/>
      <c r="B3108" s="46"/>
      <c r="C3108" s="39"/>
      <c r="D3108" s="52"/>
      <c r="E3108" s="53"/>
      <c r="F3108" s="44"/>
      <c r="G3108" s="110" t="s">
        <v>58</v>
      </c>
      <c r="H3108" s="111"/>
      <c r="I3108" s="112"/>
      <c r="J3108" s="113"/>
      <c r="K3108" s="114"/>
      <c r="L3108" s="5"/>
    </row>
    <row r="3109" spans="1:12" x14ac:dyDescent="0.25">
      <c r="A3109" s="48"/>
      <c r="B3109" s="35"/>
      <c r="C3109" s="39"/>
      <c r="D3109" s="52"/>
      <c r="E3109" s="53"/>
      <c r="F3109" s="44"/>
      <c r="G3109" s="110" t="s">
        <v>51</v>
      </c>
      <c r="H3109" s="111"/>
      <c r="I3109" s="112"/>
      <c r="J3109" s="113"/>
      <c r="K3109" s="114"/>
      <c r="L3109" s="5"/>
    </row>
    <row r="3110" spans="1:12" x14ac:dyDescent="0.25">
      <c r="A3110" s="48"/>
      <c r="B3110" s="35"/>
      <c r="C3110" s="39"/>
      <c r="D3110" s="52"/>
      <c r="E3110" s="53"/>
      <c r="F3110" s="44"/>
      <c r="G3110" s="77"/>
      <c r="H3110" s="78" t="s">
        <v>69</v>
      </c>
      <c r="I3110" s="79"/>
      <c r="J3110" s="113">
        <v>0</v>
      </c>
      <c r="K3110" s="114"/>
      <c r="L3110" s="5"/>
    </row>
    <row r="3111" spans="1:12" x14ac:dyDescent="0.25">
      <c r="A3111" s="38"/>
      <c r="B3111" s="35"/>
      <c r="C3111" s="39"/>
      <c r="D3111" s="52"/>
      <c r="E3111" s="53"/>
      <c r="F3111" s="44"/>
      <c r="G3111" s="77"/>
      <c r="H3111" s="78" t="s">
        <v>72</v>
      </c>
      <c r="I3111" s="79"/>
      <c r="J3111" s="113"/>
      <c r="K3111" s="114"/>
      <c r="L3111" s="5"/>
    </row>
    <row r="3112" spans="1:12" ht="15.75" thickBot="1" x14ac:dyDescent="0.3">
      <c r="A3112" s="5"/>
      <c r="B3112" s="5"/>
      <c r="C3112" s="7" t="s">
        <v>35</v>
      </c>
      <c r="D3112" s="17">
        <f>SUM(D3104:D3111)</f>
        <v>1399.6990000000001</v>
      </c>
      <c r="E3112" s="17">
        <f>SUM(E3104:E3111)</f>
        <v>27347.940000000002</v>
      </c>
      <c r="F3112" s="89">
        <f>AVERAGE(F3104:F3108)</f>
        <v>19.454867632547042</v>
      </c>
      <c r="G3112" s="110" t="s">
        <v>73</v>
      </c>
      <c r="H3112" s="111"/>
      <c r="I3112" s="112"/>
      <c r="J3112" s="113"/>
      <c r="K3112" s="114"/>
      <c r="L3112" s="7" t="s">
        <v>36</v>
      </c>
    </row>
    <row r="3113" spans="1:12" ht="15.75" thickBot="1" x14ac:dyDescent="0.3">
      <c r="A3113" s="5"/>
      <c r="B3113" s="5"/>
      <c r="C3113" s="5"/>
      <c r="D3113" s="5"/>
      <c r="E3113" s="5"/>
      <c r="F3113" s="5"/>
      <c r="G3113" s="130"/>
      <c r="H3113" s="131"/>
      <c r="I3113" s="132"/>
      <c r="J3113" s="133"/>
      <c r="K3113" s="134"/>
      <c r="L3113" s="18">
        <f>J3104+J3105+J3106+J3107+J3108+J3109+J3110+J3111+J3112</f>
        <v>710</v>
      </c>
    </row>
    <row r="3114" spans="1:12" ht="15.75" thickBot="1" x14ac:dyDescent="0.3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</row>
    <row r="3115" spans="1:12" ht="15.75" thickBot="1" x14ac:dyDescent="0.3">
      <c r="A3115" s="19"/>
      <c r="B3115" s="20"/>
      <c r="C3115" s="20"/>
      <c r="D3115" s="20"/>
      <c r="E3115" s="21" t="s">
        <v>13</v>
      </c>
      <c r="F3115" s="5"/>
      <c r="G3115" s="19"/>
      <c r="H3115" s="20"/>
      <c r="I3115" s="20"/>
      <c r="J3115" s="20"/>
      <c r="K3115" s="21" t="s">
        <v>13</v>
      </c>
      <c r="L3115" s="5"/>
    </row>
    <row r="3116" spans="1:12" x14ac:dyDescent="0.25">
      <c r="A3116" s="22" t="s">
        <v>31</v>
      </c>
      <c r="B3116" s="115">
        <v>18078</v>
      </c>
      <c r="C3116" s="116"/>
      <c r="D3116" s="116"/>
      <c r="E3116" s="117"/>
      <c r="F3116" s="5"/>
      <c r="G3116" s="22" t="s">
        <v>32</v>
      </c>
      <c r="H3116" s="115">
        <v>41700</v>
      </c>
      <c r="I3116" s="116"/>
      <c r="J3116" s="116"/>
      <c r="K3116" s="117"/>
      <c r="L3116" s="5"/>
    </row>
    <row r="3117" spans="1:12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</row>
    <row r="3118" spans="1:12" x14ac:dyDescent="0.25">
      <c r="A3118" s="7" t="s">
        <v>16</v>
      </c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</row>
    <row r="3119" spans="1:12" x14ac:dyDescent="0.25">
      <c r="A3119" s="9" t="s">
        <v>17</v>
      </c>
      <c r="B3119" s="23">
        <f>L3096-C3091</f>
        <v>2971</v>
      </c>
      <c r="C3119" s="5"/>
      <c r="D3119" s="106" t="s">
        <v>18</v>
      </c>
      <c r="E3119" s="107"/>
      <c r="F3119" s="24" t="s">
        <v>19</v>
      </c>
      <c r="G3119" s="9" t="s">
        <v>20</v>
      </c>
      <c r="H3119" s="118">
        <f>B3116+H3116</f>
        <v>59778</v>
      </c>
      <c r="I3119" s="119"/>
      <c r="J3119" s="60"/>
      <c r="K3119" s="5"/>
      <c r="L3119" s="5"/>
    </row>
    <row r="3120" spans="1:12" x14ac:dyDescent="0.25">
      <c r="A3120" s="9" t="s">
        <v>41</v>
      </c>
      <c r="B3120" s="40">
        <f>B3119/D3112</f>
        <v>2.1225992159742915</v>
      </c>
      <c r="C3120" s="5"/>
      <c r="D3120" s="102">
        <f>E3112</f>
        <v>27347.940000000002</v>
      </c>
      <c r="E3120" s="103"/>
      <c r="F3120" s="25">
        <f>H3120/B3119</f>
        <v>10.414183776506228</v>
      </c>
      <c r="G3120" s="9" t="s">
        <v>21</v>
      </c>
      <c r="H3120" s="104">
        <f>L3113+D3120+D3122+D3124+D3126+A3123</f>
        <v>30940.54</v>
      </c>
      <c r="I3120" s="105"/>
      <c r="J3120" s="5"/>
      <c r="K3120" s="5"/>
      <c r="L3120" s="5"/>
    </row>
    <row r="3121" spans="1:12" x14ac:dyDescent="0.25">
      <c r="A3121" s="9" t="s">
        <v>43</v>
      </c>
      <c r="B3121" s="23">
        <f>D3112/B3119*100</f>
        <v>47.112049814877146</v>
      </c>
      <c r="C3121" s="5"/>
      <c r="D3121" s="106" t="s">
        <v>33</v>
      </c>
      <c r="E3121" s="107"/>
      <c r="F3121" s="5"/>
      <c r="G3121" s="13" t="s">
        <v>22</v>
      </c>
      <c r="H3121" s="6"/>
      <c r="I3121" s="26">
        <f>H3119-H3120</f>
        <v>28837.46</v>
      </c>
      <c r="J3121" s="5"/>
      <c r="K3121" s="5"/>
      <c r="L3121" s="5"/>
    </row>
    <row r="3122" spans="1:12" x14ac:dyDescent="0.25">
      <c r="A3122" s="106" t="s">
        <v>40</v>
      </c>
      <c r="B3122" s="107"/>
      <c r="C3122" s="5"/>
      <c r="D3122" s="149">
        <v>1100</v>
      </c>
      <c r="E3122" s="150"/>
      <c r="F3122" s="5"/>
      <c r="G3122" s="5"/>
      <c r="H3122" s="5"/>
      <c r="I3122" s="5"/>
      <c r="J3122" s="5"/>
      <c r="K3122" s="5"/>
      <c r="L3122" s="5"/>
    </row>
    <row r="3123" spans="1:12" x14ac:dyDescent="0.25">
      <c r="A3123" s="108">
        <f>B3119*0.6</f>
        <v>1782.6</v>
      </c>
      <c r="B3123" s="109"/>
      <c r="C3123" s="5"/>
      <c r="D3123" s="106" t="s">
        <v>34</v>
      </c>
      <c r="E3123" s="107"/>
      <c r="F3123" s="5"/>
      <c r="G3123" s="145" t="s">
        <v>292</v>
      </c>
      <c r="H3123" s="146"/>
      <c r="I3123" s="23">
        <f>B3119/2.3</f>
        <v>1291.7391304347827</v>
      </c>
      <c r="J3123" s="60"/>
      <c r="K3123" s="5"/>
      <c r="L3123" s="5"/>
    </row>
    <row r="3124" spans="1:12" x14ac:dyDescent="0.25">
      <c r="A3124" s="5"/>
      <c r="B3124" s="5"/>
      <c r="C3124" s="5"/>
      <c r="D3124" s="108">
        <v>0</v>
      </c>
      <c r="E3124" s="109"/>
      <c r="F3124" s="5"/>
      <c r="G3124" s="145" t="s">
        <v>294</v>
      </c>
      <c r="H3124" s="146"/>
      <c r="I3124" s="23">
        <f>I3123-D3112</f>
        <v>-107.95986956521733</v>
      </c>
      <c r="J3124" s="5"/>
      <c r="K3124" s="5"/>
      <c r="L3124" s="5"/>
    </row>
    <row r="3125" spans="1:12" x14ac:dyDescent="0.25">
      <c r="A3125" s="5"/>
      <c r="B3125" s="5"/>
      <c r="C3125" s="5"/>
      <c r="D3125" s="106" t="s">
        <v>37</v>
      </c>
      <c r="E3125" s="107"/>
      <c r="F3125" s="5"/>
      <c r="G3125" s="147" t="s">
        <v>295</v>
      </c>
      <c r="H3125" s="148"/>
      <c r="I3125" s="86">
        <f>I3124*F3112</f>
        <v>-2100.3449720183471</v>
      </c>
      <c r="J3125" s="87">
        <f>I3121-I3125</f>
        <v>30937.804972018348</v>
      </c>
      <c r="K3125" s="5"/>
      <c r="L3125" s="5"/>
    </row>
    <row r="3126" spans="1:12" x14ac:dyDescent="0.25">
      <c r="A3126" s="5"/>
      <c r="B3126" s="5"/>
      <c r="C3126" s="5"/>
      <c r="D3126" s="108">
        <v>0</v>
      </c>
      <c r="E3126" s="109"/>
      <c r="F3126" s="5" t="s">
        <v>78</v>
      </c>
      <c r="G3126" s="5"/>
      <c r="H3126" s="5"/>
      <c r="I3126" s="5"/>
      <c r="J3126" s="88" t="s">
        <v>293</v>
      </c>
      <c r="K3126" s="44"/>
      <c r="L3126" s="5"/>
    </row>
    <row r="3128" spans="1:12" s="49" customFormat="1" x14ac:dyDescent="0.25"/>
    <row r="3131" spans="1:12" x14ac:dyDescent="0.25">
      <c r="A3131" s="120" t="s">
        <v>24</v>
      </c>
      <c r="B3131" s="120"/>
      <c r="C3131" s="120"/>
      <c r="D3131" s="120"/>
      <c r="E3131" s="120"/>
      <c r="F3131" s="120"/>
      <c r="G3131" s="120"/>
      <c r="H3131" s="120"/>
      <c r="I3131" s="120"/>
      <c r="J3131" s="120"/>
      <c r="K3131" s="120"/>
      <c r="L3131" s="120"/>
    </row>
    <row r="3132" spans="1:12" x14ac:dyDescent="0.25">
      <c r="A3132" s="120"/>
      <c r="B3132" s="120"/>
      <c r="C3132" s="120"/>
      <c r="D3132" s="120"/>
      <c r="E3132" s="120"/>
      <c r="F3132" s="120"/>
      <c r="G3132" s="120"/>
      <c r="H3132" s="120"/>
      <c r="I3132" s="120"/>
      <c r="J3132" s="120"/>
      <c r="K3132" s="120"/>
      <c r="L3132" s="120"/>
    </row>
    <row r="3133" spans="1:12" x14ac:dyDescent="0.25">
      <c r="A3133" s="1" t="s">
        <v>4</v>
      </c>
      <c r="B3133" s="2"/>
      <c r="C3133" s="90"/>
      <c r="D3133" s="2"/>
      <c r="E3133" s="2"/>
      <c r="F3133" s="2"/>
      <c r="G3133" s="3" t="s">
        <v>5</v>
      </c>
      <c r="H3133" s="3" t="s">
        <v>6</v>
      </c>
      <c r="I3133" s="4" t="s">
        <v>7</v>
      </c>
      <c r="J3133" s="5"/>
      <c r="K3133" s="5"/>
      <c r="L3133" s="5"/>
    </row>
    <row r="3134" spans="1:12" x14ac:dyDescent="0.25">
      <c r="A3134" s="91" t="s">
        <v>359</v>
      </c>
      <c r="B3134" s="92" t="s">
        <v>42</v>
      </c>
      <c r="C3134" s="64"/>
      <c r="D3134" s="66"/>
      <c r="E3134" s="2"/>
      <c r="F3134" s="2"/>
      <c r="G3134" s="91" t="s">
        <v>299</v>
      </c>
      <c r="H3134" s="66"/>
      <c r="I3134" s="33"/>
      <c r="J3134" s="6"/>
      <c r="K3134" s="33"/>
      <c r="L3134" s="6"/>
    </row>
    <row r="3135" spans="1:12" x14ac:dyDescent="0.25">
      <c r="A3135" s="7" t="s">
        <v>2</v>
      </c>
      <c r="B3135" s="5"/>
      <c r="C3135" s="5"/>
      <c r="D3135" s="5"/>
      <c r="E3135" s="5"/>
      <c r="F3135" s="5"/>
      <c r="G3135" s="8" t="s">
        <v>8</v>
      </c>
      <c r="H3135" s="93">
        <v>3</v>
      </c>
      <c r="I3135" s="5"/>
      <c r="J3135" s="5"/>
      <c r="K3135" s="5"/>
      <c r="L3135" s="5"/>
    </row>
    <row r="3136" spans="1:12" x14ac:dyDescent="0.25">
      <c r="A3136" s="7" t="s">
        <v>25</v>
      </c>
      <c r="B3136" s="5"/>
      <c r="C3136" s="7" t="s">
        <v>0</v>
      </c>
      <c r="D3136" s="5"/>
      <c r="E3136" s="5"/>
      <c r="F3136" s="5"/>
      <c r="G3136" s="7" t="s">
        <v>25</v>
      </c>
      <c r="H3136" s="5"/>
      <c r="I3136" s="7" t="s">
        <v>0</v>
      </c>
      <c r="J3136" s="5"/>
      <c r="K3136" s="5"/>
      <c r="L3136" s="5"/>
    </row>
    <row r="3137" spans="1:12" x14ac:dyDescent="0.25">
      <c r="A3137" s="42" t="s">
        <v>509</v>
      </c>
      <c r="B3137" s="6"/>
      <c r="C3137" s="31">
        <f>L3096</f>
        <v>1019185</v>
      </c>
      <c r="D3137" s="5"/>
      <c r="E3137" s="5"/>
      <c r="F3137" s="5"/>
      <c r="G3137" s="42"/>
      <c r="H3137" s="6"/>
      <c r="I3137" s="9"/>
      <c r="J3137" s="5"/>
      <c r="K3137" s="5"/>
      <c r="L3137" s="5"/>
    </row>
    <row r="3138" spans="1:12" ht="16.5" thickBot="1" x14ac:dyDescent="0.3">
      <c r="A3138" s="7"/>
      <c r="B3138" s="62"/>
      <c r="C3138" s="62"/>
      <c r="D3138" s="62"/>
      <c r="E3138" s="5"/>
      <c r="F3138" s="5"/>
      <c r="G3138" s="10"/>
      <c r="H3138" s="5"/>
      <c r="I3138" s="5"/>
      <c r="J3138" s="5"/>
      <c r="K3138" s="5"/>
      <c r="L3138" s="5"/>
    </row>
    <row r="3139" spans="1:12" ht="15.75" thickBot="1" x14ac:dyDescent="0.3">
      <c r="A3139" s="121" t="s">
        <v>9</v>
      </c>
      <c r="B3139" s="122"/>
      <c r="C3139" s="123"/>
      <c r="D3139" s="5"/>
      <c r="E3139" s="5"/>
      <c r="F3139" s="5"/>
      <c r="G3139" s="121" t="s">
        <v>26</v>
      </c>
      <c r="H3139" s="122"/>
      <c r="I3139" s="123"/>
      <c r="J3139" s="5"/>
      <c r="K3139" s="5"/>
      <c r="L3139" s="5"/>
    </row>
    <row r="3140" spans="1:12" x14ac:dyDescent="0.25">
      <c r="A3140" s="30" t="s">
        <v>38</v>
      </c>
      <c r="B3140" s="11"/>
      <c r="C3140" s="11"/>
      <c r="D3140" s="11"/>
      <c r="E3140" s="6"/>
      <c r="F3140" s="5"/>
      <c r="G3140" s="30" t="str">
        <f>A3143</f>
        <v>Cape Town</v>
      </c>
      <c r="H3140" s="11"/>
      <c r="I3140" s="11"/>
      <c r="J3140" s="11"/>
      <c r="K3140" s="11"/>
      <c r="L3140" s="6"/>
    </row>
    <row r="3141" spans="1:12" ht="15.75" thickBot="1" x14ac:dyDescent="0.3">
      <c r="A3141" s="7"/>
      <c r="B3141" s="7"/>
      <c r="C3141" s="7"/>
      <c r="D3141" s="5"/>
      <c r="E3141" s="5"/>
      <c r="F3141" s="5"/>
      <c r="G3141" s="7" t="str">
        <f>A3143</f>
        <v>Cape Town</v>
      </c>
      <c r="H3141" s="7"/>
      <c r="I3141" s="7"/>
      <c r="J3141" s="5"/>
      <c r="K3141" s="5"/>
      <c r="L3141" s="5"/>
    </row>
    <row r="3142" spans="1:12" ht="15.75" thickBot="1" x14ac:dyDescent="0.3">
      <c r="A3142" s="121"/>
      <c r="B3142" s="122"/>
      <c r="C3142" s="124"/>
      <c r="D3142" s="12" t="s">
        <v>1</v>
      </c>
      <c r="E3142" s="32"/>
      <c r="F3142" s="5"/>
      <c r="G3142" s="121" t="s">
        <v>27</v>
      </c>
      <c r="H3142" s="122"/>
      <c r="I3142" s="123"/>
      <c r="J3142" s="5"/>
      <c r="K3142" s="12" t="s">
        <v>1</v>
      </c>
      <c r="L3142" s="32">
        <v>1022232</v>
      </c>
    </row>
    <row r="3143" spans="1:12" x14ac:dyDescent="0.25">
      <c r="A3143" s="30" t="s">
        <v>65</v>
      </c>
      <c r="B3143" s="11"/>
      <c r="C3143" s="11"/>
      <c r="D3143" s="11"/>
      <c r="E3143" s="6"/>
      <c r="F3143" s="5"/>
      <c r="G3143" s="30" t="s">
        <v>364</v>
      </c>
      <c r="H3143" s="11"/>
      <c r="I3143" s="11"/>
      <c r="J3143" s="11"/>
      <c r="K3143" s="11"/>
      <c r="L3143" s="6"/>
    </row>
    <row r="3144" spans="1:12" x14ac:dyDescent="0.25">
      <c r="A3144" s="76" t="s">
        <v>511</v>
      </c>
      <c r="B3144" s="11"/>
      <c r="C3144" s="11"/>
      <c r="D3144" s="11"/>
      <c r="E3144" s="6"/>
      <c r="F3144" s="5"/>
      <c r="G3144" s="34"/>
      <c r="H3144" s="11"/>
      <c r="I3144" s="11"/>
      <c r="J3144" s="11"/>
      <c r="K3144" s="11"/>
      <c r="L3144" s="6"/>
    </row>
    <row r="3145" spans="1:12" x14ac:dyDescent="0.25">
      <c r="A3145" s="13"/>
      <c r="B3145" s="11"/>
      <c r="C3145" s="11"/>
      <c r="D3145" s="11"/>
      <c r="E3145" s="6"/>
      <c r="F3145" s="5"/>
      <c r="G3145" s="13"/>
      <c r="H3145" s="11"/>
      <c r="I3145" s="11"/>
      <c r="J3145" s="11"/>
      <c r="K3145" s="11"/>
      <c r="L3145" s="6"/>
    </row>
    <row r="3146" spans="1:12" x14ac:dyDescent="0.25">
      <c r="A3146" s="13"/>
      <c r="B3146" s="11"/>
      <c r="C3146" s="11"/>
      <c r="D3146" s="11"/>
      <c r="E3146" s="6"/>
      <c r="F3146" s="5"/>
      <c r="G3146" s="13"/>
      <c r="H3146" s="11"/>
      <c r="I3146" s="11"/>
      <c r="J3146" s="11"/>
      <c r="K3146" s="11"/>
      <c r="L3146" s="6"/>
    </row>
    <row r="3147" spans="1:12" ht="15.75" thickBot="1" x14ac:dyDescent="0.3">
      <c r="A3147" s="13"/>
      <c r="B3147" s="11"/>
      <c r="C3147" s="11" t="s">
        <v>29</v>
      </c>
      <c r="D3147" s="43"/>
      <c r="E3147" s="6"/>
      <c r="F3147" s="5"/>
      <c r="G3147" s="13"/>
      <c r="H3147" s="11"/>
      <c r="I3147" s="14" t="s">
        <v>28</v>
      </c>
      <c r="J3147" s="43"/>
      <c r="K3147" s="59"/>
      <c r="L3147" s="6"/>
    </row>
    <row r="3148" spans="1:12" ht="15.75" thickBot="1" x14ac:dyDescent="0.3">
      <c r="A3148" s="15" t="s">
        <v>10</v>
      </c>
      <c r="B3148" s="5"/>
      <c r="C3148" s="5"/>
      <c r="D3148" s="5"/>
      <c r="E3148" s="5"/>
      <c r="F3148" s="5"/>
      <c r="G3148" s="15" t="s">
        <v>14</v>
      </c>
      <c r="H3148" s="5"/>
      <c r="I3148" s="5"/>
      <c r="J3148" s="5"/>
      <c r="K3148" s="5"/>
      <c r="L3148" s="5"/>
    </row>
    <row r="3149" spans="1:12" ht="15.75" thickBot="1" x14ac:dyDescent="0.3">
      <c r="A3149" s="121" t="s">
        <v>11</v>
      </c>
      <c r="B3149" s="122"/>
      <c r="C3149" s="123"/>
      <c r="D3149" s="16" t="s">
        <v>12</v>
      </c>
      <c r="E3149" s="16" t="s">
        <v>13</v>
      </c>
      <c r="F3149" s="5"/>
      <c r="G3149" s="121" t="s">
        <v>15</v>
      </c>
      <c r="H3149" s="122"/>
      <c r="I3149" s="123"/>
      <c r="J3149" s="121"/>
      <c r="K3149" s="123"/>
      <c r="L3149" s="5"/>
    </row>
    <row r="3150" spans="1:12" x14ac:dyDescent="0.25">
      <c r="A3150" s="94" t="s">
        <v>512</v>
      </c>
      <c r="B3150" s="46" t="s">
        <v>513</v>
      </c>
      <c r="C3150" s="47"/>
      <c r="D3150" s="56">
        <v>670.66899999999998</v>
      </c>
      <c r="E3150" s="57">
        <v>13185.35</v>
      </c>
      <c r="F3150" s="44">
        <f>E3150/D3150</f>
        <v>19.659996212736836</v>
      </c>
      <c r="G3150" s="125" t="s">
        <v>69</v>
      </c>
      <c r="H3150" s="126"/>
      <c r="I3150" s="127"/>
      <c r="J3150" s="128"/>
      <c r="K3150" s="129"/>
      <c r="L3150" s="5"/>
    </row>
    <row r="3151" spans="1:12" x14ac:dyDescent="0.25">
      <c r="A3151" s="94" t="s">
        <v>514</v>
      </c>
      <c r="B3151" s="46" t="s">
        <v>305</v>
      </c>
      <c r="C3151" s="47"/>
      <c r="D3151" s="56">
        <v>200</v>
      </c>
      <c r="E3151" s="57">
        <v>4250</v>
      </c>
      <c r="F3151" s="44">
        <f>E3151/D3151</f>
        <v>21.25</v>
      </c>
      <c r="G3151" s="110" t="s">
        <v>59</v>
      </c>
      <c r="H3151" s="111"/>
      <c r="I3151" s="112"/>
      <c r="J3151" s="113"/>
      <c r="K3151" s="114"/>
      <c r="L3151" s="5"/>
    </row>
    <row r="3152" spans="1:12" x14ac:dyDescent="0.25">
      <c r="A3152" s="94" t="s">
        <v>515</v>
      </c>
      <c r="B3152" s="46" t="s">
        <v>516</v>
      </c>
      <c r="C3152" s="47"/>
      <c r="D3152" s="56">
        <v>680.92</v>
      </c>
      <c r="E3152" s="57">
        <v>12379.13</v>
      </c>
      <c r="F3152" s="44">
        <f>E3152/D3152</f>
        <v>18.180006461845739</v>
      </c>
      <c r="G3152" s="110" t="s">
        <v>61</v>
      </c>
      <c r="H3152" s="111"/>
      <c r="I3152" s="112"/>
      <c r="J3152" s="113"/>
      <c r="K3152" s="114"/>
      <c r="L3152" s="5"/>
    </row>
    <row r="3153" spans="1:12" x14ac:dyDescent="0.25">
      <c r="A3153" s="94"/>
      <c r="B3153" s="46"/>
      <c r="C3153" s="47"/>
      <c r="D3153" s="56"/>
      <c r="E3153" s="57"/>
      <c r="F3153" s="44"/>
      <c r="G3153" s="110" t="s">
        <v>51</v>
      </c>
      <c r="H3153" s="111"/>
      <c r="I3153" s="112"/>
      <c r="J3153" s="113"/>
      <c r="K3153" s="114"/>
      <c r="L3153" s="5"/>
    </row>
    <row r="3154" spans="1:12" x14ac:dyDescent="0.25">
      <c r="A3154" s="48"/>
      <c r="B3154" s="46"/>
      <c r="C3154" s="39"/>
      <c r="D3154" s="52"/>
      <c r="E3154" s="53"/>
      <c r="F3154" s="44"/>
      <c r="G3154" s="110" t="s">
        <v>58</v>
      </c>
      <c r="H3154" s="111"/>
      <c r="I3154" s="112"/>
      <c r="J3154" s="113"/>
      <c r="K3154" s="114"/>
      <c r="L3154" s="5"/>
    </row>
    <row r="3155" spans="1:12" x14ac:dyDescent="0.25">
      <c r="A3155" s="48"/>
      <c r="B3155" s="35"/>
      <c r="C3155" s="39"/>
      <c r="D3155" s="52"/>
      <c r="E3155" s="53"/>
      <c r="F3155" s="44"/>
      <c r="G3155" s="110" t="s">
        <v>51</v>
      </c>
      <c r="H3155" s="111"/>
      <c r="I3155" s="112"/>
      <c r="J3155" s="113"/>
      <c r="K3155" s="114"/>
      <c r="L3155" s="5"/>
    </row>
    <row r="3156" spans="1:12" x14ac:dyDescent="0.25">
      <c r="A3156" s="48"/>
      <c r="B3156" s="35"/>
      <c r="C3156" s="39"/>
      <c r="D3156" s="52"/>
      <c r="E3156" s="53"/>
      <c r="F3156" s="44"/>
      <c r="G3156" s="77"/>
      <c r="H3156" s="78" t="s">
        <v>69</v>
      </c>
      <c r="I3156" s="79"/>
      <c r="J3156" s="113"/>
      <c r="K3156" s="114"/>
      <c r="L3156" s="5"/>
    </row>
    <row r="3157" spans="1:12" x14ac:dyDescent="0.25">
      <c r="A3157" s="38"/>
      <c r="B3157" s="35"/>
      <c r="C3157" s="39"/>
      <c r="D3157" s="52"/>
      <c r="E3157" s="53"/>
      <c r="F3157" s="44"/>
      <c r="G3157" s="77"/>
      <c r="H3157" s="78" t="s">
        <v>72</v>
      </c>
      <c r="I3157" s="79"/>
      <c r="J3157" s="113"/>
      <c r="K3157" s="114"/>
      <c r="L3157" s="5"/>
    </row>
    <row r="3158" spans="1:12" ht="15.75" thickBot="1" x14ac:dyDescent="0.3">
      <c r="A3158" s="5"/>
      <c r="B3158" s="5"/>
      <c r="C3158" s="7" t="s">
        <v>35</v>
      </c>
      <c r="D3158" s="17">
        <f>SUM(D3150:D3157)</f>
        <v>1551.5889999999999</v>
      </c>
      <c r="E3158" s="17">
        <f>SUM(E3150:E3157)</f>
        <v>29814.479999999996</v>
      </c>
      <c r="F3158" s="89">
        <f>AVERAGE(F3150:F3154)</f>
        <v>19.696667558194193</v>
      </c>
      <c r="G3158" s="110" t="s">
        <v>73</v>
      </c>
      <c r="H3158" s="111"/>
      <c r="I3158" s="112"/>
      <c r="J3158" s="113"/>
      <c r="K3158" s="114"/>
      <c r="L3158" s="7" t="s">
        <v>36</v>
      </c>
    </row>
    <row r="3159" spans="1:12" ht="15.75" thickBot="1" x14ac:dyDescent="0.3">
      <c r="A3159" s="5"/>
      <c r="B3159" s="5"/>
      <c r="C3159" s="5"/>
      <c r="D3159" s="5"/>
      <c r="E3159" s="5"/>
      <c r="F3159" s="5"/>
      <c r="G3159" s="130"/>
      <c r="H3159" s="131"/>
      <c r="I3159" s="132"/>
      <c r="J3159" s="133"/>
      <c r="K3159" s="134"/>
      <c r="L3159" s="18">
        <f>J3150+J3151+J3152+J3153+J3154+J3155+J3156+J3157+J3158</f>
        <v>0</v>
      </c>
    </row>
    <row r="3160" spans="1:12" ht="15.75" thickBot="1" x14ac:dyDescent="0.3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</row>
    <row r="3161" spans="1:12" ht="15.75" thickBot="1" x14ac:dyDescent="0.3">
      <c r="A3161" s="19"/>
      <c r="B3161" s="20"/>
      <c r="C3161" s="20"/>
      <c r="D3161" s="20"/>
      <c r="E3161" s="21" t="s">
        <v>13</v>
      </c>
      <c r="F3161" s="5"/>
      <c r="G3161" s="19"/>
      <c r="H3161" s="20"/>
      <c r="I3161" s="20"/>
      <c r="J3161" s="20"/>
      <c r="K3161" s="21" t="s">
        <v>13</v>
      </c>
      <c r="L3161" s="5"/>
    </row>
    <row r="3162" spans="1:12" x14ac:dyDescent="0.25">
      <c r="A3162" s="22" t="s">
        <v>31</v>
      </c>
      <c r="B3162" s="115">
        <v>19091</v>
      </c>
      <c r="C3162" s="116"/>
      <c r="D3162" s="116"/>
      <c r="E3162" s="117"/>
      <c r="F3162" s="5"/>
      <c r="G3162" s="22" t="s">
        <v>32</v>
      </c>
      <c r="H3162" s="115">
        <v>43168</v>
      </c>
      <c r="I3162" s="116"/>
      <c r="J3162" s="116"/>
      <c r="K3162" s="117"/>
      <c r="L3162" s="5"/>
    </row>
    <row r="3163" spans="1:12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</row>
    <row r="3164" spans="1:12" x14ac:dyDescent="0.25">
      <c r="A3164" s="7" t="s">
        <v>16</v>
      </c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</row>
    <row r="3165" spans="1:12" x14ac:dyDescent="0.25">
      <c r="A3165" s="9" t="s">
        <v>17</v>
      </c>
      <c r="B3165" s="23">
        <f>L3142-C3137</f>
        <v>3047</v>
      </c>
      <c r="C3165" s="5"/>
      <c r="D3165" s="106" t="s">
        <v>18</v>
      </c>
      <c r="E3165" s="107"/>
      <c r="F3165" s="24" t="s">
        <v>19</v>
      </c>
      <c r="G3165" s="9" t="s">
        <v>20</v>
      </c>
      <c r="H3165" s="118">
        <f>B3162+H3162</f>
        <v>62259</v>
      </c>
      <c r="I3165" s="119"/>
      <c r="J3165" s="60"/>
      <c r="K3165" s="5"/>
      <c r="L3165" s="5"/>
    </row>
    <row r="3166" spans="1:12" x14ac:dyDescent="0.25">
      <c r="A3166" s="9" t="s">
        <v>41</v>
      </c>
      <c r="B3166" s="40">
        <f>B3165/D3158</f>
        <v>1.9637932467940931</v>
      </c>
      <c r="C3166" s="5"/>
      <c r="D3166" s="102">
        <f>E3158</f>
        <v>29814.479999999996</v>
      </c>
      <c r="E3166" s="103"/>
      <c r="F3166" s="25">
        <f>H3166/B3165</f>
        <v>10.745874630784376</v>
      </c>
      <c r="G3166" s="9" t="s">
        <v>21</v>
      </c>
      <c r="H3166" s="104">
        <f>L3159+D3166+D3168+D3170+D3172+A3169</f>
        <v>32742.679999999997</v>
      </c>
      <c r="I3166" s="105"/>
      <c r="J3166" s="5"/>
      <c r="K3166" s="5"/>
      <c r="L3166" s="5"/>
    </row>
    <row r="3167" spans="1:12" x14ac:dyDescent="0.25">
      <c r="A3167" s="9" t="s">
        <v>43</v>
      </c>
      <c r="B3167" s="23">
        <f>D3158/B3165*100</f>
        <v>50.921857564817849</v>
      </c>
      <c r="C3167" s="5"/>
      <c r="D3167" s="106" t="s">
        <v>33</v>
      </c>
      <c r="E3167" s="107"/>
      <c r="F3167" s="5"/>
      <c r="G3167" s="13" t="s">
        <v>22</v>
      </c>
      <c r="H3167" s="6"/>
      <c r="I3167" s="26">
        <f>H3165-H3166</f>
        <v>29516.320000000003</v>
      </c>
      <c r="J3167" s="5"/>
      <c r="K3167" s="5"/>
      <c r="L3167" s="5"/>
    </row>
    <row r="3168" spans="1:12" x14ac:dyDescent="0.25">
      <c r="A3168" s="106" t="s">
        <v>40</v>
      </c>
      <c r="B3168" s="107"/>
      <c r="C3168" s="5"/>
      <c r="D3168" s="149">
        <v>1100</v>
      </c>
      <c r="E3168" s="150"/>
      <c r="F3168" s="5"/>
      <c r="G3168" s="5"/>
      <c r="H3168" s="5"/>
      <c r="I3168" s="5"/>
      <c r="J3168" s="5"/>
      <c r="K3168" s="5"/>
      <c r="L3168" s="5"/>
    </row>
    <row r="3169" spans="1:12" x14ac:dyDescent="0.25">
      <c r="A3169" s="155">
        <f>B3165*0.6</f>
        <v>1828.2</v>
      </c>
      <c r="B3169" s="156"/>
      <c r="C3169" s="5"/>
      <c r="D3169" s="106" t="s">
        <v>34</v>
      </c>
      <c r="E3169" s="107"/>
      <c r="F3169" s="5"/>
      <c r="G3169" s="145" t="s">
        <v>292</v>
      </c>
      <c r="H3169" s="146"/>
      <c r="I3169" s="23">
        <f>B3165/2.3</f>
        <v>1324.7826086956522</v>
      </c>
      <c r="J3169" s="60"/>
      <c r="K3169" s="5"/>
      <c r="L3169" s="5"/>
    </row>
    <row r="3170" spans="1:12" x14ac:dyDescent="0.25">
      <c r="A3170" s="5"/>
      <c r="B3170" s="5"/>
      <c r="C3170" s="5"/>
      <c r="D3170" s="108">
        <v>0</v>
      </c>
      <c r="E3170" s="109"/>
      <c r="F3170" s="5"/>
      <c r="G3170" s="145" t="s">
        <v>294</v>
      </c>
      <c r="H3170" s="146"/>
      <c r="I3170" s="23">
        <f>I3169-D3158</f>
        <v>-226.8063913043477</v>
      </c>
      <c r="J3170" s="5"/>
      <c r="K3170" s="5"/>
      <c r="L3170" s="5"/>
    </row>
    <row r="3171" spans="1:12" x14ac:dyDescent="0.25">
      <c r="A3171" s="5"/>
      <c r="B3171" s="5"/>
      <c r="C3171" s="5"/>
      <c r="D3171" s="106" t="s">
        <v>37</v>
      </c>
      <c r="E3171" s="107"/>
      <c r="F3171" s="5"/>
      <c r="G3171" s="147" t="s">
        <v>295</v>
      </c>
      <c r="H3171" s="148"/>
      <c r="I3171" s="86">
        <f>I3170*F3158</f>
        <v>-4467.3300895954426</v>
      </c>
      <c r="J3171" s="87">
        <f>I3167-I3171</f>
        <v>33983.650089595445</v>
      </c>
      <c r="K3171" s="5"/>
      <c r="L3171" s="5"/>
    </row>
    <row r="3172" spans="1:12" x14ac:dyDescent="0.25">
      <c r="A3172" s="5"/>
      <c r="B3172" s="5"/>
      <c r="C3172" s="5"/>
      <c r="D3172" s="108">
        <v>0</v>
      </c>
      <c r="E3172" s="109"/>
      <c r="F3172" s="5" t="s">
        <v>78</v>
      </c>
      <c r="G3172" s="5"/>
      <c r="H3172" s="5"/>
      <c r="I3172" s="5"/>
      <c r="J3172" s="88" t="s">
        <v>293</v>
      </c>
      <c r="K3172" s="44"/>
      <c r="L3172" s="5"/>
    </row>
    <row r="3174" spans="1:12" s="49" customFormat="1" x14ac:dyDescent="0.25"/>
    <row r="3177" spans="1:12" x14ac:dyDescent="0.25">
      <c r="A3177" s="120" t="s">
        <v>24</v>
      </c>
      <c r="B3177" s="120"/>
      <c r="C3177" s="120"/>
      <c r="D3177" s="120"/>
      <c r="E3177" s="120"/>
      <c r="F3177" s="120"/>
      <c r="G3177" s="120"/>
      <c r="H3177" s="120"/>
      <c r="I3177" s="120"/>
      <c r="J3177" s="120"/>
      <c r="K3177" s="120"/>
      <c r="L3177" s="120"/>
    </row>
    <row r="3178" spans="1:12" x14ac:dyDescent="0.25">
      <c r="A3178" s="120"/>
      <c r="B3178" s="120"/>
      <c r="C3178" s="120"/>
      <c r="D3178" s="120"/>
      <c r="E3178" s="120"/>
      <c r="F3178" s="120"/>
      <c r="G3178" s="120"/>
      <c r="H3178" s="120"/>
      <c r="I3178" s="120"/>
      <c r="J3178" s="120"/>
      <c r="K3178" s="120"/>
      <c r="L3178" s="120"/>
    </row>
    <row r="3179" spans="1:12" x14ac:dyDescent="0.25">
      <c r="A3179" s="1" t="s">
        <v>4</v>
      </c>
      <c r="B3179" s="2"/>
      <c r="C3179" s="90"/>
      <c r="D3179" s="2"/>
      <c r="E3179" s="2"/>
      <c r="F3179" s="2"/>
      <c r="G3179" s="3" t="s">
        <v>5</v>
      </c>
      <c r="H3179" s="3" t="s">
        <v>6</v>
      </c>
      <c r="I3179" s="4" t="s">
        <v>7</v>
      </c>
      <c r="J3179" s="5"/>
      <c r="K3179" s="5"/>
      <c r="L3179" s="5"/>
    </row>
    <row r="3180" spans="1:12" x14ac:dyDescent="0.25">
      <c r="A3180" s="91" t="s">
        <v>341</v>
      </c>
      <c r="B3180" s="92" t="s">
        <v>42</v>
      </c>
      <c r="C3180" s="64"/>
      <c r="D3180" s="66"/>
      <c r="E3180" s="2"/>
      <c r="F3180" s="2"/>
      <c r="G3180" s="91" t="s">
        <v>299</v>
      </c>
      <c r="H3180" s="66"/>
      <c r="I3180" s="33"/>
      <c r="J3180" s="6"/>
      <c r="K3180" s="33"/>
      <c r="L3180" s="6"/>
    </row>
    <row r="3181" spans="1:12" x14ac:dyDescent="0.25">
      <c r="A3181" s="7" t="s">
        <v>2</v>
      </c>
      <c r="B3181" s="5"/>
      <c r="C3181" s="5"/>
      <c r="D3181" s="5"/>
      <c r="E3181" s="5"/>
      <c r="F3181" s="5"/>
      <c r="G3181" s="8" t="s">
        <v>8</v>
      </c>
      <c r="H3181" s="93">
        <v>3</v>
      </c>
      <c r="I3181" s="5"/>
      <c r="J3181" s="5"/>
      <c r="K3181" s="5"/>
      <c r="L3181" s="5"/>
    </row>
    <row r="3182" spans="1:12" x14ac:dyDescent="0.25">
      <c r="A3182" s="7" t="s">
        <v>25</v>
      </c>
      <c r="B3182" s="5"/>
      <c r="C3182" s="7" t="s">
        <v>0</v>
      </c>
      <c r="D3182" s="5"/>
      <c r="E3182" s="5"/>
      <c r="F3182" s="5"/>
      <c r="G3182" s="7" t="s">
        <v>25</v>
      </c>
      <c r="H3182" s="5"/>
      <c r="I3182" s="7" t="s">
        <v>0</v>
      </c>
      <c r="J3182" s="5"/>
      <c r="K3182" s="5"/>
      <c r="L3182" s="5"/>
    </row>
    <row r="3183" spans="1:12" x14ac:dyDescent="0.25">
      <c r="A3183" s="42" t="s">
        <v>515</v>
      </c>
      <c r="B3183" s="6"/>
      <c r="C3183" s="31">
        <f>L3142</f>
        <v>1022232</v>
      </c>
      <c r="D3183" s="5"/>
      <c r="E3183" s="5"/>
      <c r="F3183" s="5"/>
      <c r="G3183" s="42"/>
      <c r="H3183" s="6"/>
      <c r="I3183" s="9"/>
      <c r="J3183" s="5"/>
      <c r="K3183" s="5"/>
      <c r="L3183" s="5"/>
    </row>
    <row r="3184" spans="1:12" ht="16.5" thickBot="1" x14ac:dyDescent="0.3">
      <c r="A3184" s="7"/>
      <c r="B3184" s="62"/>
      <c r="C3184" s="62"/>
      <c r="D3184" s="62"/>
      <c r="E3184" s="5"/>
      <c r="F3184" s="5"/>
      <c r="G3184" s="10"/>
      <c r="H3184" s="5"/>
      <c r="I3184" s="5"/>
      <c r="J3184" s="5"/>
      <c r="K3184" s="5"/>
      <c r="L3184" s="5"/>
    </row>
    <row r="3185" spans="1:12" ht="15.75" thickBot="1" x14ac:dyDescent="0.3">
      <c r="A3185" s="121" t="s">
        <v>9</v>
      </c>
      <c r="B3185" s="122"/>
      <c r="C3185" s="123"/>
      <c r="D3185" s="5"/>
      <c r="E3185" s="5"/>
      <c r="F3185" s="5"/>
      <c r="G3185" s="121" t="s">
        <v>26</v>
      </c>
      <c r="H3185" s="122"/>
      <c r="I3185" s="123"/>
      <c r="J3185" s="5"/>
      <c r="K3185" s="5"/>
      <c r="L3185" s="5"/>
    </row>
    <row r="3186" spans="1:12" x14ac:dyDescent="0.25">
      <c r="A3186" s="30" t="s">
        <v>38</v>
      </c>
      <c r="B3186" s="11"/>
      <c r="C3186" s="11"/>
      <c r="D3186" s="11"/>
      <c r="E3186" s="6"/>
      <c r="F3186" s="5"/>
      <c r="G3186" s="30" t="str">
        <f>A3189</f>
        <v>Cape Town</v>
      </c>
      <c r="H3186" s="11"/>
      <c r="I3186" s="11"/>
      <c r="J3186" s="11"/>
      <c r="K3186" s="11"/>
      <c r="L3186" s="6"/>
    </row>
    <row r="3187" spans="1:12" ht="15.75" thickBot="1" x14ac:dyDescent="0.3">
      <c r="A3187" s="7"/>
      <c r="B3187" s="7"/>
      <c r="C3187" s="7"/>
      <c r="D3187" s="5"/>
      <c r="E3187" s="5"/>
      <c r="F3187" s="5"/>
      <c r="G3187" s="7" t="str">
        <f>A3189</f>
        <v>Cape Town</v>
      </c>
      <c r="H3187" s="7"/>
      <c r="I3187" s="7"/>
      <c r="J3187" s="5"/>
      <c r="K3187" s="5"/>
      <c r="L3187" s="5"/>
    </row>
    <row r="3188" spans="1:12" ht="15.75" thickBot="1" x14ac:dyDescent="0.3">
      <c r="A3188" s="121"/>
      <c r="B3188" s="122"/>
      <c r="C3188" s="124"/>
      <c r="D3188" s="12" t="s">
        <v>1</v>
      </c>
      <c r="E3188" s="32"/>
      <c r="F3188" s="5"/>
      <c r="G3188" s="121" t="s">
        <v>27</v>
      </c>
      <c r="H3188" s="122"/>
      <c r="I3188" s="123"/>
      <c r="J3188" s="5"/>
      <c r="K3188" s="12" t="s">
        <v>1</v>
      </c>
      <c r="L3188" s="32">
        <v>1025303</v>
      </c>
    </row>
    <row r="3189" spans="1:12" x14ac:dyDescent="0.25">
      <c r="A3189" s="30" t="s">
        <v>65</v>
      </c>
      <c r="B3189" s="11"/>
      <c r="C3189" s="11"/>
      <c r="D3189" s="11"/>
      <c r="E3189" s="6"/>
      <c r="F3189" s="5"/>
      <c r="G3189" s="30" t="s">
        <v>364</v>
      </c>
      <c r="H3189" s="11"/>
      <c r="I3189" s="11"/>
      <c r="J3189" s="11"/>
      <c r="K3189" s="11"/>
      <c r="L3189" s="6"/>
    </row>
    <row r="3190" spans="1:12" x14ac:dyDescent="0.25">
      <c r="A3190" s="76" t="s">
        <v>517</v>
      </c>
      <c r="B3190" s="11"/>
      <c r="C3190" s="11"/>
      <c r="D3190" s="11"/>
      <c r="E3190" s="6"/>
      <c r="F3190" s="5"/>
      <c r="G3190" s="34"/>
      <c r="H3190" s="11"/>
      <c r="I3190" s="11"/>
      <c r="J3190" s="11"/>
      <c r="K3190" s="11"/>
      <c r="L3190" s="6"/>
    </row>
    <row r="3191" spans="1:12" x14ac:dyDescent="0.25">
      <c r="A3191" s="13"/>
      <c r="B3191" s="11"/>
      <c r="C3191" s="11"/>
      <c r="D3191" s="11"/>
      <c r="E3191" s="6"/>
      <c r="F3191" s="5"/>
      <c r="G3191" s="13"/>
      <c r="H3191" s="11"/>
      <c r="I3191" s="11"/>
      <c r="J3191" s="11"/>
      <c r="K3191" s="11"/>
      <c r="L3191" s="6"/>
    </row>
    <row r="3192" spans="1:12" x14ac:dyDescent="0.25">
      <c r="A3192" s="13"/>
      <c r="B3192" s="11"/>
      <c r="C3192" s="11"/>
      <c r="D3192" s="11"/>
      <c r="E3192" s="6"/>
      <c r="F3192" s="5"/>
      <c r="G3192" s="13"/>
      <c r="H3192" s="11"/>
      <c r="I3192" s="11"/>
      <c r="J3192" s="11"/>
      <c r="K3192" s="11"/>
      <c r="L3192" s="6"/>
    </row>
    <row r="3193" spans="1:12" ht="15.75" thickBot="1" x14ac:dyDescent="0.3">
      <c r="A3193" s="13"/>
      <c r="B3193" s="11"/>
      <c r="C3193" s="11" t="s">
        <v>29</v>
      </c>
      <c r="D3193" s="43"/>
      <c r="E3193" s="6"/>
      <c r="F3193" s="5"/>
      <c r="G3193" s="13"/>
      <c r="H3193" s="11"/>
      <c r="I3193" s="14" t="s">
        <v>28</v>
      </c>
      <c r="J3193" s="43"/>
      <c r="K3193" s="59"/>
      <c r="L3193" s="6"/>
    </row>
    <row r="3194" spans="1:12" ht="15.75" thickBot="1" x14ac:dyDescent="0.3">
      <c r="A3194" s="15" t="s">
        <v>10</v>
      </c>
      <c r="B3194" s="5"/>
      <c r="C3194" s="5"/>
      <c r="D3194" s="5"/>
      <c r="E3194" s="5"/>
      <c r="F3194" s="5"/>
      <c r="G3194" s="15" t="s">
        <v>14</v>
      </c>
      <c r="H3194" s="5"/>
      <c r="I3194" s="5"/>
      <c r="J3194" s="5"/>
      <c r="K3194" s="5"/>
      <c r="L3194" s="5"/>
    </row>
    <row r="3195" spans="1:12" ht="15.75" thickBot="1" x14ac:dyDescent="0.3">
      <c r="A3195" s="121" t="s">
        <v>11</v>
      </c>
      <c r="B3195" s="122"/>
      <c r="C3195" s="123"/>
      <c r="D3195" s="16" t="s">
        <v>12</v>
      </c>
      <c r="E3195" s="16" t="s">
        <v>13</v>
      </c>
      <c r="F3195" s="5"/>
      <c r="G3195" s="121" t="s">
        <v>15</v>
      </c>
      <c r="H3195" s="122"/>
      <c r="I3195" s="123"/>
      <c r="J3195" s="121"/>
      <c r="K3195" s="123"/>
      <c r="L3195" s="5"/>
    </row>
    <row r="3196" spans="1:12" x14ac:dyDescent="0.25">
      <c r="A3196" s="94">
        <v>45724</v>
      </c>
      <c r="B3196" s="46" t="s">
        <v>66</v>
      </c>
      <c r="C3196" s="47"/>
      <c r="D3196" s="56">
        <v>300.52600000000001</v>
      </c>
      <c r="E3196" s="57">
        <v>6316.95</v>
      </c>
      <c r="F3196" s="44">
        <f>E3196/D3196</f>
        <v>21.019645554793925</v>
      </c>
      <c r="G3196" s="125" t="s">
        <v>69</v>
      </c>
      <c r="H3196" s="126"/>
      <c r="I3196" s="127"/>
      <c r="J3196" s="128"/>
      <c r="K3196" s="129"/>
      <c r="L3196" s="5"/>
    </row>
    <row r="3197" spans="1:12" x14ac:dyDescent="0.25">
      <c r="A3197" s="94">
        <v>45755</v>
      </c>
      <c r="B3197" s="46" t="s">
        <v>518</v>
      </c>
      <c r="C3197" s="47"/>
      <c r="D3197" s="56">
        <v>200</v>
      </c>
      <c r="E3197" s="57">
        <v>4428</v>
      </c>
      <c r="F3197" s="44">
        <f>E3197/D3197</f>
        <v>22.14</v>
      </c>
      <c r="G3197" s="110" t="s">
        <v>59</v>
      </c>
      <c r="H3197" s="111"/>
      <c r="I3197" s="112"/>
      <c r="J3197" s="113"/>
      <c r="K3197" s="114"/>
      <c r="L3197" s="5"/>
    </row>
    <row r="3198" spans="1:12" x14ac:dyDescent="0.25">
      <c r="A3198" s="94">
        <v>45785</v>
      </c>
      <c r="B3198" s="46" t="s">
        <v>66</v>
      </c>
      <c r="C3198" s="47"/>
      <c r="D3198" s="56">
        <v>635.17999999999995</v>
      </c>
      <c r="E3198" s="57">
        <v>11941.38</v>
      </c>
      <c r="F3198" s="44">
        <f>E3198/D3198</f>
        <v>18.7999937025725</v>
      </c>
      <c r="G3198" s="110" t="s">
        <v>61</v>
      </c>
      <c r="H3198" s="111"/>
      <c r="I3198" s="112"/>
      <c r="J3198" s="113"/>
      <c r="K3198" s="114"/>
      <c r="L3198" s="5"/>
    </row>
    <row r="3199" spans="1:12" x14ac:dyDescent="0.25">
      <c r="A3199" s="94">
        <v>45816</v>
      </c>
      <c r="B3199" s="46" t="s">
        <v>47</v>
      </c>
      <c r="C3199" s="47"/>
      <c r="D3199" s="56">
        <v>418.04</v>
      </c>
      <c r="E3199" s="57">
        <v>7599.97</v>
      </c>
      <c r="F3199" s="44">
        <f>E3199/D3199</f>
        <v>18.180006697923645</v>
      </c>
      <c r="G3199" s="110" t="s">
        <v>51</v>
      </c>
      <c r="H3199" s="111"/>
      <c r="I3199" s="112"/>
      <c r="J3199" s="113"/>
      <c r="K3199" s="114"/>
      <c r="L3199" s="5"/>
    </row>
    <row r="3200" spans="1:12" x14ac:dyDescent="0.25">
      <c r="A3200" s="48"/>
      <c r="B3200" s="46"/>
      <c r="C3200" s="39"/>
      <c r="D3200" s="52"/>
      <c r="E3200" s="53"/>
      <c r="F3200" s="44"/>
      <c r="G3200" s="110" t="s">
        <v>58</v>
      </c>
      <c r="H3200" s="111"/>
      <c r="I3200" s="112"/>
      <c r="J3200" s="113"/>
      <c r="K3200" s="114"/>
      <c r="L3200" s="5"/>
    </row>
    <row r="3201" spans="1:12" x14ac:dyDescent="0.25">
      <c r="A3201" s="48"/>
      <c r="B3201" s="35"/>
      <c r="C3201" s="39"/>
      <c r="D3201" s="52"/>
      <c r="E3201" s="53"/>
      <c r="F3201" s="44"/>
      <c r="G3201" s="110" t="s">
        <v>51</v>
      </c>
      <c r="H3201" s="111"/>
      <c r="I3201" s="112"/>
      <c r="J3201" s="113"/>
      <c r="K3201" s="114"/>
      <c r="L3201" s="5"/>
    </row>
    <row r="3202" spans="1:12" x14ac:dyDescent="0.25">
      <c r="A3202" s="48"/>
      <c r="B3202" s="35"/>
      <c r="C3202" s="39"/>
      <c r="D3202" s="52"/>
      <c r="E3202" s="53"/>
      <c r="F3202" s="44"/>
      <c r="G3202" s="77"/>
      <c r="H3202" s="78" t="s">
        <v>69</v>
      </c>
      <c r="I3202" s="79"/>
      <c r="J3202" s="113"/>
      <c r="K3202" s="114"/>
      <c r="L3202" s="5"/>
    </row>
    <row r="3203" spans="1:12" x14ac:dyDescent="0.25">
      <c r="A3203" s="38"/>
      <c r="B3203" s="35"/>
      <c r="C3203" s="39"/>
      <c r="D3203" s="52"/>
      <c r="E3203" s="53"/>
      <c r="F3203" s="44"/>
      <c r="G3203" s="77"/>
      <c r="H3203" s="78" t="s">
        <v>72</v>
      </c>
      <c r="I3203" s="79"/>
      <c r="J3203" s="113"/>
      <c r="K3203" s="114"/>
      <c r="L3203" s="5"/>
    </row>
    <row r="3204" spans="1:12" ht="15.75" thickBot="1" x14ac:dyDescent="0.3">
      <c r="A3204" s="5"/>
      <c r="B3204" s="5"/>
      <c r="C3204" s="7" t="s">
        <v>35</v>
      </c>
      <c r="D3204" s="17">
        <f>SUM(D3196:D3203)</f>
        <v>1553.7459999999999</v>
      </c>
      <c r="E3204" s="17">
        <f>SUM(E3196:E3203)</f>
        <v>30286.300000000003</v>
      </c>
      <c r="F3204" s="89">
        <f>AVERAGE(F3196:F3200)</f>
        <v>20.034911488822516</v>
      </c>
      <c r="G3204" s="110" t="s">
        <v>73</v>
      </c>
      <c r="H3204" s="111"/>
      <c r="I3204" s="112"/>
      <c r="J3204" s="113"/>
      <c r="K3204" s="114"/>
      <c r="L3204" s="7" t="s">
        <v>36</v>
      </c>
    </row>
    <row r="3205" spans="1:12" ht="15.75" thickBot="1" x14ac:dyDescent="0.3">
      <c r="A3205" s="5"/>
      <c r="B3205" s="5"/>
      <c r="C3205" s="5"/>
      <c r="D3205" s="5"/>
      <c r="E3205" s="5"/>
      <c r="F3205" s="5"/>
      <c r="G3205" s="130"/>
      <c r="H3205" s="131"/>
      <c r="I3205" s="132"/>
      <c r="J3205" s="133"/>
      <c r="K3205" s="134"/>
      <c r="L3205" s="18">
        <f>J3196+J3197+J3198+J3199+J3200+J3201+J3202+J3203+J3204</f>
        <v>0</v>
      </c>
    </row>
    <row r="3206" spans="1:12" ht="15.75" thickBot="1" x14ac:dyDescent="0.3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</row>
    <row r="3207" spans="1:12" ht="15.75" thickBot="1" x14ac:dyDescent="0.3">
      <c r="A3207" s="19"/>
      <c r="B3207" s="20"/>
      <c r="C3207" s="20"/>
      <c r="D3207" s="20"/>
      <c r="E3207" s="21" t="s">
        <v>13</v>
      </c>
      <c r="F3207" s="5"/>
      <c r="G3207" s="19"/>
      <c r="H3207" s="20"/>
      <c r="I3207" s="20"/>
      <c r="J3207" s="20"/>
      <c r="K3207" s="21" t="s">
        <v>13</v>
      </c>
      <c r="L3207" s="5"/>
    </row>
    <row r="3208" spans="1:12" x14ac:dyDescent="0.25">
      <c r="A3208" s="22" t="s">
        <v>31</v>
      </c>
      <c r="B3208" s="115">
        <v>19091</v>
      </c>
      <c r="C3208" s="116"/>
      <c r="D3208" s="116"/>
      <c r="E3208" s="117"/>
      <c r="F3208" s="5"/>
      <c r="G3208" s="22" t="s">
        <v>32</v>
      </c>
      <c r="H3208" s="115">
        <v>43168</v>
      </c>
      <c r="I3208" s="116"/>
      <c r="J3208" s="116"/>
      <c r="K3208" s="117"/>
      <c r="L3208" s="5"/>
    </row>
    <row r="3209" spans="1:12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</row>
    <row r="3210" spans="1:12" x14ac:dyDescent="0.25">
      <c r="A3210" s="7" t="s">
        <v>16</v>
      </c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</row>
    <row r="3211" spans="1:12" x14ac:dyDescent="0.25">
      <c r="A3211" s="9" t="s">
        <v>17</v>
      </c>
      <c r="B3211" s="23">
        <f>L3188-C3183</f>
        <v>3071</v>
      </c>
      <c r="C3211" s="5"/>
      <c r="D3211" s="106" t="s">
        <v>18</v>
      </c>
      <c r="E3211" s="107"/>
      <c r="F3211" s="24" t="s">
        <v>19</v>
      </c>
      <c r="G3211" s="9" t="s">
        <v>20</v>
      </c>
      <c r="H3211" s="118">
        <f>B3208+H3208</f>
        <v>62259</v>
      </c>
      <c r="I3211" s="119"/>
      <c r="J3211" s="60"/>
      <c r="K3211" s="5"/>
      <c r="L3211" s="5"/>
    </row>
    <row r="3212" spans="1:12" x14ac:dyDescent="0.25">
      <c r="A3212" s="9" t="s">
        <v>41</v>
      </c>
      <c r="B3212" s="40">
        <f>B3211/D3204</f>
        <v>1.9765135356744283</v>
      </c>
      <c r="C3212" s="5"/>
      <c r="D3212" s="102">
        <f>E3204</f>
        <v>30286.300000000003</v>
      </c>
      <c r="E3212" s="103"/>
      <c r="F3212" s="25">
        <f>H3212/B3211</f>
        <v>10.820221426245523</v>
      </c>
      <c r="G3212" s="9" t="s">
        <v>21</v>
      </c>
      <c r="H3212" s="104">
        <f>L3205+D3212+D3214+D3216+D3218+A3215</f>
        <v>33228.9</v>
      </c>
      <c r="I3212" s="105"/>
      <c r="J3212" s="5"/>
      <c r="K3212" s="5"/>
      <c r="L3212" s="5"/>
    </row>
    <row r="3213" spans="1:12" x14ac:dyDescent="0.25">
      <c r="A3213" s="9" t="s">
        <v>43</v>
      </c>
      <c r="B3213" s="23">
        <f>D3204/B3211*100</f>
        <v>50.594138717030276</v>
      </c>
      <c r="C3213" s="5"/>
      <c r="D3213" s="106" t="s">
        <v>33</v>
      </c>
      <c r="E3213" s="107"/>
      <c r="F3213" s="5"/>
      <c r="G3213" s="13" t="s">
        <v>22</v>
      </c>
      <c r="H3213" s="6"/>
      <c r="I3213" s="26">
        <f>H3211-H3212</f>
        <v>29030.1</v>
      </c>
      <c r="J3213" s="5"/>
      <c r="K3213" s="5"/>
      <c r="L3213" s="5"/>
    </row>
    <row r="3214" spans="1:12" x14ac:dyDescent="0.25">
      <c r="A3214" s="106" t="s">
        <v>40</v>
      </c>
      <c r="B3214" s="107"/>
      <c r="C3214" s="5"/>
      <c r="D3214" s="149">
        <v>1100</v>
      </c>
      <c r="E3214" s="150"/>
      <c r="F3214" s="5"/>
      <c r="G3214" s="5"/>
      <c r="H3214" s="5"/>
      <c r="I3214" s="5"/>
      <c r="J3214" s="5"/>
      <c r="K3214" s="5"/>
      <c r="L3214" s="5"/>
    </row>
    <row r="3215" spans="1:12" x14ac:dyDescent="0.25">
      <c r="A3215" s="153">
        <f>B3211*0.6</f>
        <v>1842.6</v>
      </c>
      <c r="B3215" s="154"/>
      <c r="C3215" s="5"/>
      <c r="D3215" s="106" t="s">
        <v>34</v>
      </c>
      <c r="E3215" s="107"/>
      <c r="F3215" s="5"/>
      <c r="G3215" s="145" t="s">
        <v>292</v>
      </c>
      <c r="H3215" s="146"/>
      <c r="I3215" s="23">
        <f>B3211/2.3</f>
        <v>1335.217391304348</v>
      </c>
      <c r="J3215" s="60"/>
      <c r="K3215" s="5"/>
      <c r="L3215" s="5"/>
    </row>
    <row r="3216" spans="1:12" x14ac:dyDescent="0.25">
      <c r="A3216" s="5"/>
      <c r="B3216" s="5"/>
      <c r="C3216" s="5"/>
      <c r="D3216" s="108">
        <v>0</v>
      </c>
      <c r="E3216" s="109"/>
      <c r="F3216" s="5"/>
      <c r="G3216" s="145" t="s">
        <v>294</v>
      </c>
      <c r="H3216" s="146"/>
      <c r="I3216" s="23">
        <f>I3215-D3204</f>
        <v>-218.52860869565188</v>
      </c>
      <c r="J3216" s="5"/>
      <c r="K3216" s="5"/>
      <c r="L3216" s="5"/>
    </row>
    <row r="3217" spans="1:12" x14ac:dyDescent="0.25">
      <c r="A3217" s="5"/>
      <c r="B3217" s="5"/>
      <c r="C3217" s="5"/>
      <c r="D3217" s="106" t="s">
        <v>37</v>
      </c>
      <c r="E3217" s="107"/>
      <c r="F3217" s="5"/>
      <c r="G3217" s="147" t="s">
        <v>295</v>
      </c>
      <c r="H3217" s="148"/>
      <c r="I3217" s="86">
        <f>I3216*F3204</f>
        <v>-4378.2013329929159</v>
      </c>
      <c r="J3217" s="87">
        <f>I3213-I3217</f>
        <v>33408.301332992916</v>
      </c>
      <c r="K3217" s="5"/>
      <c r="L3217" s="5"/>
    </row>
    <row r="3218" spans="1:12" x14ac:dyDescent="0.25">
      <c r="A3218" s="5"/>
      <c r="B3218" s="5"/>
      <c r="C3218" s="5"/>
      <c r="D3218" s="108">
        <v>0</v>
      </c>
      <c r="E3218" s="109"/>
      <c r="F3218" s="5" t="s">
        <v>78</v>
      </c>
      <c r="G3218" s="5"/>
      <c r="H3218" s="5"/>
      <c r="I3218" s="5"/>
      <c r="J3218" s="88" t="s">
        <v>293</v>
      </c>
      <c r="K3218" s="44"/>
      <c r="L3218" s="5"/>
    </row>
    <row r="3220" spans="1:12" s="49" customFormat="1" x14ac:dyDescent="0.25"/>
    <row r="3223" spans="1:12" x14ac:dyDescent="0.25">
      <c r="A3223" s="120" t="s">
        <v>24</v>
      </c>
      <c r="B3223" s="120"/>
      <c r="C3223" s="120"/>
      <c r="D3223" s="120"/>
      <c r="E3223" s="120"/>
      <c r="F3223" s="120"/>
      <c r="G3223" s="120"/>
      <c r="H3223" s="120"/>
      <c r="I3223" s="120"/>
      <c r="J3223" s="120"/>
      <c r="K3223" s="120"/>
      <c r="L3223" s="120"/>
    </row>
    <row r="3224" spans="1:12" x14ac:dyDescent="0.25">
      <c r="A3224" s="120"/>
      <c r="B3224" s="120"/>
      <c r="C3224" s="120"/>
      <c r="D3224" s="120"/>
      <c r="E3224" s="120"/>
      <c r="F3224" s="120"/>
      <c r="G3224" s="120"/>
      <c r="H3224" s="120"/>
      <c r="I3224" s="120"/>
      <c r="J3224" s="120"/>
      <c r="K3224" s="120"/>
      <c r="L3224" s="120"/>
    </row>
    <row r="3225" spans="1:12" x14ac:dyDescent="0.25">
      <c r="A3225" s="1" t="s">
        <v>4</v>
      </c>
      <c r="B3225" s="2"/>
      <c r="C3225" s="90"/>
      <c r="D3225" s="2"/>
      <c r="E3225" s="2"/>
      <c r="F3225" s="2"/>
      <c r="G3225" s="3" t="s">
        <v>5</v>
      </c>
      <c r="H3225" s="3" t="s">
        <v>6</v>
      </c>
      <c r="I3225" s="4" t="s">
        <v>7</v>
      </c>
      <c r="J3225" s="5"/>
      <c r="K3225" s="5"/>
      <c r="L3225" s="5"/>
    </row>
    <row r="3226" spans="1:12" x14ac:dyDescent="0.25">
      <c r="A3226" s="91" t="s">
        <v>341</v>
      </c>
      <c r="B3226" s="92" t="s">
        <v>42</v>
      </c>
      <c r="C3226" s="64"/>
      <c r="D3226" s="66"/>
      <c r="E3226" s="2"/>
      <c r="F3226" s="2"/>
      <c r="G3226" s="91" t="s">
        <v>299</v>
      </c>
      <c r="H3226" s="66"/>
      <c r="I3226" s="33"/>
      <c r="J3226" s="6"/>
      <c r="K3226" s="33"/>
      <c r="L3226" s="6"/>
    </row>
    <row r="3227" spans="1:12" x14ac:dyDescent="0.25">
      <c r="A3227" s="7" t="s">
        <v>2</v>
      </c>
      <c r="B3227" s="5"/>
      <c r="C3227" s="5"/>
      <c r="D3227" s="5"/>
      <c r="E3227" s="5"/>
      <c r="F3227" s="5"/>
      <c r="G3227" s="8" t="s">
        <v>8</v>
      </c>
      <c r="H3227" s="93">
        <v>3</v>
      </c>
      <c r="I3227" s="5"/>
      <c r="J3227" s="5"/>
      <c r="K3227" s="5"/>
      <c r="L3227" s="5"/>
    </row>
    <row r="3228" spans="1:12" x14ac:dyDescent="0.25">
      <c r="A3228" s="7" t="s">
        <v>25</v>
      </c>
      <c r="B3228" s="5"/>
      <c r="C3228" s="7" t="s">
        <v>0</v>
      </c>
      <c r="D3228" s="5"/>
      <c r="E3228" s="5"/>
      <c r="F3228" s="5"/>
      <c r="G3228" s="7" t="s">
        <v>25</v>
      </c>
      <c r="H3228" s="5"/>
      <c r="I3228" s="7" t="s">
        <v>0</v>
      </c>
      <c r="J3228" s="5"/>
      <c r="K3228" s="5"/>
      <c r="L3228" s="5"/>
    </row>
    <row r="3229" spans="1:12" x14ac:dyDescent="0.25">
      <c r="A3229" s="42">
        <v>45816</v>
      </c>
      <c r="B3229" s="6"/>
      <c r="C3229" s="31">
        <f>L3188</f>
        <v>1025303</v>
      </c>
      <c r="D3229" s="5"/>
      <c r="E3229" s="5"/>
      <c r="F3229" s="5"/>
      <c r="G3229" s="42"/>
      <c r="H3229" s="6"/>
      <c r="I3229" s="9"/>
      <c r="J3229" s="5"/>
      <c r="K3229" s="5"/>
      <c r="L3229" s="5"/>
    </row>
    <row r="3230" spans="1:12" ht="16.5" thickBot="1" x14ac:dyDescent="0.3">
      <c r="A3230" s="7"/>
      <c r="B3230" s="62"/>
      <c r="C3230" s="62"/>
      <c r="D3230" s="62"/>
      <c r="E3230" s="5"/>
      <c r="F3230" s="5"/>
      <c r="G3230" s="10"/>
      <c r="H3230" s="5"/>
      <c r="I3230" s="5"/>
      <c r="J3230" s="5"/>
      <c r="K3230" s="5"/>
      <c r="L3230" s="5"/>
    </row>
    <row r="3231" spans="1:12" ht="15.75" thickBot="1" x14ac:dyDescent="0.3">
      <c r="A3231" s="121" t="s">
        <v>9</v>
      </c>
      <c r="B3231" s="122"/>
      <c r="C3231" s="123"/>
      <c r="D3231" s="5"/>
      <c r="E3231" s="5"/>
      <c r="F3231" s="5"/>
      <c r="G3231" s="121" t="s">
        <v>26</v>
      </c>
      <c r="H3231" s="122"/>
      <c r="I3231" s="123"/>
      <c r="J3231" s="5"/>
      <c r="K3231" s="5"/>
      <c r="L3231" s="5"/>
    </row>
    <row r="3232" spans="1:12" x14ac:dyDescent="0.25">
      <c r="A3232" s="30" t="s">
        <v>38</v>
      </c>
      <c r="B3232" s="11"/>
      <c r="C3232" s="11"/>
      <c r="D3232" s="11"/>
      <c r="E3232" s="6"/>
      <c r="F3232" s="5"/>
      <c r="G3232" s="30" t="str">
        <f>A3235</f>
        <v>Cape Town</v>
      </c>
      <c r="H3232" s="11"/>
      <c r="I3232" s="11"/>
      <c r="J3232" s="11"/>
      <c r="K3232" s="11"/>
      <c r="L3232" s="6"/>
    </row>
    <row r="3233" spans="1:12" ht="15.75" thickBot="1" x14ac:dyDescent="0.3">
      <c r="A3233" s="7"/>
      <c r="B3233" s="7"/>
      <c r="C3233" s="7"/>
      <c r="D3233" s="5"/>
      <c r="E3233" s="5"/>
      <c r="F3233" s="5"/>
      <c r="G3233" s="7" t="str">
        <f>A3235</f>
        <v>Cape Town</v>
      </c>
      <c r="H3233" s="7"/>
      <c r="I3233" s="7"/>
      <c r="J3233" s="5"/>
      <c r="K3233" s="5"/>
      <c r="L3233" s="5"/>
    </row>
    <row r="3234" spans="1:12" ht="15.75" thickBot="1" x14ac:dyDescent="0.3">
      <c r="A3234" s="121"/>
      <c r="B3234" s="122"/>
      <c r="C3234" s="124"/>
      <c r="D3234" s="12" t="s">
        <v>1</v>
      </c>
      <c r="E3234" s="32"/>
      <c r="F3234" s="5"/>
      <c r="G3234" s="121" t="s">
        <v>27</v>
      </c>
      <c r="H3234" s="122"/>
      <c r="I3234" s="123"/>
      <c r="J3234" s="5"/>
      <c r="K3234" s="12" t="s">
        <v>1</v>
      </c>
      <c r="L3234" s="32">
        <v>1027535</v>
      </c>
    </row>
    <row r="3235" spans="1:12" x14ac:dyDescent="0.25">
      <c r="A3235" s="30" t="s">
        <v>65</v>
      </c>
      <c r="B3235" s="11"/>
      <c r="C3235" s="11"/>
      <c r="D3235" s="11"/>
      <c r="E3235" s="6"/>
      <c r="F3235" s="5"/>
      <c r="G3235" s="30" t="s">
        <v>364</v>
      </c>
      <c r="H3235" s="11"/>
      <c r="I3235" s="11"/>
      <c r="J3235" s="11"/>
      <c r="K3235" s="11"/>
      <c r="L3235" s="6"/>
    </row>
    <row r="3236" spans="1:12" x14ac:dyDescent="0.25">
      <c r="A3236" s="76" t="s">
        <v>517</v>
      </c>
      <c r="B3236" s="11"/>
      <c r="C3236" s="11"/>
      <c r="D3236" s="11"/>
      <c r="E3236" s="6"/>
      <c r="F3236" s="5"/>
      <c r="G3236" s="34"/>
      <c r="H3236" s="11"/>
      <c r="I3236" s="11"/>
      <c r="J3236" s="11"/>
      <c r="K3236" s="11"/>
      <c r="L3236" s="6"/>
    </row>
    <row r="3237" spans="1:12" x14ac:dyDescent="0.25">
      <c r="A3237" s="13"/>
      <c r="B3237" s="11"/>
      <c r="C3237" s="11"/>
      <c r="D3237" s="11"/>
      <c r="E3237" s="6"/>
      <c r="F3237" s="5"/>
      <c r="G3237" s="13"/>
      <c r="H3237" s="11"/>
      <c r="I3237" s="11"/>
      <c r="J3237" s="11"/>
      <c r="K3237" s="11"/>
      <c r="L3237" s="6"/>
    </row>
    <row r="3238" spans="1:12" x14ac:dyDescent="0.25">
      <c r="A3238" s="13"/>
      <c r="B3238" s="11"/>
      <c r="C3238" s="11"/>
      <c r="D3238" s="11"/>
      <c r="E3238" s="6"/>
      <c r="F3238" s="5"/>
      <c r="G3238" s="13"/>
      <c r="H3238" s="11"/>
      <c r="I3238" s="11"/>
      <c r="J3238" s="11"/>
      <c r="K3238" s="11"/>
      <c r="L3238" s="6"/>
    </row>
    <row r="3239" spans="1:12" ht="15.75" thickBot="1" x14ac:dyDescent="0.3">
      <c r="A3239" s="13"/>
      <c r="B3239" s="11"/>
      <c r="C3239" s="11" t="s">
        <v>29</v>
      </c>
      <c r="D3239" s="43"/>
      <c r="E3239" s="6"/>
      <c r="F3239" s="5"/>
      <c r="G3239" s="13"/>
      <c r="H3239" s="11"/>
      <c r="I3239" s="14" t="s">
        <v>28</v>
      </c>
      <c r="J3239" s="43"/>
      <c r="K3239" s="59"/>
      <c r="L3239" s="6"/>
    </row>
    <row r="3240" spans="1:12" ht="15.75" thickBot="1" x14ac:dyDescent="0.3">
      <c r="A3240" s="15" t="s">
        <v>10</v>
      </c>
      <c r="B3240" s="5"/>
      <c r="C3240" s="5"/>
      <c r="D3240" s="5"/>
      <c r="E3240" s="5"/>
      <c r="F3240" s="5"/>
      <c r="G3240" s="15" t="s">
        <v>14</v>
      </c>
      <c r="H3240" s="5"/>
      <c r="I3240" s="5"/>
      <c r="J3240" s="5"/>
      <c r="K3240" s="5"/>
      <c r="L3240" s="5"/>
    </row>
    <row r="3241" spans="1:12" ht="15.75" thickBot="1" x14ac:dyDescent="0.3">
      <c r="A3241" s="121" t="s">
        <v>11</v>
      </c>
      <c r="B3241" s="122"/>
      <c r="C3241" s="123"/>
      <c r="D3241" s="16" t="s">
        <v>12</v>
      </c>
      <c r="E3241" s="16" t="s">
        <v>13</v>
      </c>
      <c r="F3241" s="5"/>
      <c r="G3241" s="121" t="s">
        <v>15</v>
      </c>
      <c r="H3241" s="122"/>
      <c r="I3241" s="123"/>
      <c r="J3241" s="121"/>
      <c r="K3241" s="123"/>
      <c r="L3241" s="5"/>
    </row>
    <row r="3242" spans="1:12" x14ac:dyDescent="0.25">
      <c r="A3242" s="94">
        <v>45846</v>
      </c>
      <c r="B3242" s="46" t="s">
        <v>66</v>
      </c>
      <c r="C3242" s="47"/>
      <c r="D3242" s="56">
        <v>374.43</v>
      </c>
      <c r="E3242" s="57">
        <v>7039.28</v>
      </c>
      <c r="F3242" s="44">
        <f>E3242/D3242</f>
        <v>18.799989317095317</v>
      </c>
      <c r="G3242" s="125" t="s">
        <v>69</v>
      </c>
      <c r="H3242" s="126"/>
      <c r="I3242" s="127"/>
      <c r="J3242" s="128"/>
      <c r="K3242" s="129"/>
      <c r="L3242" s="5"/>
    </row>
    <row r="3243" spans="1:12" x14ac:dyDescent="0.25">
      <c r="A3243" s="94">
        <v>45877</v>
      </c>
      <c r="B3243" s="46" t="s">
        <v>519</v>
      </c>
      <c r="C3243" s="47"/>
      <c r="D3243" s="56">
        <v>200</v>
      </c>
      <c r="E3243" s="57">
        <v>4440</v>
      </c>
      <c r="F3243" s="44">
        <f>E3243/D3243</f>
        <v>22.2</v>
      </c>
      <c r="G3243" s="110" t="s">
        <v>59</v>
      </c>
      <c r="H3243" s="111"/>
      <c r="I3243" s="112"/>
      <c r="J3243" s="113"/>
      <c r="K3243" s="114"/>
      <c r="L3243" s="5"/>
    </row>
    <row r="3244" spans="1:12" x14ac:dyDescent="0.25">
      <c r="A3244" s="94">
        <v>45908</v>
      </c>
      <c r="B3244" s="46" t="s">
        <v>66</v>
      </c>
      <c r="C3244" s="47"/>
      <c r="D3244" s="56">
        <v>624</v>
      </c>
      <c r="E3244" s="57">
        <v>11731.2</v>
      </c>
      <c r="F3244" s="44">
        <f>E3244/D3244</f>
        <v>18.8</v>
      </c>
      <c r="G3244" s="110" t="s">
        <v>61</v>
      </c>
      <c r="H3244" s="111"/>
      <c r="I3244" s="112"/>
      <c r="J3244" s="113"/>
      <c r="K3244" s="114"/>
      <c r="L3244" s="5"/>
    </row>
    <row r="3245" spans="1:12" x14ac:dyDescent="0.25">
      <c r="A3245" s="94"/>
      <c r="B3245" s="46"/>
      <c r="C3245" s="47"/>
      <c r="D3245" s="56"/>
      <c r="E3245" s="57"/>
      <c r="F3245" s="44" t="e">
        <f>E3245/D3245</f>
        <v>#DIV/0!</v>
      </c>
      <c r="G3245" s="110" t="s">
        <v>51</v>
      </c>
      <c r="H3245" s="111"/>
      <c r="I3245" s="112"/>
      <c r="J3245" s="113"/>
      <c r="K3245" s="114"/>
      <c r="L3245" s="5"/>
    </row>
    <row r="3246" spans="1:12" x14ac:dyDescent="0.25">
      <c r="A3246" s="48"/>
      <c r="B3246" s="46"/>
      <c r="C3246" s="39"/>
      <c r="D3246" s="52"/>
      <c r="E3246" s="53"/>
      <c r="F3246" s="44"/>
      <c r="G3246" s="110" t="s">
        <v>58</v>
      </c>
      <c r="H3246" s="111"/>
      <c r="I3246" s="112"/>
      <c r="J3246" s="113"/>
      <c r="K3246" s="114"/>
      <c r="L3246" s="5"/>
    </row>
    <row r="3247" spans="1:12" x14ac:dyDescent="0.25">
      <c r="A3247" s="48"/>
      <c r="B3247" s="35"/>
      <c r="C3247" s="39"/>
      <c r="D3247" s="52"/>
      <c r="E3247" s="53"/>
      <c r="F3247" s="44"/>
      <c r="G3247" s="110" t="s">
        <v>51</v>
      </c>
      <c r="H3247" s="111"/>
      <c r="I3247" s="112"/>
      <c r="J3247" s="113"/>
      <c r="K3247" s="114"/>
      <c r="L3247" s="5"/>
    </row>
    <row r="3248" spans="1:12" x14ac:dyDescent="0.25">
      <c r="A3248" s="48"/>
      <c r="B3248" s="35"/>
      <c r="C3248" s="39"/>
      <c r="D3248" s="52"/>
      <c r="E3248" s="53"/>
      <c r="F3248" s="44"/>
      <c r="G3248" s="77"/>
      <c r="H3248" s="78" t="s">
        <v>69</v>
      </c>
      <c r="I3248" s="79"/>
      <c r="J3248" s="113"/>
      <c r="K3248" s="114"/>
      <c r="L3248" s="5"/>
    </row>
    <row r="3249" spans="1:12" x14ac:dyDescent="0.25">
      <c r="A3249" s="38"/>
      <c r="B3249" s="35"/>
      <c r="C3249" s="39"/>
      <c r="D3249" s="52"/>
      <c r="E3249" s="53"/>
      <c r="F3249" s="44"/>
      <c r="G3249" s="77"/>
      <c r="H3249" s="78" t="s">
        <v>72</v>
      </c>
      <c r="I3249" s="79"/>
      <c r="J3249" s="113"/>
      <c r="K3249" s="114"/>
      <c r="L3249" s="5"/>
    </row>
    <row r="3250" spans="1:12" ht="15.75" thickBot="1" x14ac:dyDescent="0.3">
      <c r="A3250" s="5"/>
      <c r="B3250" s="5"/>
      <c r="C3250" s="7" t="s">
        <v>35</v>
      </c>
      <c r="D3250" s="17">
        <f>SUM(D3242:D3249)</f>
        <v>1198.43</v>
      </c>
      <c r="E3250" s="17">
        <f>SUM(E3242:E3249)</f>
        <v>23210.48</v>
      </c>
      <c r="F3250" s="89" t="e">
        <f>AVERAGE(F3242:F3246)</f>
        <v>#DIV/0!</v>
      </c>
      <c r="G3250" s="110" t="s">
        <v>73</v>
      </c>
      <c r="H3250" s="111"/>
      <c r="I3250" s="112"/>
      <c r="J3250" s="113"/>
      <c r="K3250" s="114"/>
      <c r="L3250" s="7" t="s">
        <v>36</v>
      </c>
    </row>
    <row r="3251" spans="1:12" ht="15.75" thickBot="1" x14ac:dyDescent="0.3">
      <c r="A3251" s="5"/>
      <c r="B3251" s="5"/>
      <c r="C3251" s="5"/>
      <c r="D3251" s="5"/>
      <c r="E3251" s="5"/>
      <c r="F3251" s="5"/>
      <c r="G3251" s="130"/>
      <c r="H3251" s="131"/>
      <c r="I3251" s="132"/>
      <c r="J3251" s="133"/>
      <c r="K3251" s="134"/>
      <c r="L3251" s="18">
        <f>J3242+J3243+J3244+J3245+J3246+J3247+J3248+J3249+J3250</f>
        <v>0</v>
      </c>
    </row>
    <row r="3252" spans="1:12" ht="15.75" thickBot="1" x14ac:dyDescent="0.3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</row>
    <row r="3253" spans="1:12" ht="15.75" thickBot="1" x14ac:dyDescent="0.3">
      <c r="A3253" s="19"/>
      <c r="B3253" s="20"/>
      <c r="C3253" s="20"/>
      <c r="D3253" s="20"/>
      <c r="E3253" s="21" t="s">
        <v>13</v>
      </c>
      <c r="F3253" s="5"/>
      <c r="G3253" s="19"/>
      <c r="H3253" s="20"/>
      <c r="I3253" s="20"/>
      <c r="J3253" s="20"/>
      <c r="K3253" s="21" t="s">
        <v>13</v>
      </c>
      <c r="L3253" s="5"/>
    </row>
    <row r="3254" spans="1:12" x14ac:dyDescent="0.25">
      <c r="A3254" s="22" t="s">
        <v>31</v>
      </c>
      <c r="B3254" s="115">
        <v>19091</v>
      </c>
      <c r="C3254" s="116"/>
      <c r="D3254" s="116"/>
      <c r="E3254" s="117"/>
      <c r="F3254" s="5"/>
      <c r="G3254" s="22" t="s">
        <v>32</v>
      </c>
      <c r="H3254" s="115">
        <v>43168</v>
      </c>
      <c r="I3254" s="116"/>
      <c r="J3254" s="116"/>
      <c r="K3254" s="117"/>
      <c r="L3254" s="5"/>
    </row>
    <row r="3255" spans="1:12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</row>
    <row r="3256" spans="1:12" x14ac:dyDescent="0.25">
      <c r="A3256" s="7" t="s">
        <v>16</v>
      </c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</row>
    <row r="3257" spans="1:12" x14ac:dyDescent="0.25">
      <c r="A3257" s="9" t="s">
        <v>17</v>
      </c>
      <c r="B3257" s="23">
        <f>L3234-C3229</f>
        <v>2232</v>
      </c>
      <c r="C3257" s="5"/>
      <c r="D3257" s="106" t="s">
        <v>18</v>
      </c>
      <c r="E3257" s="107"/>
      <c r="F3257" s="24" t="s">
        <v>19</v>
      </c>
      <c r="G3257" s="9" t="s">
        <v>20</v>
      </c>
      <c r="H3257" s="118">
        <f>B3254+H3254</f>
        <v>62259</v>
      </c>
      <c r="I3257" s="119"/>
      <c r="J3257" s="60"/>
      <c r="K3257" s="5"/>
      <c r="L3257" s="5"/>
    </row>
    <row r="3258" spans="1:12" x14ac:dyDescent="0.25">
      <c r="A3258" s="9" t="s">
        <v>41</v>
      </c>
      <c r="B3258" s="40">
        <f>B3257/D3250</f>
        <v>1.8624366880001335</v>
      </c>
      <c r="C3258" s="5"/>
      <c r="D3258" s="102">
        <f>E3250</f>
        <v>23210.48</v>
      </c>
      <c r="E3258" s="103"/>
      <c r="F3258" s="25">
        <f>H3258/B3257</f>
        <v>11.491792114695341</v>
      </c>
      <c r="G3258" s="9" t="s">
        <v>21</v>
      </c>
      <c r="H3258" s="104">
        <f>L3251+D3258+D3260+D3262+D3264+A3261</f>
        <v>25649.68</v>
      </c>
      <c r="I3258" s="105"/>
      <c r="J3258" s="5"/>
      <c r="K3258" s="5"/>
      <c r="L3258" s="5"/>
    </row>
    <row r="3259" spans="1:12" x14ac:dyDescent="0.25">
      <c r="A3259" s="9" t="s">
        <v>43</v>
      </c>
      <c r="B3259" s="23">
        <f>D3250/B3257*100</f>
        <v>53.693100358422939</v>
      </c>
      <c r="C3259" s="5"/>
      <c r="D3259" s="106" t="s">
        <v>33</v>
      </c>
      <c r="E3259" s="107"/>
      <c r="F3259" s="5"/>
      <c r="G3259" s="13" t="s">
        <v>22</v>
      </c>
      <c r="H3259" s="6"/>
      <c r="I3259" s="26">
        <f>H3257-H3258</f>
        <v>36609.32</v>
      </c>
      <c r="J3259" s="5"/>
      <c r="K3259" s="5"/>
      <c r="L3259" s="5"/>
    </row>
    <row r="3260" spans="1:12" x14ac:dyDescent="0.25">
      <c r="A3260" s="106" t="s">
        <v>40</v>
      </c>
      <c r="B3260" s="107"/>
      <c r="C3260" s="5"/>
      <c r="D3260" s="149">
        <v>1100</v>
      </c>
      <c r="E3260" s="150"/>
      <c r="F3260" s="5"/>
      <c r="G3260" s="5"/>
      <c r="H3260" s="5"/>
      <c r="I3260" s="5"/>
      <c r="J3260" s="5"/>
      <c r="K3260" s="5"/>
      <c r="L3260" s="5"/>
    </row>
    <row r="3261" spans="1:12" x14ac:dyDescent="0.25">
      <c r="A3261" s="151">
        <f>B3257*0.6</f>
        <v>1339.2</v>
      </c>
      <c r="B3261" s="152"/>
      <c r="C3261" s="5"/>
      <c r="D3261" s="106" t="s">
        <v>34</v>
      </c>
      <c r="E3261" s="107"/>
      <c r="F3261" s="5"/>
      <c r="G3261" s="145" t="s">
        <v>292</v>
      </c>
      <c r="H3261" s="146"/>
      <c r="I3261" s="23">
        <f>B3257/2.3</f>
        <v>970.43478260869574</v>
      </c>
      <c r="J3261" s="60"/>
      <c r="K3261" s="5"/>
      <c r="L3261" s="5"/>
    </row>
    <row r="3262" spans="1:12" x14ac:dyDescent="0.25">
      <c r="A3262" s="5"/>
      <c r="B3262" s="5"/>
      <c r="C3262" s="5"/>
      <c r="D3262" s="108">
        <v>0</v>
      </c>
      <c r="E3262" s="109"/>
      <c r="F3262" s="5"/>
      <c r="G3262" s="145" t="s">
        <v>294</v>
      </c>
      <c r="H3262" s="146"/>
      <c r="I3262" s="23">
        <f>I3261-D3250</f>
        <v>-227.99521739130432</v>
      </c>
      <c r="J3262" s="5"/>
      <c r="K3262" s="5"/>
      <c r="L3262" s="5"/>
    </row>
    <row r="3263" spans="1:12" x14ac:dyDescent="0.25">
      <c r="A3263" s="5"/>
      <c r="B3263" s="5"/>
      <c r="C3263" s="5"/>
      <c r="D3263" s="106" t="s">
        <v>37</v>
      </c>
      <c r="E3263" s="107"/>
      <c r="F3263" s="5"/>
      <c r="G3263" s="147" t="s">
        <v>295</v>
      </c>
      <c r="H3263" s="148"/>
      <c r="I3263" s="86" t="e">
        <f>I3262*F3250</f>
        <v>#DIV/0!</v>
      </c>
      <c r="J3263" s="87" t="e">
        <f>I3259-I3263</f>
        <v>#DIV/0!</v>
      </c>
      <c r="K3263" s="5"/>
      <c r="L3263" s="5"/>
    </row>
    <row r="3264" spans="1:12" x14ac:dyDescent="0.25">
      <c r="A3264" s="5"/>
      <c r="B3264" s="5"/>
      <c r="C3264" s="5"/>
      <c r="D3264" s="108">
        <v>0</v>
      </c>
      <c r="E3264" s="109"/>
      <c r="F3264" s="5" t="s">
        <v>78</v>
      </c>
      <c r="G3264" s="5"/>
      <c r="H3264" s="5"/>
      <c r="I3264" s="5"/>
      <c r="J3264" s="88" t="s">
        <v>293</v>
      </c>
      <c r="K3264" s="44"/>
      <c r="L3264" s="5"/>
    </row>
    <row r="3266" spans="1:12" s="49" customFormat="1" x14ac:dyDescent="0.25"/>
    <row r="3269" spans="1:12" x14ac:dyDescent="0.25">
      <c r="A3269" s="120" t="s">
        <v>24</v>
      </c>
      <c r="B3269" s="120"/>
      <c r="C3269" s="120"/>
      <c r="D3269" s="120"/>
      <c r="E3269" s="120"/>
      <c r="F3269" s="120"/>
      <c r="G3269" s="120"/>
      <c r="H3269" s="120"/>
      <c r="I3269" s="120"/>
      <c r="J3269" s="120"/>
      <c r="K3269" s="120"/>
      <c r="L3269" s="120"/>
    </row>
    <row r="3270" spans="1:12" x14ac:dyDescent="0.25">
      <c r="A3270" s="120"/>
      <c r="B3270" s="120"/>
      <c r="C3270" s="120"/>
      <c r="D3270" s="120"/>
      <c r="E3270" s="120"/>
      <c r="F3270" s="120"/>
      <c r="G3270" s="120"/>
      <c r="H3270" s="120"/>
      <c r="I3270" s="120"/>
      <c r="J3270" s="120"/>
      <c r="K3270" s="120"/>
      <c r="L3270" s="120"/>
    </row>
    <row r="3271" spans="1:12" x14ac:dyDescent="0.25">
      <c r="A3271" s="1" t="s">
        <v>4</v>
      </c>
      <c r="B3271" s="2"/>
      <c r="C3271" s="90"/>
      <c r="D3271" s="2"/>
      <c r="E3271" s="2"/>
      <c r="F3271" s="2"/>
      <c r="G3271" s="3" t="s">
        <v>5</v>
      </c>
      <c r="H3271" s="3" t="s">
        <v>6</v>
      </c>
      <c r="I3271" s="4" t="s">
        <v>7</v>
      </c>
      <c r="J3271" s="5"/>
      <c r="K3271" s="5"/>
      <c r="L3271" s="5"/>
    </row>
    <row r="3272" spans="1:12" x14ac:dyDescent="0.25">
      <c r="A3272" s="91" t="s">
        <v>341</v>
      </c>
      <c r="B3272" s="92" t="s">
        <v>42</v>
      </c>
      <c r="C3272" s="64"/>
      <c r="D3272" s="66"/>
      <c r="E3272" s="2"/>
      <c r="F3272" s="2"/>
      <c r="G3272" s="91" t="s">
        <v>299</v>
      </c>
      <c r="H3272" s="66"/>
      <c r="I3272" s="33"/>
      <c r="J3272" s="6"/>
      <c r="K3272" s="33"/>
      <c r="L3272" s="6"/>
    </row>
    <row r="3273" spans="1:12" x14ac:dyDescent="0.25">
      <c r="A3273" s="7" t="s">
        <v>2</v>
      </c>
      <c r="B3273" s="5"/>
      <c r="C3273" s="5"/>
      <c r="D3273" s="5"/>
      <c r="E3273" s="5"/>
      <c r="F3273" s="5"/>
      <c r="G3273" s="8" t="s">
        <v>8</v>
      </c>
      <c r="H3273" s="93">
        <v>3</v>
      </c>
      <c r="I3273" s="5"/>
      <c r="J3273" s="5"/>
      <c r="K3273" s="5"/>
      <c r="L3273" s="5"/>
    </row>
    <row r="3274" spans="1:12" x14ac:dyDescent="0.25">
      <c r="A3274" s="7" t="s">
        <v>25</v>
      </c>
      <c r="B3274" s="5"/>
      <c r="C3274" s="7" t="s">
        <v>0</v>
      </c>
      <c r="D3274" s="5"/>
      <c r="E3274" s="5"/>
      <c r="F3274" s="5"/>
      <c r="G3274" s="7" t="s">
        <v>25</v>
      </c>
      <c r="H3274" s="5"/>
      <c r="I3274" s="7" t="s">
        <v>0</v>
      </c>
      <c r="J3274" s="5"/>
      <c r="K3274" s="5"/>
      <c r="L3274" s="5"/>
    </row>
    <row r="3275" spans="1:12" x14ac:dyDescent="0.25">
      <c r="A3275" s="42">
        <v>45969</v>
      </c>
      <c r="B3275" s="6"/>
      <c r="C3275" s="31">
        <f>L3234</f>
        <v>1027535</v>
      </c>
      <c r="D3275" s="5"/>
      <c r="E3275" s="5"/>
      <c r="F3275" s="5"/>
      <c r="G3275" s="42"/>
      <c r="H3275" s="6"/>
      <c r="I3275" s="9"/>
      <c r="J3275" s="5"/>
      <c r="K3275" s="5"/>
      <c r="L3275" s="5"/>
    </row>
    <row r="3276" spans="1:12" ht="16.5" thickBot="1" x14ac:dyDescent="0.3">
      <c r="A3276" s="7"/>
      <c r="B3276" s="62"/>
      <c r="C3276" s="62"/>
      <c r="D3276" s="62"/>
      <c r="E3276" s="5"/>
      <c r="F3276" s="5"/>
      <c r="G3276" s="10"/>
      <c r="H3276" s="5"/>
      <c r="I3276" s="5"/>
      <c r="J3276" s="5"/>
      <c r="K3276" s="5"/>
      <c r="L3276" s="5"/>
    </row>
    <row r="3277" spans="1:12" ht="15.75" thickBot="1" x14ac:dyDescent="0.3">
      <c r="A3277" s="121" t="s">
        <v>9</v>
      </c>
      <c r="B3277" s="122"/>
      <c r="C3277" s="123"/>
      <c r="D3277" s="5"/>
      <c r="E3277" s="5"/>
      <c r="F3277" s="5"/>
      <c r="G3277" s="121" t="s">
        <v>26</v>
      </c>
      <c r="H3277" s="122"/>
      <c r="I3277" s="123"/>
      <c r="J3277" s="5"/>
      <c r="K3277" s="5"/>
      <c r="L3277" s="5"/>
    </row>
    <row r="3278" spans="1:12" x14ac:dyDescent="0.25">
      <c r="A3278" s="30" t="s">
        <v>38</v>
      </c>
      <c r="B3278" s="11"/>
      <c r="C3278" s="11"/>
      <c r="D3278" s="11"/>
      <c r="E3278" s="6"/>
      <c r="F3278" s="5"/>
      <c r="G3278" s="30" t="str">
        <f>A3281</f>
        <v>Cape Town</v>
      </c>
      <c r="H3278" s="11"/>
      <c r="I3278" s="11"/>
      <c r="J3278" s="11"/>
      <c r="K3278" s="11"/>
      <c r="L3278" s="6"/>
    </row>
    <row r="3279" spans="1:12" ht="15.75" thickBot="1" x14ac:dyDescent="0.3">
      <c r="A3279" s="7"/>
      <c r="B3279" s="7"/>
      <c r="C3279" s="7"/>
      <c r="D3279" s="5"/>
      <c r="E3279" s="5"/>
      <c r="F3279" s="5"/>
      <c r="G3279" s="7" t="str">
        <f>A3281</f>
        <v>Cape Town</v>
      </c>
      <c r="H3279" s="7"/>
      <c r="I3279" s="7"/>
      <c r="J3279" s="5"/>
      <c r="K3279" s="5"/>
      <c r="L3279" s="5"/>
    </row>
    <row r="3280" spans="1:12" ht="15.75" thickBot="1" x14ac:dyDescent="0.3">
      <c r="A3280" s="121"/>
      <c r="B3280" s="122"/>
      <c r="C3280" s="124"/>
      <c r="D3280" s="12" t="s">
        <v>1</v>
      </c>
      <c r="E3280" s="32"/>
      <c r="F3280" s="5"/>
      <c r="G3280" s="121" t="s">
        <v>27</v>
      </c>
      <c r="H3280" s="122"/>
      <c r="I3280" s="123"/>
      <c r="J3280" s="5"/>
      <c r="K3280" s="12" t="s">
        <v>1</v>
      </c>
      <c r="L3280" s="32">
        <v>1031401</v>
      </c>
    </row>
    <row r="3281" spans="1:12" x14ac:dyDescent="0.25">
      <c r="A3281" s="30" t="s">
        <v>65</v>
      </c>
      <c r="B3281" s="11"/>
      <c r="C3281" s="11"/>
      <c r="D3281" s="11"/>
      <c r="E3281" s="6"/>
      <c r="F3281" s="5"/>
      <c r="G3281" s="30" t="s">
        <v>364</v>
      </c>
      <c r="H3281" s="11"/>
      <c r="I3281" s="11"/>
      <c r="J3281" s="11"/>
      <c r="K3281" s="11"/>
      <c r="L3281" s="6"/>
    </row>
    <row r="3282" spans="1:12" x14ac:dyDescent="0.25">
      <c r="A3282" s="76" t="s">
        <v>511</v>
      </c>
      <c r="B3282" s="11"/>
      <c r="C3282" s="11"/>
      <c r="D3282" s="11"/>
      <c r="E3282" s="6"/>
      <c r="F3282" s="5"/>
      <c r="G3282" s="34"/>
      <c r="H3282" s="11"/>
      <c r="I3282" s="11"/>
      <c r="J3282" s="11"/>
      <c r="K3282" s="11"/>
      <c r="L3282" s="6"/>
    </row>
    <row r="3283" spans="1:12" x14ac:dyDescent="0.25">
      <c r="A3283" s="13"/>
      <c r="B3283" s="11"/>
      <c r="C3283" s="11"/>
      <c r="D3283" s="11"/>
      <c r="E3283" s="6"/>
      <c r="F3283" s="5"/>
      <c r="G3283" s="13"/>
      <c r="H3283" s="11"/>
      <c r="I3283" s="11"/>
      <c r="J3283" s="11"/>
      <c r="K3283" s="11"/>
      <c r="L3283" s="6"/>
    </row>
    <row r="3284" spans="1:12" x14ac:dyDescent="0.25">
      <c r="A3284" s="13"/>
      <c r="B3284" s="11"/>
      <c r="C3284" s="11"/>
      <c r="D3284" s="11"/>
      <c r="E3284" s="6"/>
      <c r="F3284" s="5"/>
      <c r="G3284" s="13"/>
      <c r="H3284" s="11"/>
      <c r="I3284" s="11"/>
      <c r="J3284" s="11"/>
      <c r="K3284" s="11"/>
      <c r="L3284" s="6"/>
    </row>
    <row r="3285" spans="1:12" ht="15.75" thickBot="1" x14ac:dyDescent="0.3">
      <c r="A3285" s="13"/>
      <c r="B3285" s="11"/>
      <c r="C3285" s="11" t="s">
        <v>29</v>
      </c>
      <c r="D3285" s="43"/>
      <c r="E3285" s="6"/>
      <c r="F3285" s="5"/>
      <c r="G3285" s="13"/>
      <c r="H3285" s="11"/>
      <c r="I3285" s="14" t="s">
        <v>28</v>
      </c>
      <c r="J3285" s="43"/>
      <c r="K3285" s="59"/>
      <c r="L3285" s="6"/>
    </row>
    <row r="3286" spans="1:12" ht="15.75" thickBot="1" x14ac:dyDescent="0.3">
      <c r="A3286" s="15" t="s">
        <v>10</v>
      </c>
      <c r="B3286" s="5"/>
      <c r="C3286" s="5"/>
      <c r="D3286" s="5"/>
      <c r="E3286" s="5"/>
      <c r="F3286" s="5"/>
      <c r="G3286" s="15" t="s">
        <v>14</v>
      </c>
      <c r="H3286" s="5"/>
      <c r="I3286" s="5"/>
      <c r="J3286" s="5"/>
      <c r="K3286" s="5"/>
      <c r="L3286" s="5"/>
    </row>
    <row r="3287" spans="1:12" ht="15.75" thickBot="1" x14ac:dyDescent="0.3">
      <c r="A3287" s="121" t="s">
        <v>11</v>
      </c>
      <c r="B3287" s="122"/>
      <c r="C3287" s="123"/>
      <c r="D3287" s="16" t="s">
        <v>12</v>
      </c>
      <c r="E3287" s="16" t="s">
        <v>13</v>
      </c>
      <c r="F3287" s="5"/>
      <c r="G3287" s="121" t="s">
        <v>15</v>
      </c>
      <c r="H3287" s="122"/>
      <c r="I3287" s="123"/>
      <c r="J3287" s="121"/>
      <c r="K3287" s="123"/>
      <c r="L3287" s="5"/>
    </row>
    <row r="3288" spans="1:12" x14ac:dyDescent="0.25">
      <c r="A3288" s="94">
        <v>45999</v>
      </c>
      <c r="B3288" s="46" t="s">
        <v>66</v>
      </c>
      <c r="C3288" s="47"/>
      <c r="D3288" s="56">
        <v>670.74</v>
      </c>
      <c r="E3288" s="57">
        <v>12609.61</v>
      </c>
      <c r="F3288" s="44">
        <f>E3288/D3288</f>
        <v>18.79954975102126</v>
      </c>
      <c r="G3288" s="125" t="s">
        <v>69</v>
      </c>
      <c r="H3288" s="126"/>
      <c r="I3288" s="127"/>
      <c r="J3288" s="128"/>
      <c r="K3288" s="129"/>
      <c r="L3288" s="5"/>
    </row>
    <row r="3289" spans="1:12" x14ac:dyDescent="0.25">
      <c r="A3289" s="94" t="s">
        <v>520</v>
      </c>
      <c r="B3289" s="46" t="s">
        <v>66</v>
      </c>
      <c r="C3289" s="47"/>
      <c r="D3289" s="56">
        <v>544.16</v>
      </c>
      <c r="E3289" s="57">
        <v>10230.209999999999</v>
      </c>
      <c r="F3289" s="44">
        <f>E3289/D3289</f>
        <v>18.80000367538959</v>
      </c>
      <c r="G3289" s="110" t="s">
        <v>59</v>
      </c>
      <c r="H3289" s="111"/>
      <c r="I3289" s="112"/>
      <c r="J3289" s="113"/>
      <c r="K3289" s="114"/>
      <c r="L3289" s="5"/>
    </row>
    <row r="3290" spans="1:12" x14ac:dyDescent="0.25">
      <c r="A3290" s="94" t="s">
        <v>521</v>
      </c>
      <c r="B3290" s="46" t="s">
        <v>47</v>
      </c>
      <c r="C3290" s="47"/>
      <c r="D3290" s="56">
        <v>304.14</v>
      </c>
      <c r="E3290" s="57">
        <v>5529.27</v>
      </c>
      <c r="F3290" s="44">
        <f>E3290/D3290</f>
        <v>18.180015782205565</v>
      </c>
      <c r="G3290" s="110" t="s">
        <v>61</v>
      </c>
      <c r="H3290" s="111"/>
      <c r="I3290" s="112"/>
      <c r="J3290" s="113"/>
      <c r="K3290" s="114"/>
      <c r="L3290" s="5"/>
    </row>
    <row r="3291" spans="1:12" x14ac:dyDescent="0.25">
      <c r="A3291" s="94"/>
      <c r="B3291" s="46"/>
      <c r="C3291" s="47"/>
      <c r="D3291" s="56"/>
      <c r="E3291" s="57"/>
      <c r="F3291" s="44"/>
      <c r="G3291" s="110" t="s">
        <v>51</v>
      </c>
      <c r="H3291" s="111"/>
      <c r="I3291" s="112"/>
      <c r="J3291" s="113"/>
      <c r="K3291" s="114"/>
      <c r="L3291" s="5"/>
    </row>
    <row r="3292" spans="1:12" x14ac:dyDescent="0.25">
      <c r="A3292" s="48"/>
      <c r="B3292" s="46"/>
      <c r="C3292" s="39"/>
      <c r="D3292" s="52"/>
      <c r="E3292" s="53"/>
      <c r="F3292" s="44"/>
      <c r="G3292" s="110" t="s">
        <v>58</v>
      </c>
      <c r="H3292" s="111"/>
      <c r="I3292" s="112"/>
      <c r="J3292" s="113"/>
      <c r="K3292" s="114"/>
      <c r="L3292" s="5"/>
    </row>
    <row r="3293" spans="1:12" x14ac:dyDescent="0.25">
      <c r="A3293" s="48"/>
      <c r="B3293" s="35"/>
      <c r="C3293" s="39"/>
      <c r="D3293" s="52"/>
      <c r="E3293" s="53"/>
      <c r="F3293" s="44"/>
      <c r="G3293" s="110" t="s">
        <v>51</v>
      </c>
      <c r="H3293" s="111"/>
      <c r="I3293" s="112"/>
      <c r="J3293" s="113"/>
      <c r="K3293" s="114"/>
      <c r="L3293" s="5"/>
    </row>
    <row r="3294" spans="1:12" x14ac:dyDescent="0.25">
      <c r="A3294" s="48"/>
      <c r="B3294" s="35"/>
      <c r="C3294" s="39"/>
      <c r="D3294" s="52"/>
      <c r="E3294" s="53"/>
      <c r="F3294" s="44"/>
      <c r="G3294" s="77"/>
      <c r="H3294" s="78" t="s">
        <v>69</v>
      </c>
      <c r="I3294" s="79"/>
      <c r="J3294" s="113"/>
      <c r="K3294" s="114"/>
      <c r="L3294" s="5"/>
    </row>
    <row r="3295" spans="1:12" x14ac:dyDescent="0.25">
      <c r="A3295" s="38"/>
      <c r="B3295" s="35"/>
      <c r="C3295" s="39"/>
      <c r="D3295" s="52"/>
      <c r="E3295" s="53"/>
      <c r="F3295" s="44"/>
      <c r="G3295" s="77"/>
      <c r="H3295" s="78" t="s">
        <v>72</v>
      </c>
      <c r="I3295" s="79"/>
      <c r="J3295" s="113"/>
      <c r="K3295" s="114"/>
      <c r="L3295" s="5"/>
    </row>
    <row r="3296" spans="1:12" ht="15.75" thickBot="1" x14ac:dyDescent="0.3">
      <c r="A3296" s="5"/>
      <c r="B3296" s="5"/>
      <c r="C3296" s="7" t="s">
        <v>35</v>
      </c>
      <c r="D3296" s="17">
        <f>SUM(D3288:D3295)</f>
        <v>1519.04</v>
      </c>
      <c r="E3296" s="17">
        <f>SUM(E3288:E3295)</f>
        <v>28369.09</v>
      </c>
      <c r="F3296" s="89">
        <f>AVERAGE(F3288:F3292)</f>
        <v>18.593189736205471</v>
      </c>
      <c r="G3296" s="110" t="s">
        <v>73</v>
      </c>
      <c r="H3296" s="111"/>
      <c r="I3296" s="112"/>
      <c r="J3296" s="113"/>
      <c r="K3296" s="114"/>
      <c r="L3296" s="7" t="s">
        <v>36</v>
      </c>
    </row>
    <row r="3297" spans="1:12" ht="15.75" thickBot="1" x14ac:dyDescent="0.3">
      <c r="A3297" s="5"/>
      <c r="B3297" s="5"/>
      <c r="C3297" s="5"/>
      <c r="D3297" s="5"/>
      <c r="E3297" s="5"/>
      <c r="F3297" s="5"/>
      <c r="G3297" s="130"/>
      <c r="H3297" s="131"/>
      <c r="I3297" s="132"/>
      <c r="J3297" s="133"/>
      <c r="K3297" s="134"/>
      <c r="L3297" s="18">
        <f>J3288+J3289+J3290+J3291+J3292+J3293+J3294+J3295+J3296</f>
        <v>0</v>
      </c>
    </row>
    <row r="3298" spans="1:12" ht="15.75" thickBot="1" x14ac:dyDescent="0.3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</row>
    <row r="3299" spans="1:12" ht="15.75" thickBot="1" x14ac:dyDescent="0.3">
      <c r="A3299" s="19"/>
      <c r="B3299" s="20"/>
      <c r="C3299" s="20"/>
      <c r="D3299" s="20"/>
      <c r="E3299" s="21" t="s">
        <v>13</v>
      </c>
      <c r="F3299" s="5"/>
      <c r="G3299" s="19"/>
      <c r="H3299" s="20"/>
      <c r="I3299" s="20"/>
      <c r="J3299" s="20"/>
      <c r="K3299" s="21" t="s">
        <v>13</v>
      </c>
      <c r="L3299" s="5"/>
    </row>
    <row r="3300" spans="1:12" x14ac:dyDescent="0.25">
      <c r="A3300" s="22" t="s">
        <v>31</v>
      </c>
      <c r="B3300" s="115">
        <v>19091</v>
      </c>
      <c r="C3300" s="116"/>
      <c r="D3300" s="116"/>
      <c r="E3300" s="117"/>
      <c r="F3300" s="5"/>
      <c r="G3300" s="22" t="s">
        <v>32</v>
      </c>
      <c r="H3300" s="115">
        <v>43168</v>
      </c>
      <c r="I3300" s="116"/>
      <c r="J3300" s="116"/>
      <c r="K3300" s="117"/>
      <c r="L3300" s="5"/>
    </row>
    <row r="3301" spans="1:12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</row>
    <row r="3302" spans="1:12" x14ac:dyDescent="0.25">
      <c r="A3302" s="7" t="s">
        <v>16</v>
      </c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</row>
    <row r="3303" spans="1:12" x14ac:dyDescent="0.25">
      <c r="A3303" s="9" t="s">
        <v>17</v>
      </c>
      <c r="B3303" s="23">
        <f>L3280-C3275</f>
        <v>3866</v>
      </c>
      <c r="C3303" s="5"/>
      <c r="D3303" s="106" t="s">
        <v>18</v>
      </c>
      <c r="E3303" s="107"/>
      <c r="F3303" s="24" t="s">
        <v>19</v>
      </c>
      <c r="G3303" s="9" t="s">
        <v>20</v>
      </c>
      <c r="H3303" s="118">
        <f>B3300+H3300</f>
        <v>62259</v>
      </c>
      <c r="I3303" s="119"/>
      <c r="J3303" s="60"/>
      <c r="K3303" s="5"/>
      <c r="L3303" s="5"/>
    </row>
    <row r="3304" spans="1:12" x14ac:dyDescent="0.25">
      <c r="A3304" s="9" t="s">
        <v>41</v>
      </c>
      <c r="B3304" s="40">
        <f>B3303/D3296</f>
        <v>2.5450284390141142</v>
      </c>
      <c r="C3304" s="5"/>
      <c r="D3304" s="102">
        <f>E3296</f>
        <v>28369.09</v>
      </c>
      <c r="E3304" s="103"/>
      <c r="F3304" s="25">
        <f>H3304/B3303</f>
        <v>8.2226306259699946</v>
      </c>
      <c r="G3304" s="9" t="s">
        <v>21</v>
      </c>
      <c r="H3304" s="104">
        <f>L3297+D3304+D3306+D3308+D3310+A3307</f>
        <v>31788.69</v>
      </c>
      <c r="I3304" s="105"/>
      <c r="J3304" s="5"/>
      <c r="K3304" s="5"/>
      <c r="L3304" s="5"/>
    </row>
    <row r="3305" spans="1:12" x14ac:dyDescent="0.25">
      <c r="A3305" s="9" t="s">
        <v>43</v>
      </c>
      <c r="B3305" s="23">
        <f>D3296/B3303*100</f>
        <v>39.292291774443868</v>
      </c>
      <c r="C3305" s="5"/>
      <c r="D3305" s="106" t="s">
        <v>33</v>
      </c>
      <c r="E3305" s="107"/>
      <c r="F3305" s="5"/>
      <c r="G3305" s="13" t="s">
        <v>22</v>
      </c>
      <c r="H3305" s="6"/>
      <c r="I3305" s="26">
        <f>H3303-H3304</f>
        <v>30470.31</v>
      </c>
      <c r="J3305" s="5"/>
      <c r="K3305" s="5"/>
      <c r="L3305" s="5"/>
    </row>
    <row r="3306" spans="1:12" x14ac:dyDescent="0.25">
      <c r="A3306" s="106" t="s">
        <v>40</v>
      </c>
      <c r="B3306" s="107"/>
      <c r="C3306" s="5"/>
      <c r="D3306" s="149">
        <v>1100</v>
      </c>
      <c r="E3306" s="150"/>
      <c r="F3306" s="5"/>
      <c r="G3306" s="5"/>
      <c r="H3306" s="5"/>
      <c r="I3306" s="5"/>
      <c r="J3306" s="5"/>
      <c r="K3306" s="5"/>
      <c r="L3306" s="5"/>
    </row>
    <row r="3307" spans="1:12" x14ac:dyDescent="0.25">
      <c r="A3307" s="108">
        <f>B3303*0.6</f>
        <v>2319.6</v>
      </c>
      <c r="B3307" s="109"/>
      <c r="C3307" s="5"/>
      <c r="D3307" s="106" t="s">
        <v>34</v>
      </c>
      <c r="E3307" s="107"/>
      <c r="F3307" s="5"/>
      <c r="G3307" s="145" t="s">
        <v>292</v>
      </c>
      <c r="H3307" s="146"/>
      <c r="I3307" s="23">
        <f>B3303/2.3</f>
        <v>1680.8695652173915</v>
      </c>
      <c r="J3307" s="60"/>
      <c r="K3307" s="5"/>
      <c r="L3307" s="5"/>
    </row>
    <row r="3308" spans="1:12" x14ac:dyDescent="0.25">
      <c r="A3308" s="5"/>
      <c r="B3308" s="5"/>
      <c r="C3308" s="5"/>
      <c r="D3308" s="108">
        <v>0</v>
      </c>
      <c r="E3308" s="109"/>
      <c r="F3308" s="5"/>
      <c r="G3308" s="145" t="s">
        <v>294</v>
      </c>
      <c r="H3308" s="146"/>
      <c r="I3308" s="23">
        <f>I3307-D3296</f>
        <v>161.82956521739152</v>
      </c>
      <c r="J3308" s="5"/>
      <c r="K3308" s="5"/>
      <c r="L3308" s="5"/>
    </row>
    <row r="3309" spans="1:12" x14ac:dyDescent="0.25">
      <c r="A3309" s="5"/>
      <c r="B3309" s="5"/>
      <c r="C3309" s="5"/>
      <c r="D3309" s="106" t="s">
        <v>37</v>
      </c>
      <c r="E3309" s="107"/>
      <c r="F3309" s="5"/>
      <c r="G3309" s="147" t="s">
        <v>295</v>
      </c>
      <c r="H3309" s="148"/>
      <c r="I3309" s="86">
        <f>I3308*F3296</f>
        <v>3008.9278110145979</v>
      </c>
      <c r="J3309" s="87">
        <f>I3305-I3309</f>
        <v>27461.382188985404</v>
      </c>
      <c r="K3309" s="5"/>
      <c r="L3309" s="5"/>
    </row>
    <row r="3310" spans="1:12" x14ac:dyDescent="0.25">
      <c r="A3310" s="5"/>
      <c r="B3310" s="5"/>
      <c r="C3310" s="5"/>
      <c r="D3310" s="108">
        <v>0</v>
      </c>
      <c r="E3310" s="109"/>
      <c r="F3310" s="5" t="s">
        <v>78</v>
      </c>
      <c r="G3310" s="5"/>
      <c r="H3310" s="5"/>
      <c r="I3310" s="5"/>
      <c r="J3310" s="88" t="s">
        <v>293</v>
      </c>
      <c r="K3310" s="44"/>
      <c r="L3310" s="5"/>
    </row>
    <row r="3312" spans="1:12" s="49" customFormat="1" x14ac:dyDescent="0.25"/>
    <row r="3315" spans="1:12" x14ac:dyDescent="0.25">
      <c r="A3315" s="120" t="s">
        <v>24</v>
      </c>
      <c r="B3315" s="120"/>
      <c r="C3315" s="120"/>
      <c r="D3315" s="120"/>
      <c r="E3315" s="120"/>
      <c r="F3315" s="120"/>
      <c r="G3315" s="120"/>
      <c r="H3315" s="120"/>
      <c r="I3315" s="120"/>
      <c r="J3315" s="120"/>
      <c r="K3315" s="120"/>
      <c r="L3315" s="120"/>
    </row>
    <row r="3316" spans="1:12" x14ac:dyDescent="0.25">
      <c r="A3316" s="120"/>
      <c r="B3316" s="120"/>
      <c r="C3316" s="120"/>
      <c r="D3316" s="120"/>
      <c r="E3316" s="120"/>
      <c r="F3316" s="120"/>
      <c r="G3316" s="120"/>
      <c r="H3316" s="120"/>
      <c r="I3316" s="120"/>
      <c r="J3316" s="120"/>
      <c r="K3316" s="120"/>
      <c r="L3316" s="120"/>
    </row>
    <row r="3317" spans="1:12" x14ac:dyDescent="0.25">
      <c r="A3317" s="1" t="s">
        <v>4</v>
      </c>
      <c r="B3317" s="2"/>
      <c r="C3317" s="90"/>
      <c r="D3317" s="2"/>
      <c r="E3317" s="2"/>
      <c r="F3317" s="2"/>
      <c r="G3317" s="3" t="s">
        <v>5</v>
      </c>
      <c r="H3317" s="3" t="s">
        <v>6</v>
      </c>
      <c r="I3317" s="4" t="s">
        <v>7</v>
      </c>
      <c r="J3317" s="5"/>
      <c r="K3317" s="5"/>
      <c r="L3317" s="5"/>
    </row>
    <row r="3318" spans="1:12" x14ac:dyDescent="0.25">
      <c r="A3318" s="91" t="s">
        <v>341</v>
      </c>
      <c r="B3318" s="92" t="s">
        <v>42</v>
      </c>
      <c r="C3318" s="64"/>
      <c r="D3318" s="66"/>
      <c r="E3318" s="2"/>
      <c r="F3318" s="2"/>
      <c r="G3318" s="91" t="s">
        <v>299</v>
      </c>
      <c r="H3318" s="66"/>
      <c r="I3318" s="33"/>
      <c r="J3318" s="6"/>
      <c r="K3318" s="33"/>
      <c r="L3318" s="6"/>
    </row>
    <row r="3319" spans="1:12" x14ac:dyDescent="0.25">
      <c r="A3319" s="7" t="s">
        <v>2</v>
      </c>
      <c r="B3319" s="5"/>
      <c r="C3319" s="5"/>
      <c r="D3319" s="5"/>
      <c r="E3319" s="5"/>
      <c r="F3319" s="5"/>
      <c r="G3319" s="8" t="s">
        <v>8</v>
      </c>
      <c r="H3319" s="93">
        <v>3</v>
      </c>
      <c r="I3319" s="5"/>
      <c r="J3319" s="5"/>
      <c r="K3319" s="5"/>
      <c r="L3319" s="5"/>
    </row>
    <row r="3320" spans="1:12" x14ac:dyDescent="0.25">
      <c r="A3320" s="7" t="s">
        <v>25</v>
      </c>
      <c r="B3320" s="5"/>
      <c r="C3320" s="7" t="s">
        <v>0</v>
      </c>
      <c r="D3320" s="5"/>
      <c r="E3320" s="5"/>
      <c r="F3320" s="5"/>
      <c r="G3320" s="7" t="s">
        <v>25</v>
      </c>
      <c r="H3320" s="5"/>
      <c r="I3320" s="7" t="s">
        <v>0</v>
      </c>
      <c r="J3320" s="5"/>
      <c r="K3320" s="5"/>
      <c r="L3320" s="5"/>
    </row>
    <row r="3321" spans="1:12" x14ac:dyDescent="0.25">
      <c r="A3321" s="42" t="s">
        <v>522</v>
      </c>
      <c r="B3321" s="6"/>
      <c r="C3321" s="31">
        <f>L3280</f>
        <v>1031401</v>
      </c>
      <c r="D3321" s="5"/>
      <c r="E3321" s="5"/>
      <c r="F3321" s="5"/>
      <c r="G3321" s="42"/>
      <c r="H3321" s="6"/>
      <c r="I3321" s="9"/>
      <c r="J3321" s="5"/>
      <c r="K3321" s="5"/>
      <c r="L3321" s="5"/>
    </row>
    <row r="3322" spans="1:12" ht="16.5" thickBot="1" x14ac:dyDescent="0.3">
      <c r="A3322" s="7"/>
      <c r="B3322" s="62"/>
      <c r="C3322" s="62"/>
      <c r="D3322" s="62"/>
      <c r="E3322" s="5"/>
      <c r="F3322" s="5"/>
      <c r="G3322" s="10"/>
      <c r="H3322" s="5"/>
      <c r="I3322" s="5"/>
      <c r="J3322" s="5"/>
      <c r="K3322" s="5"/>
      <c r="L3322" s="5"/>
    </row>
    <row r="3323" spans="1:12" ht="15.75" thickBot="1" x14ac:dyDescent="0.3">
      <c r="A3323" s="121" t="s">
        <v>9</v>
      </c>
      <c r="B3323" s="122"/>
      <c r="C3323" s="123"/>
      <c r="D3323" s="5"/>
      <c r="E3323" s="5"/>
      <c r="F3323" s="5"/>
      <c r="G3323" s="121" t="s">
        <v>26</v>
      </c>
      <c r="H3323" s="122"/>
      <c r="I3323" s="123"/>
      <c r="J3323" s="5"/>
      <c r="K3323" s="5"/>
      <c r="L3323" s="5"/>
    </row>
    <row r="3324" spans="1:12" x14ac:dyDescent="0.25">
      <c r="A3324" s="30" t="s">
        <v>38</v>
      </c>
      <c r="B3324" s="11"/>
      <c r="C3324" s="11"/>
      <c r="D3324" s="11"/>
      <c r="E3324" s="6"/>
      <c r="F3324" s="5"/>
      <c r="G3324" s="30" t="str">
        <f>A3327</f>
        <v>Cape Town</v>
      </c>
      <c r="H3324" s="11"/>
      <c r="I3324" s="11"/>
      <c r="J3324" s="11"/>
      <c r="K3324" s="11"/>
      <c r="L3324" s="6"/>
    </row>
    <row r="3325" spans="1:12" ht="15.75" thickBot="1" x14ac:dyDescent="0.3">
      <c r="A3325" s="7"/>
      <c r="B3325" s="7"/>
      <c r="C3325" s="7"/>
      <c r="D3325" s="5"/>
      <c r="E3325" s="5"/>
      <c r="F3325" s="5"/>
      <c r="G3325" s="7" t="str">
        <f>A3327</f>
        <v>Cape Town</v>
      </c>
      <c r="H3325" s="7"/>
      <c r="I3325" s="7"/>
      <c r="J3325" s="5"/>
      <c r="K3325" s="5"/>
      <c r="L3325" s="5"/>
    </row>
    <row r="3326" spans="1:12" ht="15.75" thickBot="1" x14ac:dyDescent="0.3">
      <c r="A3326" s="121"/>
      <c r="B3326" s="122"/>
      <c r="C3326" s="124"/>
      <c r="D3326" s="12" t="s">
        <v>1</v>
      </c>
      <c r="E3326" s="32"/>
      <c r="F3326" s="5"/>
      <c r="G3326" s="121" t="s">
        <v>27</v>
      </c>
      <c r="H3326" s="122"/>
      <c r="I3326" s="123"/>
      <c r="J3326" s="5"/>
      <c r="K3326" s="12" t="s">
        <v>1</v>
      </c>
      <c r="L3326" s="32">
        <v>1034463</v>
      </c>
    </row>
    <row r="3327" spans="1:12" x14ac:dyDescent="0.25">
      <c r="A3327" s="30" t="s">
        <v>65</v>
      </c>
      <c r="B3327" s="11"/>
      <c r="C3327" s="11"/>
      <c r="D3327" s="11"/>
      <c r="E3327" s="6"/>
      <c r="F3327" s="5"/>
      <c r="G3327" s="30" t="s">
        <v>364</v>
      </c>
      <c r="H3327" s="11"/>
      <c r="I3327" s="11"/>
      <c r="J3327" s="11"/>
      <c r="K3327" s="11"/>
      <c r="L3327" s="6"/>
    </row>
    <row r="3328" spans="1:12" x14ac:dyDescent="0.25">
      <c r="A3328" s="76" t="s">
        <v>517</v>
      </c>
      <c r="B3328" s="11"/>
      <c r="C3328" s="11"/>
      <c r="D3328" s="11"/>
      <c r="E3328" s="6"/>
      <c r="F3328" s="5"/>
      <c r="G3328" s="34"/>
      <c r="H3328" s="11"/>
      <c r="I3328" s="11"/>
      <c r="J3328" s="11"/>
      <c r="K3328" s="11"/>
      <c r="L3328" s="6"/>
    </row>
    <row r="3329" spans="1:15" x14ac:dyDescent="0.25">
      <c r="A3329" s="13"/>
      <c r="B3329" s="11"/>
      <c r="C3329" s="11"/>
      <c r="D3329" s="11"/>
      <c r="E3329" s="6"/>
      <c r="F3329" s="5"/>
      <c r="G3329" s="13"/>
      <c r="H3329" s="11"/>
      <c r="I3329" s="11"/>
      <c r="J3329" s="11"/>
      <c r="K3329" s="11"/>
      <c r="L3329" s="6"/>
    </row>
    <row r="3330" spans="1:15" x14ac:dyDescent="0.25">
      <c r="A3330" s="13"/>
      <c r="B3330" s="11"/>
      <c r="C3330" s="11"/>
      <c r="D3330" s="11"/>
      <c r="E3330" s="6"/>
      <c r="F3330" s="5"/>
      <c r="G3330" s="13"/>
      <c r="H3330" s="11"/>
      <c r="I3330" s="11"/>
      <c r="J3330" s="11"/>
      <c r="K3330" s="11"/>
      <c r="L3330" s="6"/>
    </row>
    <row r="3331" spans="1:15" ht="15.75" thickBot="1" x14ac:dyDescent="0.3">
      <c r="A3331" s="13"/>
      <c r="B3331" s="11"/>
      <c r="C3331" s="11" t="s">
        <v>29</v>
      </c>
      <c r="D3331" s="43"/>
      <c r="E3331" s="6"/>
      <c r="F3331" s="5"/>
      <c r="G3331" s="13"/>
      <c r="H3331" s="11"/>
      <c r="I3331" s="14" t="s">
        <v>28</v>
      </c>
      <c r="J3331" s="43"/>
      <c r="K3331" s="59"/>
      <c r="L3331" s="6"/>
    </row>
    <row r="3332" spans="1:15" ht="15.75" thickBot="1" x14ac:dyDescent="0.3">
      <c r="A3332" s="15" t="s">
        <v>10</v>
      </c>
      <c r="B3332" s="5"/>
      <c r="C3332" s="5"/>
      <c r="D3332" s="5"/>
      <c r="E3332" s="5"/>
      <c r="F3332" s="5"/>
      <c r="G3332" s="15" t="s">
        <v>14</v>
      </c>
      <c r="H3332" s="5"/>
      <c r="I3332" s="5"/>
      <c r="J3332" s="5"/>
      <c r="K3332" s="5"/>
      <c r="L3332" s="5"/>
    </row>
    <row r="3333" spans="1:15" ht="15.75" thickBot="1" x14ac:dyDescent="0.3">
      <c r="A3333" s="121" t="s">
        <v>11</v>
      </c>
      <c r="B3333" s="122"/>
      <c r="C3333" s="123"/>
      <c r="D3333" s="16" t="s">
        <v>12</v>
      </c>
      <c r="E3333" s="16" t="s">
        <v>13</v>
      </c>
      <c r="F3333" s="5"/>
      <c r="G3333" s="121" t="s">
        <v>15</v>
      </c>
      <c r="H3333" s="122"/>
      <c r="I3333" s="123"/>
      <c r="J3333" s="121"/>
      <c r="K3333" s="123"/>
      <c r="L3333" s="5"/>
    </row>
    <row r="3334" spans="1:15" x14ac:dyDescent="0.25">
      <c r="A3334" s="94" t="s">
        <v>510</v>
      </c>
      <c r="B3334" s="46" t="s">
        <v>519</v>
      </c>
      <c r="C3334" s="47"/>
      <c r="D3334" s="56">
        <v>200</v>
      </c>
      <c r="E3334" s="57">
        <v>4440</v>
      </c>
      <c r="F3334" s="44">
        <f>E3334/D3334</f>
        <v>22.2</v>
      </c>
      <c r="G3334" s="125" t="s">
        <v>69</v>
      </c>
      <c r="H3334" s="126"/>
      <c r="I3334" s="127"/>
      <c r="J3334" s="128"/>
      <c r="K3334" s="129"/>
      <c r="L3334" s="5"/>
    </row>
    <row r="3335" spans="1:15" x14ac:dyDescent="0.25">
      <c r="A3335" s="94" t="s">
        <v>523</v>
      </c>
      <c r="B3335" s="46" t="s">
        <v>66</v>
      </c>
      <c r="C3335" s="47"/>
      <c r="D3335" s="56">
        <v>556</v>
      </c>
      <c r="E3335" s="57">
        <v>10452.799999999999</v>
      </c>
      <c r="F3335" s="44">
        <f>E3335/D3335</f>
        <v>18.799999999999997</v>
      </c>
      <c r="G3335" s="110" t="s">
        <v>59</v>
      </c>
      <c r="H3335" s="111"/>
      <c r="I3335" s="112"/>
      <c r="J3335" s="113"/>
      <c r="K3335" s="114"/>
      <c r="L3335" s="5"/>
    </row>
    <row r="3336" spans="1:15" x14ac:dyDescent="0.25">
      <c r="A3336" s="94" t="s">
        <v>524</v>
      </c>
      <c r="B3336" s="46" t="s">
        <v>47</v>
      </c>
      <c r="C3336" s="47"/>
      <c r="D3336" s="56">
        <v>444.71</v>
      </c>
      <c r="E3336" s="57">
        <v>8084.83</v>
      </c>
      <c r="F3336" s="44">
        <f>E3336/D3336</f>
        <v>18.180004947044143</v>
      </c>
      <c r="G3336" s="110" t="s">
        <v>61</v>
      </c>
      <c r="H3336" s="111"/>
      <c r="I3336" s="112"/>
      <c r="J3336" s="113"/>
      <c r="K3336" s="114"/>
      <c r="L3336" s="5"/>
    </row>
    <row r="3337" spans="1:15" x14ac:dyDescent="0.25">
      <c r="A3337" s="94" t="s">
        <v>528</v>
      </c>
      <c r="B3337" s="46" t="s">
        <v>66</v>
      </c>
      <c r="C3337" s="47"/>
      <c r="D3337" s="56">
        <v>351.46</v>
      </c>
      <c r="E3337" s="57">
        <v>6607.44</v>
      </c>
      <c r="F3337" s="44">
        <f>E3337/D3337</f>
        <v>18.799977237808001</v>
      </c>
      <c r="G3337" s="110" t="s">
        <v>51</v>
      </c>
      <c r="H3337" s="111"/>
      <c r="I3337" s="112"/>
      <c r="J3337" s="113"/>
      <c r="K3337" s="114"/>
      <c r="L3337" s="5"/>
    </row>
    <row r="3338" spans="1:15" x14ac:dyDescent="0.25">
      <c r="A3338" s="48"/>
      <c r="B3338" s="46"/>
      <c r="C3338" s="39"/>
      <c r="D3338" s="52"/>
      <c r="E3338" s="53"/>
      <c r="F3338" s="44"/>
      <c r="G3338" s="110" t="s">
        <v>58</v>
      </c>
      <c r="H3338" s="111"/>
      <c r="I3338" s="112"/>
      <c r="J3338" s="113"/>
      <c r="K3338" s="114"/>
      <c r="L3338" s="5"/>
      <c r="N3338">
        <f>428.16+127.84</f>
        <v>556</v>
      </c>
      <c r="O3338">
        <v>11687.1</v>
      </c>
    </row>
    <row r="3339" spans="1:15" x14ac:dyDescent="0.25">
      <c r="A3339" s="48"/>
      <c r="B3339" s="35"/>
      <c r="C3339" s="39"/>
      <c r="D3339" s="52"/>
      <c r="E3339" s="53"/>
      <c r="F3339" s="44"/>
      <c r="G3339" s="110" t="s">
        <v>51</v>
      </c>
      <c r="H3339" s="111"/>
      <c r="I3339" s="112"/>
      <c r="J3339" s="113"/>
      <c r="K3339" s="114"/>
      <c r="L3339" s="5"/>
      <c r="O3339">
        <v>10452.799999999999</v>
      </c>
    </row>
    <row r="3340" spans="1:15" x14ac:dyDescent="0.25">
      <c r="A3340" s="48"/>
      <c r="B3340" s="35"/>
      <c r="C3340" s="39"/>
      <c r="D3340" s="52"/>
      <c r="E3340" s="53"/>
      <c r="F3340" s="44"/>
      <c r="G3340" s="77"/>
      <c r="H3340" s="78" t="s">
        <v>69</v>
      </c>
      <c r="I3340" s="79"/>
      <c r="J3340" s="113"/>
      <c r="K3340" s="114"/>
      <c r="L3340" s="5"/>
      <c r="O3340">
        <f>O3338-O3339</f>
        <v>1234.3000000000011</v>
      </c>
    </row>
    <row r="3341" spans="1:15" x14ac:dyDescent="0.25">
      <c r="A3341" s="38"/>
      <c r="B3341" s="35"/>
      <c r="C3341" s="39"/>
      <c r="D3341" s="52"/>
      <c r="E3341" s="53"/>
      <c r="F3341" s="44"/>
      <c r="G3341" s="77"/>
      <c r="H3341" s="78" t="s">
        <v>72</v>
      </c>
      <c r="I3341" s="79"/>
      <c r="J3341" s="113"/>
      <c r="K3341" s="114"/>
      <c r="L3341" s="5"/>
    </row>
    <row r="3342" spans="1:15" ht="15.75" thickBot="1" x14ac:dyDescent="0.3">
      <c r="A3342" s="5"/>
      <c r="B3342" s="5"/>
      <c r="C3342" s="7" t="s">
        <v>35</v>
      </c>
      <c r="D3342" s="17">
        <f>SUM(D3334:D3341)</f>
        <v>1552.17</v>
      </c>
      <c r="E3342" s="17">
        <f>SUM(E3334:E3341)</f>
        <v>29585.069999999996</v>
      </c>
      <c r="F3342" s="89">
        <f>AVERAGE(F3334:F3338)</f>
        <v>19.494995546213033</v>
      </c>
      <c r="G3342" s="110" t="s">
        <v>73</v>
      </c>
      <c r="H3342" s="111"/>
      <c r="I3342" s="112"/>
      <c r="J3342" s="113"/>
      <c r="K3342" s="114"/>
      <c r="L3342" s="7" t="s">
        <v>36</v>
      </c>
    </row>
    <row r="3343" spans="1:15" ht="15.75" thickBot="1" x14ac:dyDescent="0.3">
      <c r="A3343" s="5"/>
      <c r="B3343" s="5"/>
      <c r="C3343" s="5"/>
      <c r="D3343" s="5"/>
      <c r="E3343" s="5"/>
      <c r="F3343" s="5"/>
      <c r="G3343" s="130"/>
      <c r="H3343" s="131"/>
      <c r="I3343" s="132"/>
      <c r="J3343" s="133"/>
      <c r="K3343" s="134"/>
      <c r="L3343" s="18">
        <f>J3334+J3335+J3336+J3337+J3338+J3339+J3340+J3341+J3342</f>
        <v>0</v>
      </c>
    </row>
    <row r="3344" spans="1:15" ht="15.75" thickBot="1" x14ac:dyDescent="0.3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</row>
    <row r="3345" spans="1:12" ht="15.75" thickBot="1" x14ac:dyDescent="0.3">
      <c r="A3345" s="19"/>
      <c r="B3345" s="20"/>
      <c r="C3345" s="20"/>
      <c r="D3345" s="20"/>
      <c r="E3345" s="21" t="s">
        <v>13</v>
      </c>
      <c r="F3345" s="5"/>
      <c r="G3345" s="19"/>
      <c r="H3345" s="20"/>
      <c r="I3345" s="20"/>
      <c r="J3345" s="20"/>
      <c r="K3345" s="21" t="s">
        <v>13</v>
      </c>
      <c r="L3345" s="5"/>
    </row>
    <row r="3346" spans="1:12" x14ac:dyDescent="0.25">
      <c r="A3346" s="22" t="s">
        <v>31</v>
      </c>
      <c r="B3346" s="115">
        <v>19091</v>
      </c>
      <c r="C3346" s="116"/>
      <c r="D3346" s="116"/>
      <c r="E3346" s="117"/>
      <c r="F3346" s="5"/>
      <c r="G3346" s="22" t="s">
        <v>32</v>
      </c>
      <c r="H3346" s="115">
        <v>43168</v>
      </c>
      <c r="I3346" s="116"/>
      <c r="J3346" s="116"/>
      <c r="K3346" s="117"/>
      <c r="L3346" s="5"/>
    </row>
    <row r="3347" spans="1:12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</row>
    <row r="3348" spans="1:12" x14ac:dyDescent="0.25">
      <c r="A3348" s="7" t="s">
        <v>16</v>
      </c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</row>
    <row r="3349" spans="1:12" x14ac:dyDescent="0.25">
      <c r="A3349" s="9" t="s">
        <v>17</v>
      </c>
      <c r="B3349" s="23">
        <f>L3326-C3321</f>
        <v>3062</v>
      </c>
      <c r="C3349" s="5"/>
      <c r="D3349" s="106" t="s">
        <v>18</v>
      </c>
      <c r="E3349" s="107"/>
      <c r="F3349" s="24" t="s">
        <v>19</v>
      </c>
      <c r="G3349" s="9" t="s">
        <v>20</v>
      </c>
      <c r="H3349" s="118">
        <f>B3346+H3346</f>
        <v>62259</v>
      </c>
      <c r="I3349" s="119"/>
      <c r="J3349" s="60"/>
      <c r="K3349" s="5"/>
      <c r="L3349" s="5"/>
    </row>
    <row r="3350" spans="1:12" x14ac:dyDescent="0.25">
      <c r="A3350" s="9" t="s">
        <v>41</v>
      </c>
      <c r="B3350" s="40">
        <f>B3349/D3342</f>
        <v>1.9727220600836248</v>
      </c>
      <c r="C3350" s="5"/>
      <c r="D3350" s="102">
        <f>E3342</f>
        <v>29585.069999999996</v>
      </c>
      <c r="E3350" s="103"/>
      <c r="F3350" s="25">
        <f>H3350/B3349</f>
        <v>10.82125081645983</v>
      </c>
      <c r="G3350" s="9" t="s">
        <v>21</v>
      </c>
      <c r="H3350" s="104">
        <f>L3343+D3350+D3352+D3354+D3356+A3353</f>
        <v>33134.67</v>
      </c>
      <c r="I3350" s="105"/>
      <c r="J3350" s="5"/>
      <c r="K3350" s="5"/>
      <c r="L3350" s="5"/>
    </row>
    <row r="3351" spans="1:12" x14ac:dyDescent="0.25">
      <c r="A3351" s="9" t="s">
        <v>43</v>
      </c>
      <c r="B3351" s="23">
        <f>D3342/B3349*100</f>
        <v>50.69137818419334</v>
      </c>
      <c r="C3351" s="5"/>
      <c r="D3351" s="106" t="s">
        <v>33</v>
      </c>
      <c r="E3351" s="107"/>
      <c r="F3351" s="5"/>
      <c r="G3351" s="13" t="s">
        <v>22</v>
      </c>
      <c r="H3351" s="6"/>
      <c r="I3351" s="26">
        <f>H3349-H3350</f>
        <v>29124.33</v>
      </c>
      <c r="J3351" s="5"/>
      <c r="K3351" s="5"/>
      <c r="L3351" s="5"/>
    </row>
    <row r="3352" spans="1:12" x14ac:dyDescent="0.25">
      <c r="A3352" s="106" t="s">
        <v>40</v>
      </c>
      <c r="B3352" s="107"/>
      <c r="C3352" s="5"/>
      <c r="D3352" s="149">
        <v>1100</v>
      </c>
      <c r="E3352" s="150"/>
      <c r="F3352" s="5"/>
      <c r="G3352" s="5"/>
      <c r="H3352" s="5"/>
      <c r="I3352" s="5"/>
      <c r="J3352" s="5"/>
      <c r="K3352" s="5"/>
      <c r="L3352" s="5"/>
    </row>
    <row r="3353" spans="1:12" x14ac:dyDescent="0.25">
      <c r="A3353" s="108">
        <f>B3349*0.8</f>
        <v>2449.6</v>
      </c>
      <c r="B3353" s="109"/>
      <c r="C3353" s="5"/>
      <c r="D3353" s="106" t="s">
        <v>34</v>
      </c>
      <c r="E3353" s="107"/>
      <c r="F3353" s="5"/>
      <c r="G3353" s="145" t="s">
        <v>292</v>
      </c>
      <c r="H3353" s="146"/>
      <c r="I3353" s="23">
        <f>B3349/2.3</f>
        <v>1331.304347826087</v>
      </c>
      <c r="J3353" s="60"/>
      <c r="K3353" s="5"/>
      <c r="L3353" s="5"/>
    </row>
    <row r="3354" spans="1:12" x14ac:dyDescent="0.25">
      <c r="A3354" s="5"/>
      <c r="B3354" s="5"/>
      <c r="C3354" s="5"/>
      <c r="D3354" s="108">
        <v>0</v>
      </c>
      <c r="E3354" s="109"/>
      <c r="F3354" s="5"/>
      <c r="G3354" s="145" t="s">
        <v>294</v>
      </c>
      <c r="H3354" s="146"/>
      <c r="I3354" s="23">
        <f>I3353-D3342</f>
        <v>-220.86565217391308</v>
      </c>
      <c r="J3354" s="5"/>
      <c r="K3354" s="5"/>
      <c r="L3354" s="5"/>
    </row>
    <row r="3355" spans="1:12" x14ac:dyDescent="0.25">
      <c r="A3355" s="5"/>
      <c r="B3355" s="5"/>
      <c r="C3355" s="5"/>
      <c r="D3355" s="106" t="s">
        <v>37</v>
      </c>
      <c r="E3355" s="107"/>
      <c r="F3355" s="5"/>
      <c r="G3355" s="147" t="s">
        <v>295</v>
      </c>
      <c r="H3355" s="148"/>
      <c r="I3355" s="86">
        <f>I3354*F3342</f>
        <v>-4305.7749054418728</v>
      </c>
      <c r="J3355" s="87">
        <f>I3351-I3355</f>
        <v>33430.104905441876</v>
      </c>
      <c r="K3355" s="5"/>
      <c r="L3355" s="5"/>
    </row>
    <row r="3356" spans="1:12" x14ac:dyDescent="0.25">
      <c r="A3356" s="5"/>
      <c r="B3356" s="5"/>
      <c r="C3356" s="5"/>
      <c r="D3356" s="108">
        <v>0</v>
      </c>
      <c r="E3356" s="109"/>
      <c r="F3356" s="5" t="s">
        <v>78</v>
      </c>
      <c r="G3356" s="5"/>
      <c r="H3356" s="5"/>
      <c r="I3356" s="5"/>
      <c r="J3356" s="88" t="s">
        <v>293</v>
      </c>
      <c r="K3356" s="44"/>
      <c r="L3356" s="5"/>
    </row>
    <row r="3358" spans="1:12" s="49" customFormat="1" x14ac:dyDescent="0.25"/>
    <row r="3361" spans="1:12" x14ac:dyDescent="0.25">
      <c r="A3361" s="120" t="s">
        <v>24</v>
      </c>
      <c r="B3361" s="120"/>
      <c r="C3361" s="120"/>
      <c r="D3361" s="120"/>
      <c r="E3361" s="120"/>
      <c r="F3361" s="120"/>
      <c r="G3361" s="120"/>
      <c r="H3361" s="120"/>
      <c r="I3361" s="120"/>
      <c r="J3361" s="120"/>
      <c r="K3361" s="120"/>
      <c r="L3361" s="120"/>
    </row>
    <row r="3362" spans="1:12" x14ac:dyDescent="0.25">
      <c r="A3362" s="120"/>
      <c r="B3362" s="120"/>
      <c r="C3362" s="120"/>
      <c r="D3362" s="120"/>
      <c r="E3362" s="120"/>
      <c r="F3362" s="120"/>
      <c r="G3362" s="120"/>
      <c r="H3362" s="120"/>
      <c r="I3362" s="120"/>
      <c r="J3362" s="120"/>
      <c r="K3362" s="120"/>
      <c r="L3362" s="120"/>
    </row>
    <row r="3363" spans="1:12" x14ac:dyDescent="0.25">
      <c r="A3363" s="1" t="s">
        <v>4</v>
      </c>
      <c r="B3363" s="2"/>
      <c r="C3363" s="90"/>
      <c r="D3363" s="2"/>
      <c r="E3363" s="2"/>
      <c r="F3363" s="2"/>
      <c r="G3363" s="3" t="s">
        <v>5</v>
      </c>
      <c r="H3363" s="3" t="s">
        <v>6</v>
      </c>
      <c r="I3363" s="4" t="s">
        <v>7</v>
      </c>
      <c r="J3363" s="5"/>
      <c r="K3363" s="5"/>
      <c r="L3363" s="5"/>
    </row>
    <row r="3364" spans="1:12" x14ac:dyDescent="0.25">
      <c r="A3364" s="91" t="s">
        <v>341</v>
      </c>
      <c r="B3364" s="92" t="s">
        <v>42</v>
      </c>
      <c r="C3364" s="64"/>
      <c r="D3364" s="66"/>
      <c r="E3364" s="2"/>
      <c r="F3364" s="2"/>
      <c r="G3364" s="91" t="s">
        <v>299</v>
      </c>
      <c r="H3364" s="66"/>
      <c r="I3364" s="33"/>
      <c r="J3364" s="6"/>
      <c r="K3364" s="33"/>
      <c r="L3364" s="6"/>
    </row>
    <row r="3365" spans="1:12" x14ac:dyDescent="0.25">
      <c r="A3365" s="7" t="s">
        <v>2</v>
      </c>
      <c r="B3365" s="5"/>
      <c r="C3365" s="5"/>
      <c r="D3365" s="5"/>
      <c r="E3365" s="5"/>
      <c r="F3365" s="5"/>
      <c r="G3365" s="8" t="s">
        <v>8</v>
      </c>
      <c r="H3365" s="93">
        <v>3</v>
      </c>
      <c r="I3365" s="5"/>
      <c r="J3365" s="5"/>
      <c r="K3365" s="5"/>
      <c r="L3365" s="5"/>
    </row>
    <row r="3366" spans="1:12" x14ac:dyDescent="0.25">
      <c r="A3366" s="7" t="s">
        <v>25</v>
      </c>
      <c r="B3366" s="5"/>
      <c r="C3366" s="7" t="s">
        <v>0</v>
      </c>
      <c r="D3366" s="5"/>
      <c r="E3366" s="5"/>
      <c r="F3366" s="5"/>
      <c r="G3366" s="7" t="s">
        <v>25</v>
      </c>
      <c r="H3366" s="5"/>
      <c r="I3366" s="7" t="s">
        <v>0</v>
      </c>
      <c r="J3366" s="5"/>
      <c r="K3366" s="5"/>
      <c r="L3366" s="5"/>
    </row>
    <row r="3367" spans="1:12" x14ac:dyDescent="0.25">
      <c r="A3367" s="42" t="s">
        <v>524</v>
      </c>
      <c r="B3367" s="6"/>
      <c r="C3367" s="31">
        <f>L3326</f>
        <v>1034463</v>
      </c>
      <c r="D3367" s="5"/>
      <c r="E3367" s="5"/>
      <c r="F3367" s="5"/>
      <c r="G3367" s="42"/>
      <c r="H3367" s="6"/>
      <c r="I3367" s="9"/>
      <c r="J3367" s="5"/>
      <c r="K3367" s="5"/>
      <c r="L3367" s="5"/>
    </row>
    <row r="3368" spans="1:12" ht="16.5" thickBot="1" x14ac:dyDescent="0.3">
      <c r="A3368" s="7"/>
      <c r="B3368" s="62"/>
      <c r="C3368" s="62"/>
      <c r="D3368" s="62"/>
      <c r="E3368" s="5"/>
      <c r="F3368" s="5"/>
      <c r="G3368" s="10"/>
      <c r="H3368" s="5"/>
      <c r="I3368" s="5"/>
      <c r="J3368" s="5"/>
      <c r="K3368" s="5"/>
      <c r="L3368" s="5"/>
    </row>
    <row r="3369" spans="1:12" ht="15.75" thickBot="1" x14ac:dyDescent="0.3">
      <c r="A3369" s="121" t="s">
        <v>9</v>
      </c>
      <c r="B3369" s="122"/>
      <c r="C3369" s="123"/>
      <c r="D3369" s="5"/>
      <c r="E3369" s="5"/>
      <c r="F3369" s="5"/>
      <c r="G3369" s="121" t="s">
        <v>26</v>
      </c>
      <c r="H3369" s="122"/>
      <c r="I3369" s="123"/>
      <c r="J3369" s="5"/>
      <c r="K3369" s="5"/>
      <c r="L3369" s="5"/>
    </row>
    <row r="3370" spans="1:12" x14ac:dyDescent="0.25">
      <c r="A3370" s="30" t="s">
        <v>38</v>
      </c>
      <c r="B3370" s="11"/>
      <c r="C3370" s="11"/>
      <c r="D3370" s="11"/>
      <c r="E3370" s="6"/>
      <c r="F3370" s="5"/>
      <c r="G3370" s="30" t="str">
        <f>A3373</f>
        <v>Oshkati</v>
      </c>
      <c r="H3370" s="11"/>
      <c r="I3370" s="11"/>
      <c r="J3370" s="11"/>
      <c r="K3370" s="11"/>
      <c r="L3370" s="6"/>
    </row>
    <row r="3371" spans="1:12" ht="15.75" thickBot="1" x14ac:dyDescent="0.3">
      <c r="A3371" s="7"/>
      <c r="B3371" s="7"/>
      <c r="C3371" s="7"/>
      <c r="D3371" s="5"/>
      <c r="E3371" s="5"/>
      <c r="F3371" s="5"/>
      <c r="G3371" s="7" t="str">
        <f>A3373</f>
        <v>Oshkati</v>
      </c>
      <c r="H3371" s="7"/>
      <c r="I3371" s="7"/>
      <c r="J3371" s="5"/>
      <c r="K3371" s="5"/>
      <c r="L3371" s="5"/>
    </row>
    <row r="3372" spans="1:12" ht="15.75" thickBot="1" x14ac:dyDescent="0.3">
      <c r="A3372" s="121"/>
      <c r="B3372" s="122"/>
      <c r="C3372" s="124"/>
      <c r="D3372" s="12" t="s">
        <v>1</v>
      </c>
      <c r="E3372" s="32"/>
      <c r="F3372" s="5"/>
      <c r="G3372" s="121" t="s">
        <v>27</v>
      </c>
      <c r="H3372" s="122"/>
      <c r="I3372" s="123"/>
      <c r="J3372" s="5"/>
      <c r="K3372" s="12" t="s">
        <v>1</v>
      </c>
      <c r="L3372" s="32">
        <v>1035913</v>
      </c>
    </row>
    <row r="3373" spans="1:12" x14ac:dyDescent="0.25">
      <c r="A3373" s="30" t="s">
        <v>467</v>
      </c>
      <c r="B3373" s="11"/>
      <c r="C3373" s="11"/>
      <c r="D3373" s="11"/>
      <c r="E3373" s="6"/>
      <c r="F3373" s="5"/>
      <c r="G3373" s="30" t="s">
        <v>364</v>
      </c>
      <c r="H3373" s="11"/>
      <c r="I3373" s="11"/>
      <c r="J3373" s="11"/>
      <c r="K3373" s="11"/>
      <c r="L3373" s="6"/>
    </row>
    <row r="3374" spans="1:12" x14ac:dyDescent="0.25">
      <c r="A3374" s="76"/>
      <c r="B3374" s="11"/>
      <c r="C3374" s="11"/>
      <c r="D3374" s="11"/>
      <c r="E3374" s="6"/>
      <c r="F3374" s="5"/>
      <c r="G3374" s="34"/>
      <c r="H3374" s="11"/>
      <c r="I3374" s="11"/>
      <c r="J3374" s="11"/>
      <c r="K3374" s="11"/>
      <c r="L3374" s="6"/>
    </row>
    <row r="3375" spans="1:12" x14ac:dyDescent="0.25">
      <c r="A3375" s="13"/>
      <c r="B3375" s="11"/>
      <c r="C3375" s="11"/>
      <c r="D3375" s="11"/>
      <c r="E3375" s="6"/>
      <c r="F3375" s="5"/>
      <c r="G3375" s="13"/>
      <c r="H3375" s="11"/>
      <c r="I3375" s="11"/>
      <c r="J3375" s="11"/>
      <c r="K3375" s="11"/>
      <c r="L3375" s="6"/>
    </row>
    <row r="3376" spans="1:12" x14ac:dyDescent="0.25">
      <c r="A3376" s="13"/>
      <c r="B3376" s="11"/>
      <c r="C3376" s="11"/>
      <c r="D3376" s="11"/>
      <c r="E3376" s="6"/>
      <c r="F3376" s="5"/>
      <c r="G3376" s="13"/>
      <c r="H3376" s="11"/>
      <c r="I3376" s="11"/>
      <c r="J3376" s="11"/>
      <c r="K3376" s="11"/>
      <c r="L3376" s="6"/>
    </row>
    <row r="3377" spans="1:12" ht="15.75" thickBot="1" x14ac:dyDescent="0.3">
      <c r="A3377" s="13"/>
      <c r="B3377" s="11"/>
      <c r="C3377" s="11" t="s">
        <v>29</v>
      </c>
      <c r="D3377" s="43"/>
      <c r="E3377" s="6"/>
      <c r="F3377" s="5"/>
      <c r="G3377" s="13"/>
      <c r="H3377" s="11"/>
      <c r="I3377" s="14" t="s">
        <v>28</v>
      </c>
      <c r="J3377" s="43"/>
      <c r="K3377" s="59"/>
      <c r="L3377" s="6"/>
    </row>
    <row r="3378" spans="1:12" ht="15.75" thickBot="1" x14ac:dyDescent="0.3">
      <c r="A3378" s="15" t="s">
        <v>10</v>
      </c>
      <c r="B3378" s="5"/>
      <c r="C3378" s="5"/>
      <c r="D3378" s="5"/>
      <c r="E3378" s="5"/>
      <c r="F3378" s="5"/>
      <c r="G3378" s="15" t="s">
        <v>14</v>
      </c>
      <c r="H3378" s="5"/>
      <c r="I3378" s="5"/>
      <c r="J3378" s="5"/>
      <c r="K3378" s="5"/>
      <c r="L3378" s="5"/>
    </row>
    <row r="3379" spans="1:12" ht="15.75" thickBot="1" x14ac:dyDescent="0.3">
      <c r="A3379" s="121" t="s">
        <v>11</v>
      </c>
      <c r="B3379" s="122"/>
      <c r="C3379" s="123"/>
      <c r="D3379" s="16" t="s">
        <v>12</v>
      </c>
      <c r="E3379" s="16" t="s">
        <v>13</v>
      </c>
      <c r="F3379" s="5"/>
      <c r="G3379" s="121" t="s">
        <v>15</v>
      </c>
      <c r="H3379" s="122"/>
      <c r="I3379" s="123"/>
      <c r="J3379" s="121"/>
      <c r="K3379" s="123"/>
      <c r="L3379" s="5"/>
    </row>
    <row r="3380" spans="1:12" x14ac:dyDescent="0.25">
      <c r="A3380" s="94" t="s">
        <v>525</v>
      </c>
      <c r="B3380" s="46" t="s">
        <v>47</v>
      </c>
      <c r="C3380" s="47"/>
      <c r="D3380" s="56">
        <v>569.92999999999995</v>
      </c>
      <c r="E3380" s="57">
        <v>10361.33</v>
      </c>
      <c r="F3380" s="44">
        <f>E3380/D3380</f>
        <v>18.180004561963752</v>
      </c>
      <c r="G3380" s="125" t="s">
        <v>69</v>
      </c>
      <c r="H3380" s="126"/>
      <c r="I3380" s="127"/>
      <c r="J3380" s="128"/>
      <c r="K3380" s="129"/>
      <c r="L3380" s="5"/>
    </row>
    <row r="3381" spans="1:12" x14ac:dyDescent="0.25">
      <c r="A3381" s="94"/>
      <c r="B3381" s="46"/>
      <c r="C3381" s="47"/>
      <c r="D3381" s="56"/>
      <c r="E3381" s="57"/>
      <c r="F3381" s="44"/>
      <c r="G3381" s="110" t="s">
        <v>59</v>
      </c>
      <c r="H3381" s="111"/>
      <c r="I3381" s="112"/>
      <c r="J3381" s="113"/>
      <c r="K3381" s="114"/>
      <c r="L3381" s="5"/>
    </row>
    <row r="3382" spans="1:12" x14ac:dyDescent="0.25">
      <c r="A3382" s="94"/>
      <c r="B3382" s="46"/>
      <c r="C3382" s="47"/>
      <c r="D3382" s="56"/>
      <c r="E3382" s="57"/>
      <c r="F3382" s="44"/>
      <c r="G3382" s="110" t="s">
        <v>61</v>
      </c>
      <c r="H3382" s="111"/>
      <c r="I3382" s="112"/>
      <c r="J3382" s="113"/>
      <c r="K3382" s="114"/>
      <c r="L3382" s="5"/>
    </row>
    <row r="3383" spans="1:12" x14ac:dyDescent="0.25">
      <c r="A3383" s="94"/>
      <c r="B3383" s="46"/>
      <c r="C3383" s="47"/>
      <c r="D3383" s="56"/>
      <c r="E3383" s="57"/>
      <c r="F3383" s="44"/>
      <c r="G3383" s="110" t="s">
        <v>51</v>
      </c>
      <c r="H3383" s="111"/>
      <c r="I3383" s="112"/>
      <c r="J3383" s="113"/>
      <c r="K3383" s="114"/>
      <c r="L3383" s="5"/>
    </row>
    <row r="3384" spans="1:12" x14ac:dyDescent="0.25">
      <c r="A3384" s="48"/>
      <c r="B3384" s="46"/>
      <c r="C3384" s="39"/>
      <c r="D3384" s="52"/>
      <c r="E3384" s="53"/>
      <c r="F3384" s="44"/>
      <c r="G3384" s="110" t="s">
        <v>58</v>
      </c>
      <c r="H3384" s="111"/>
      <c r="I3384" s="112"/>
      <c r="J3384" s="113"/>
      <c r="K3384" s="114"/>
      <c r="L3384" s="5"/>
    </row>
    <row r="3385" spans="1:12" x14ac:dyDescent="0.25">
      <c r="A3385" s="48"/>
      <c r="B3385" s="35"/>
      <c r="C3385" s="39"/>
      <c r="D3385" s="52"/>
      <c r="E3385" s="53"/>
      <c r="F3385" s="44"/>
      <c r="G3385" s="110" t="s">
        <v>51</v>
      </c>
      <c r="H3385" s="111"/>
      <c r="I3385" s="112"/>
      <c r="J3385" s="113"/>
      <c r="K3385" s="114"/>
      <c r="L3385" s="5"/>
    </row>
    <row r="3386" spans="1:12" x14ac:dyDescent="0.25">
      <c r="A3386" s="48"/>
      <c r="B3386" s="35"/>
      <c r="C3386" s="39"/>
      <c r="D3386" s="52"/>
      <c r="E3386" s="53"/>
      <c r="F3386" s="44"/>
      <c r="G3386" s="77"/>
      <c r="H3386" s="78" t="s">
        <v>69</v>
      </c>
      <c r="I3386" s="79"/>
      <c r="J3386" s="113"/>
      <c r="K3386" s="114"/>
      <c r="L3386" s="5"/>
    </row>
    <row r="3387" spans="1:12" x14ac:dyDescent="0.25">
      <c r="A3387" s="38"/>
      <c r="B3387" s="35"/>
      <c r="C3387" s="39"/>
      <c r="D3387" s="52"/>
      <c r="E3387" s="53"/>
      <c r="F3387" s="44"/>
      <c r="G3387" s="77"/>
      <c r="H3387" s="78" t="s">
        <v>72</v>
      </c>
      <c r="I3387" s="79"/>
      <c r="J3387" s="113"/>
      <c r="K3387" s="114"/>
      <c r="L3387" s="5"/>
    </row>
    <row r="3388" spans="1:12" ht="15.75" thickBot="1" x14ac:dyDescent="0.3">
      <c r="A3388" s="5"/>
      <c r="B3388" s="5"/>
      <c r="C3388" s="7" t="s">
        <v>35</v>
      </c>
      <c r="D3388" s="17">
        <f>SUM(D3380:D3387)</f>
        <v>569.92999999999995</v>
      </c>
      <c r="E3388" s="17">
        <f>SUM(E3380:E3387)</f>
        <v>10361.33</v>
      </c>
      <c r="F3388" s="89">
        <f>AVERAGE(F3380:F3384)</f>
        <v>18.180004561963752</v>
      </c>
      <c r="G3388" s="110" t="s">
        <v>73</v>
      </c>
      <c r="H3388" s="111"/>
      <c r="I3388" s="112"/>
      <c r="J3388" s="113"/>
      <c r="K3388" s="114"/>
      <c r="L3388" s="7" t="s">
        <v>36</v>
      </c>
    </row>
    <row r="3389" spans="1:12" ht="15.75" thickBot="1" x14ac:dyDescent="0.3">
      <c r="A3389" s="5"/>
      <c r="B3389" s="5"/>
      <c r="C3389" s="5"/>
      <c r="D3389" s="5"/>
      <c r="E3389" s="5"/>
      <c r="F3389" s="5"/>
      <c r="G3389" s="130"/>
      <c r="H3389" s="131"/>
      <c r="I3389" s="132"/>
      <c r="J3389" s="133"/>
      <c r="K3389" s="134"/>
      <c r="L3389" s="18">
        <f>J3380+J3381+J3382+J3383+J3384+J3385+J3386+J3387+J3388</f>
        <v>0</v>
      </c>
    </row>
    <row r="3390" spans="1:12" ht="15.75" thickBot="1" x14ac:dyDescent="0.3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</row>
    <row r="3391" spans="1:12" ht="15.75" thickBot="1" x14ac:dyDescent="0.3">
      <c r="A3391" s="19"/>
      <c r="B3391" s="20"/>
      <c r="C3391" s="20"/>
      <c r="D3391" s="20"/>
      <c r="E3391" s="21" t="s">
        <v>13</v>
      </c>
      <c r="F3391" s="5"/>
      <c r="G3391" s="19"/>
      <c r="H3391" s="20"/>
      <c r="I3391" s="20"/>
      <c r="J3391" s="20"/>
      <c r="K3391" s="21" t="s">
        <v>13</v>
      </c>
      <c r="L3391" s="5"/>
    </row>
    <row r="3392" spans="1:12" x14ac:dyDescent="0.25">
      <c r="A3392" s="22" t="s">
        <v>31</v>
      </c>
      <c r="B3392" s="115">
        <v>19091</v>
      </c>
      <c r="C3392" s="116"/>
      <c r="D3392" s="116"/>
      <c r="E3392" s="117"/>
      <c r="F3392" s="5"/>
      <c r="G3392" s="22" t="s">
        <v>32</v>
      </c>
      <c r="H3392" s="115">
        <v>43168</v>
      </c>
      <c r="I3392" s="116"/>
      <c r="J3392" s="116"/>
      <c r="K3392" s="117"/>
      <c r="L3392" s="5"/>
    </row>
    <row r="3393" spans="1:12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</row>
    <row r="3394" spans="1:12" x14ac:dyDescent="0.25">
      <c r="A3394" s="7" t="s">
        <v>16</v>
      </c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</row>
    <row r="3395" spans="1:12" x14ac:dyDescent="0.25">
      <c r="A3395" s="9" t="s">
        <v>17</v>
      </c>
      <c r="B3395" s="23">
        <f>L3372-C3367</f>
        <v>1450</v>
      </c>
      <c r="C3395" s="5"/>
      <c r="D3395" s="106" t="s">
        <v>18</v>
      </c>
      <c r="E3395" s="107"/>
      <c r="F3395" s="24" t="s">
        <v>19</v>
      </c>
      <c r="G3395" s="9" t="s">
        <v>20</v>
      </c>
      <c r="H3395" s="118">
        <f>B3392+H3392</f>
        <v>62259</v>
      </c>
      <c r="I3395" s="119"/>
      <c r="J3395" s="60"/>
      <c r="K3395" s="5"/>
      <c r="L3395" s="5"/>
    </row>
    <row r="3396" spans="1:12" x14ac:dyDescent="0.25">
      <c r="A3396" s="9" t="s">
        <v>41</v>
      </c>
      <c r="B3396" s="40">
        <f>B3395/D3388</f>
        <v>2.5441720913094592</v>
      </c>
      <c r="C3396" s="5"/>
      <c r="D3396" s="102">
        <f>E3388</f>
        <v>10361.33</v>
      </c>
      <c r="E3396" s="103"/>
      <c r="F3396" s="25">
        <f>H3396/B3395</f>
        <v>8.5043655172413786</v>
      </c>
      <c r="G3396" s="9" t="s">
        <v>21</v>
      </c>
      <c r="H3396" s="104">
        <f>L3389+D3396+D3398+D3400+D3402+A3399</f>
        <v>12331.33</v>
      </c>
      <c r="I3396" s="105"/>
      <c r="J3396" s="5"/>
      <c r="K3396" s="5"/>
      <c r="L3396" s="5"/>
    </row>
    <row r="3397" spans="1:12" x14ac:dyDescent="0.25">
      <c r="A3397" s="9" t="s">
        <v>43</v>
      </c>
      <c r="B3397" s="23">
        <f>D3388/B3395*100</f>
        <v>39.305517241379306</v>
      </c>
      <c r="C3397" s="5"/>
      <c r="D3397" s="106" t="s">
        <v>33</v>
      </c>
      <c r="E3397" s="107"/>
      <c r="F3397" s="5"/>
      <c r="G3397" s="13" t="s">
        <v>22</v>
      </c>
      <c r="H3397" s="6"/>
      <c r="I3397" s="26">
        <f>H3395-H3396</f>
        <v>49927.67</v>
      </c>
      <c r="J3397" s="5"/>
      <c r="K3397" s="5"/>
      <c r="L3397" s="5"/>
    </row>
    <row r="3398" spans="1:12" x14ac:dyDescent="0.25">
      <c r="A3398" s="106" t="s">
        <v>40</v>
      </c>
      <c r="B3398" s="107"/>
      <c r="C3398" s="5"/>
      <c r="D3398" s="149">
        <v>1100</v>
      </c>
      <c r="E3398" s="150"/>
      <c r="F3398" s="5"/>
      <c r="G3398" s="5"/>
      <c r="H3398" s="5"/>
      <c r="I3398" s="5"/>
      <c r="J3398" s="5"/>
      <c r="K3398" s="5"/>
      <c r="L3398" s="5"/>
    </row>
    <row r="3399" spans="1:12" x14ac:dyDescent="0.25">
      <c r="A3399" s="108">
        <f>B3395*0.6</f>
        <v>870</v>
      </c>
      <c r="B3399" s="109"/>
      <c r="C3399" s="5"/>
      <c r="D3399" s="106" t="s">
        <v>34</v>
      </c>
      <c r="E3399" s="107"/>
      <c r="F3399" s="5"/>
      <c r="G3399" s="145" t="s">
        <v>292</v>
      </c>
      <c r="H3399" s="146"/>
      <c r="I3399" s="23">
        <f>B3395/2.3</f>
        <v>630.43478260869574</v>
      </c>
      <c r="J3399" s="60"/>
      <c r="K3399" s="5"/>
      <c r="L3399" s="5"/>
    </row>
    <row r="3400" spans="1:12" x14ac:dyDescent="0.25">
      <c r="A3400" s="5"/>
      <c r="B3400" s="5"/>
      <c r="C3400" s="5"/>
      <c r="D3400" s="108">
        <v>0</v>
      </c>
      <c r="E3400" s="109"/>
      <c r="F3400" s="5"/>
      <c r="G3400" s="145" t="s">
        <v>294</v>
      </c>
      <c r="H3400" s="146"/>
      <c r="I3400" s="23">
        <f>I3399-D3388</f>
        <v>60.504782608695791</v>
      </c>
      <c r="J3400" s="5"/>
      <c r="K3400" s="5"/>
      <c r="L3400" s="5"/>
    </row>
    <row r="3401" spans="1:12" x14ac:dyDescent="0.25">
      <c r="A3401" s="5"/>
      <c r="B3401" s="5"/>
      <c r="C3401" s="5"/>
      <c r="D3401" s="106" t="s">
        <v>37</v>
      </c>
      <c r="E3401" s="107"/>
      <c r="F3401" s="5"/>
      <c r="G3401" s="147" t="s">
        <v>295</v>
      </c>
      <c r="H3401" s="148"/>
      <c r="I3401" s="86">
        <f>I3400*F3388</f>
        <v>1099.9772238467147</v>
      </c>
      <c r="J3401" s="87">
        <f>I3397-I3401</f>
        <v>48827.692776153286</v>
      </c>
      <c r="K3401" s="5"/>
      <c r="L3401" s="5"/>
    </row>
    <row r="3402" spans="1:12" x14ac:dyDescent="0.25">
      <c r="A3402" s="5"/>
      <c r="B3402" s="5"/>
      <c r="C3402" s="5"/>
      <c r="D3402" s="108">
        <v>0</v>
      </c>
      <c r="E3402" s="109"/>
      <c r="F3402" s="5" t="s">
        <v>78</v>
      </c>
      <c r="G3402" s="5"/>
      <c r="H3402" s="5"/>
      <c r="I3402" s="5"/>
      <c r="J3402" s="88" t="s">
        <v>293</v>
      </c>
      <c r="K3402" s="44"/>
      <c r="L3402" s="5"/>
    </row>
    <row r="3404" spans="1:12" s="49" customFormat="1" x14ac:dyDescent="0.25"/>
    <row r="3407" spans="1:12" x14ac:dyDescent="0.25">
      <c r="A3407" s="120" t="s">
        <v>24</v>
      </c>
      <c r="B3407" s="120"/>
      <c r="C3407" s="120"/>
      <c r="D3407" s="120"/>
      <c r="E3407" s="120"/>
      <c r="F3407" s="120"/>
      <c r="G3407" s="120"/>
      <c r="H3407" s="120"/>
      <c r="I3407" s="120"/>
      <c r="J3407" s="120"/>
      <c r="K3407" s="120"/>
      <c r="L3407" s="120"/>
    </row>
    <row r="3408" spans="1:12" x14ac:dyDescent="0.25">
      <c r="A3408" s="120"/>
      <c r="B3408" s="120"/>
      <c r="C3408" s="120"/>
      <c r="D3408" s="120"/>
      <c r="E3408" s="120"/>
      <c r="F3408" s="120"/>
      <c r="G3408" s="120"/>
      <c r="H3408" s="120"/>
      <c r="I3408" s="120"/>
      <c r="J3408" s="120"/>
      <c r="K3408" s="120"/>
      <c r="L3408" s="120"/>
    </row>
    <row r="3409" spans="1:12" x14ac:dyDescent="0.25">
      <c r="A3409" s="1" t="s">
        <v>4</v>
      </c>
      <c r="B3409" s="2"/>
      <c r="C3409" s="90"/>
      <c r="D3409" s="2"/>
      <c r="E3409" s="2"/>
      <c r="F3409" s="2"/>
      <c r="G3409" s="3" t="s">
        <v>5</v>
      </c>
      <c r="H3409" s="3" t="s">
        <v>6</v>
      </c>
      <c r="I3409" s="4" t="s">
        <v>7</v>
      </c>
      <c r="J3409" s="5"/>
      <c r="K3409" s="5"/>
      <c r="L3409" s="5"/>
    </row>
    <row r="3410" spans="1:12" x14ac:dyDescent="0.25">
      <c r="A3410" s="91" t="s">
        <v>341</v>
      </c>
      <c r="B3410" s="92" t="s">
        <v>42</v>
      </c>
      <c r="C3410" s="64"/>
      <c r="D3410" s="66"/>
      <c r="E3410" s="2"/>
      <c r="F3410" s="2"/>
      <c r="G3410" s="91" t="s">
        <v>299</v>
      </c>
      <c r="H3410" s="66"/>
      <c r="I3410" s="33"/>
      <c r="J3410" s="6"/>
      <c r="K3410" s="33"/>
      <c r="L3410" s="6"/>
    </row>
    <row r="3411" spans="1:12" x14ac:dyDescent="0.25">
      <c r="A3411" s="7" t="s">
        <v>2</v>
      </c>
      <c r="B3411" s="5"/>
      <c r="C3411" s="5"/>
      <c r="D3411" s="5"/>
      <c r="E3411" s="5"/>
      <c r="F3411" s="5"/>
      <c r="G3411" s="8" t="s">
        <v>8</v>
      </c>
      <c r="H3411" s="93">
        <v>3</v>
      </c>
      <c r="I3411" s="5"/>
      <c r="J3411" s="5"/>
      <c r="K3411" s="5"/>
      <c r="L3411" s="5"/>
    </row>
    <row r="3412" spans="1:12" x14ac:dyDescent="0.25">
      <c r="A3412" s="7" t="s">
        <v>25</v>
      </c>
      <c r="B3412" s="5"/>
      <c r="C3412" s="7" t="s">
        <v>0</v>
      </c>
      <c r="D3412" s="5"/>
      <c r="E3412" s="5"/>
      <c r="F3412" s="5"/>
      <c r="G3412" s="7" t="s">
        <v>25</v>
      </c>
      <c r="H3412" s="5"/>
      <c r="I3412" s="7" t="s">
        <v>0</v>
      </c>
      <c r="J3412" s="5"/>
      <c r="K3412" s="5"/>
      <c r="L3412" s="5"/>
    </row>
    <row r="3413" spans="1:12" x14ac:dyDescent="0.25">
      <c r="A3413" s="42" t="s">
        <v>525</v>
      </c>
      <c r="B3413" s="6"/>
      <c r="C3413" s="31">
        <f>L3372</f>
        <v>1035913</v>
      </c>
      <c r="D3413" s="5"/>
      <c r="E3413" s="5"/>
      <c r="F3413" s="5"/>
      <c r="G3413" s="42"/>
      <c r="H3413" s="6"/>
      <c r="I3413" s="9"/>
      <c r="J3413" s="5"/>
      <c r="K3413" s="5"/>
      <c r="L3413" s="5"/>
    </row>
    <row r="3414" spans="1:12" ht="16.5" thickBot="1" x14ac:dyDescent="0.3">
      <c r="A3414" s="7"/>
      <c r="B3414" s="62"/>
      <c r="C3414" s="62"/>
      <c r="D3414" s="62"/>
      <c r="E3414" s="5"/>
      <c r="F3414" s="5"/>
      <c r="G3414" s="10"/>
      <c r="H3414" s="5"/>
      <c r="I3414" s="5"/>
      <c r="J3414" s="5"/>
      <c r="K3414" s="5"/>
      <c r="L3414" s="5"/>
    </row>
    <row r="3415" spans="1:12" ht="15.75" thickBot="1" x14ac:dyDescent="0.3">
      <c r="A3415" s="121" t="s">
        <v>9</v>
      </c>
      <c r="B3415" s="122"/>
      <c r="C3415" s="123"/>
      <c r="D3415" s="5"/>
      <c r="E3415" s="5"/>
      <c r="F3415" s="5"/>
      <c r="G3415" s="121" t="s">
        <v>26</v>
      </c>
      <c r="H3415" s="122"/>
      <c r="I3415" s="123"/>
      <c r="J3415" s="5"/>
      <c r="K3415" s="5"/>
      <c r="L3415" s="5"/>
    </row>
    <row r="3416" spans="1:12" x14ac:dyDescent="0.25">
      <c r="A3416" s="30" t="s">
        <v>38</v>
      </c>
      <c r="B3416" s="11"/>
      <c r="C3416" s="11"/>
      <c r="D3416" s="11"/>
      <c r="E3416" s="6"/>
      <c r="F3416" s="5"/>
      <c r="G3416" s="30" t="str">
        <f>A3419</f>
        <v>EYN - Cape Town</v>
      </c>
      <c r="H3416" s="11"/>
      <c r="I3416" s="11"/>
      <c r="J3416" s="11"/>
      <c r="K3416" s="11"/>
      <c r="L3416" s="6"/>
    </row>
    <row r="3417" spans="1:12" ht="15.75" thickBot="1" x14ac:dyDescent="0.3">
      <c r="A3417" s="7"/>
      <c r="B3417" s="7"/>
      <c r="C3417" s="7"/>
      <c r="D3417" s="5"/>
      <c r="E3417" s="5"/>
      <c r="F3417" s="5"/>
      <c r="G3417" s="7"/>
      <c r="H3417" s="7"/>
      <c r="I3417" s="7"/>
      <c r="J3417" s="5"/>
      <c r="K3417" s="5"/>
      <c r="L3417" s="5"/>
    </row>
    <row r="3418" spans="1:12" ht="15.75" thickBot="1" x14ac:dyDescent="0.3">
      <c r="A3418" s="121"/>
      <c r="B3418" s="122"/>
      <c r="C3418" s="124"/>
      <c r="D3418" s="12" t="s">
        <v>1</v>
      </c>
      <c r="E3418" s="32"/>
      <c r="F3418" s="5"/>
      <c r="G3418" s="121" t="s">
        <v>27</v>
      </c>
      <c r="H3418" s="122"/>
      <c r="I3418" s="123"/>
      <c r="J3418" s="5"/>
      <c r="K3418" s="12" t="s">
        <v>1</v>
      </c>
      <c r="L3418" s="32">
        <v>1038987</v>
      </c>
    </row>
    <row r="3419" spans="1:12" x14ac:dyDescent="0.25">
      <c r="A3419" s="30" t="s">
        <v>531</v>
      </c>
      <c r="B3419" s="11"/>
      <c r="C3419" s="11"/>
      <c r="D3419" s="11"/>
      <c r="E3419" s="6"/>
      <c r="F3419" s="5"/>
      <c r="G3419" s="30" t="s">
        <v>364</v>
      </c>
      <c r="H3419" s="11"/>
      <c r="I3419" s="11"/>
      <c r="J3419" s="11"/>
      <c r="K3419" s="11"/>
      <c r="L3419" s="6"/>
    </row>
    <row r="3420" spans="1:12" x14ac:dyDescent="0.25">
      <c r="A3420" s="76"/>
      <c r="B3420" s="11"/>
      <c r="C3420" s="11"/>
      <c r="D3420" s="11"/>
      <c r="E3420" s="6"/>
      <c r="F3420" s="5"/>
      <c r="G3420" s="34"/>
      <c r="H3420" s="11"/>
      <c r="I3420" s="11"/>
      <c r="J3420" s="11"/>
      <c r="K3420" s="11"/>
      <c r="L3420" s="6"/>
    </row>
    <row r="3421" spans="1:12" x14ac:dyDescent="0.25">
      <c r="A3421" s="13"/>
      <c r="B3421" s="11"/>
      <c r="C3421" s="11"/>
      <c r="D3421" s="11"/>
      <c r="E3421" s="6"/>
      <c r="F3421" s="5"/>
      <c r="G3421" s="13"/>
      <c r="H3421" s="11"/>
      <c r="I3421" s="11"/>
      <c r="J3421" s="11"/>
      <c r="K3421" s="11"/>
      <c r="L3421" s="6"/>
    </row>
    <row r="3422" spans="1:12" x14ac:dyDescent="0.25">
      <c r="A3422" s="13"/>
      <c r="B3422" s="11"/>
      <c r="C3422" s="11"/>
      <c r="D3422" s="11"/>
      <c r="E3422" s="6"/>
      <c r="F3422" s="5"/>
      <c r="G3422" s="13"/>
      <c r="H3422" s="11"/>
      <c r="I3422" s="11"/>
      <c r="J3422" s="11"/>
      <c r="K3422" s="11"/>
      <c r="L3422" s="6"/>
    </row>
    <row r="3423" spans="1:12" ht="15.75" thickBot="1" x14ac:dyDescent="0.3">
      <c r="A3423" s="13"/>
      <c r="B3423" s="11"/>
      <c r="C3423" s="11" t="s">
        <v>29</v>
      </c>
      <c r="D3423" s="43"/>
      <c r="E3423" s="6"/>
      <c r="F3423" s="5"/>
      <c r="G3423" s="13"/>
      <c r="H3423" s="11"/>
      <c r="I3423" s="14" t="s">
        <v>28</v>
      </c>
      <c r="J3423" s="43"/>
      <c r="K3423" s="59"/>
      <c r="L3423" s="6"/>
    </row>
    <row r="3424" spans="1:12" ht="15.75" thickBot="1" x14ac:dyDescent="0.3">
      <c r="A3424" s="15" t="s">
        <v>10</v>
      </c>
      <c r="B3424" s="5"/>
      <c r="C3424" s="5"/>
      <c r="D3424" s="5"/>
      <c r="E3424" s="5"/>
      <c r="F3424" s="5"/>
      <c r="G3424" s="15" t="s">
        <v>14</v>
      </c>
      <c r="H3424" s="5"/>
      <c r="I3424" s="5"/>
      <c r="J3424" s="5"/>
      <c r="K3424" s="5"/>
      <c r="L3424" s="5"/>
    </row>
    <row r="3425" spans="1:12" ht="15.75" thickBot="1" x14ac:dyDescent="0.3">
      <c r="A3425" s="121" t="s">
        <v>11</v>
      </c>
      <c r="B3425" s="122"/>
      <c r="C3425" s="123"/>
      <c r="D3425" s="16" t="s">
        <v>12</v>
      </c>
      <c r="E3425" s="16" t="s">
        <v>13</v>
      </c>
      <c r="F3425" s="5"/>
      <c r="G3425" s="121" t="s">
        <v>15</v>
      </c>
      <c r="H3425" s="122"/>
      <c r="I3425" s="123"/>
      <c r="J3425" s="121"/>
      <c r="K3425" s="123"/>
      <c r="L3425" s="5"/>
    </row>
    <row r="3426" spans="1:12" x14ac:dyDescent="0.25">
      <c r="A3426" s="94" t="s">
        <v>527</v>
      </c>
      <c r="B3426" s="46" t="s">
        <v>66</v>
      </c>
      <c r="C3426" s="47"/>
      <c r="D3426" s="56">
        <v>369.7</v>
      </c>
      <c r="E3426" s="57">
        <f>18.8*369.7</f>
        <v>6950.36</v>
      </c>
      <c r="F3426" s="44">
        <f>E3426/D3426</f>
        <v>18.8</v>
      </c>
      <c r="G3426" s="125" t="s">
        <v>69</v>
      </c>
      <c r="H3426" s="126"/>
      <c r="I3426" s="127"/>
      <c r="J3426" s="128"/>
      <c r="K3426" s="129"/>
      <c r="L3426" s="5"/>
    </row>
    <row r="3427" spans="1:12" x14ac:dyDescent="0.25">
      <c r="A3427" s="94" t="s">
        <v>529</v>
      </c>
      <c r="B3427" s="46" t="s">
        <v>66</v>
      </c>
      <c r="C3427" s="47"/>
      <c r="D3427" s="56">
        <v>706.04</v>
      </c>
      <c r="E3427" s="57">
        <v>13273.55</v>
      </c>
      <c r="F3427" s="44">
        <f>E3427/D3427</f>
        <v>18.799997167299303</v>
      </c>
      <c r="G3427" s="110" t="s">
        <v>59</v>
      </c>
      <c r="H3427" s="111"/>
      <c r="I3427" s="112"/>
      <c r="J3427" s="113"/>
      <c r="K3427" s="114"/>
      <c r="L3427" s="5"/>
    </row>
    <row r="3428" spans="1:12" x14ac:dyDescent="0.25">
      <c r="A3428" s="94" t="s">
        <v>530</v>
      </c>
      <c r="B3428" s="46" t="s">
        <v>47</v>
      </c>
      <c r="C3428" s="47"/>
      <c r="D3428" s="56">
        <v>470</v>
      </c>
      <c r="E3428" s="57">
        <v>8544.6</v>
      </c>
      <c r="F3428" s="44">
        <f>E3428/D3428</f>
        <v>18.18</v>
      </c>
      <c r="G3428" s="110" t="s">
        <v>61</v>
      </c>
      <c r="H3428" s="111"/>
      <c r="I3428" s="112"/>
      <c r="J3428" s="113"/>
      <c r="K3428" s="114"/>
      <c r="L3428" s="5"/>
    </row>
    <row r="3429" spans="1:12" x14ac:dyDescent="0.25">
      <c r="A3429" s="94"/>
      <c r="B3429" s="46"/>
      <c r="C3429" s="47"/>
      <c r="D3429" s="56"/>
      <c r="E3429" s="57"/>
      <c r="F3429" s="44"/>
      <c r="G3429" s="110" t="s">
        <v>51</v>
      </c>
      <c r="H3429" s="111"/>
      <c r="I3429" s="112"/>
      <c r="J3429" s="113"/>
      <c r="K3429" s="114"/>
      <c r="L3429" s="5"/>
    </row>
    <row r="3430" spans="1:12" x14ac:dyDescent="0.25">
      <c r="A3430" s="48"/>
      <c r="B3430" s="46"/>
      <c r="C3430" s="39"/>
      <c r="D3430" s="52"/>
      <c r="E3430" s="53"/>
      <c r="F3430" s="44"/>
      <c r="G3430" s="110" t="s">
        <v>58</v>
      </c>
      <c r="H3430" s="111"/>
      <c r="I3430" s="112"/>
      <c r="J3430" s="113"/>
      <c r="K3430" s="114"/>
      <c r="L3430" s="5"/>
    </row>
    <row r="3431" spans="1:12" x14ac:dyDescent="0.25">
      <c r="A3431" s="48"/>
      <c r="B3431" s="35"/>
      <c r="C3431" s="39"/>
      <c r="D3431" s="52"/>
      <c r="E3431" s="53"/>
      <c r="F3431" s="44"/>
      <c r="G3431" s="110" t="s">
        <v>51</v>
      </c>
      <c r="H3431" s="111"/>
      <c r="I3431" s="112"/>
      <c r="J3431" s="113"/>
      <c r="K3431" s="114"/>
      <c r="L3431" s="5"/>
    </row>
    <row r="3432" spans="1:12" x14ac:dyDescent="0.25">
      <c r="A3432" s="48"/>
      <c r="B3432" s="35"/>
      <c r="C3432" s="39"/>
      <c r="D3432" s="52"/>
      <c r="E3432" s="53"/>
      <c r="F3432" s="44"/>
      <c r="G3432" s="77"/>
      <c r="H3432" s="78" t="s">
        <v>69</v>
      </c>
      <c r="I3432" s="79"/>
      <c r="J3432" s="113"/>
      <c r="K3432" s="114"/>
      <c r="L3432" s="5"/>
    </row>
    <row r="3433" spans="1:12" x14ac:dyDescent="0.25">
      <c r="A3433" s="38"/>
      <c r="B3433" s="35"/>
      <c r="C3433" s="39"/>
      <c r="D3433" s="52"/>
      <c r="E3433" s="53"/>
      <c r="F3433" s="44"/>
      <c r="G3433" s="77"/>
      <c r="H3433" s="78" t="s">
        <v>72</v>
      </c>
      <c r="I3433" s="79"/>
      <c r="J3433" s="113"/>
      <c r="K3433" s="114"/>
      <c r="L3433" s="5"/>
    </row>
    <row r="3434" spans="1:12" ht="15.75" thickBot="1" x14ac:dyDescent="0.3">
      <c r="A3434" s="5"/>
      <c r="B3434" s="5"/>
      <c r="C3434" s="7" t="s">
        <v>35</v>
      </c>
      <c r="D3434" s="17">
        <f>SUM(D3426:D3433)</f>
        <v>1545.74</v>
      </c>
      <c r="E3434" s="17">
        <f>SUM(E3426:E3433)</f>
        <v>28768.510000000002</v>
      </c>
      <c r="F3434" s="89">
        <f>AVERAGE(F3426:F3430)</f>
        <v>18.593332389099768</v>
      </c>
      <c r="G3434" s="110" t="s">
        <v>73</v>
      </c>
      <c r="H3434" s="111"/>
      <c r="I3434" s="112"/>
      <c r="J3434" s="113"/>
      <c r="K3434" s="114"/>
      <c r="L3434" s="7" t="s">
        <v>36</v>
      </c>
    </row>
    <row r="3435" spans="1:12" ht="15.75" thickBot="1" x14ac:dyDescent="0.3">
      <c r="A3435" s="5"/>
      <c r="B3435" s="5"/>
      <c r="C3435" s="5"/>
      <c r="D3435" s="5"/>
      <c r="E3435" s="5"/>
      <c r="F3435" s="5"/>
      <c r="G3435" s="130"/>
      <c r="H3435" s="131"/>
      <c r="I3435" s="132"/>
      <c r="J3435" s="133"/>
      <c r="K3435" s="134"/>
      <c r="L3435" s="18">
        <f>J3426+J3427+J3428+J3429+J3430+J3431+J3432+J3433+J3434</f>
        <v>0</v>
      </c>
    </row>
    <row r="3436" spans="1:12" ht="15.75" thickBot="1" x14ac:dyDescent="0.3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</row>
    <row r="3437" spans="1:12" ht="15.75" thickBot="1" x14ac:dyDescent="0.3">
      <c r="A3437" s="19"/>
      <c r="B3437" s="20"/>
      <c r="C3437" s="20"/>
      <c r="D3437" s="20"/>
      <c r="E3437" s="21" t="s">
        <v>13</v>
      </c>
      <c r="F3437" s="5"/>
      <c r="G3437" s="19"/>
      <c r="H3437" s="20"/>
      <c r="I3437" s="20"/>
      <c r="J3437" s="20"/>
      <c r="K3437" s="21" t="s">
        <v>13</v>
      </c>
      <c r="L3437" s="5"/>
    </row>
    <row r="3438" spans="1:12" x14ac:dyDescent="0.25">
      <c r="A3438" s="22" t="s">
        <v>31</v>
      </c>
      <c r="B3438" s="115">
        <v>19091</v>
      </c>
      <c r="C3438" s="116"/>
      <c r="D3438" s="116"/>
      <c r="E3438" s="117"/>
      <c r="F3438" s="5"/>
      <c r="G3438" s="22" t="s">
        <v>32</v>
      </c>
      <c r="H3438" s="115">
        <v>43820</v>
      </c>
      <c r="I3438" s="116"/>
      <c r="J3438" s="116"/>
      <c r="K3438" s="117"/>
      <c r="L3438" s="5"/>
    </row>
    <row r="3439" spans="1:12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</row>
    <row r="3440" spans="1:12" x14ac:dyDescent="0.25">
      <c r="A3440" s="7" t="s">
        <v>16</v>
      </c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</row>
    <row r="3441" spans="1:12" x14ac:dyDescent="0.25">
      <c r="A3441" s="9" t="s">
        <v>17</v>
      </c>
      <c r="B3441" s="23">
        <f>L3418-C3413</f>
        <v>3074</v>
      </c>
      <c r="C3441" s="5"/>
      <c r="D3441" s="106" t="s">
        <v>18</v>
      </c>
      <c r="E3441" s="107"/>
      <c r="F3441" s="24" t="s">
        <v>19</v>
      </c>
      <c r="G3441" s="9" t="s">
        <v>20</v>
      </c>
      <c r="H3441" s="118">
        <f>B3438+H3438</f>
        <v>62911</v>
      </c>
      <c r="I3441" s="119"/>
      <c r="J3441" s="60"/>
      <c r="K3441" s="5"/>
      <c r="L3441" s="5"/>
    </row>
    <row r="3442" spans="1:12" x14ac:dyDescent="0.25">
      <c r="A3442" s="9" t="s">
        <v>41</v>
      </c>
      <c r="B3442" s="40">
        <f>B3441/D3434</f>
        <v>1.9886915005110821</v>
      </c>
      <c r="C3442" s="5"/>
      <c r="D3442" s="102">
        <f>E3434</f>
        <v>28768.510000000002</v>
      </c>
      <c r="E3442" s="103"/>
      <c r="F3442" s="25">
        <f>H3442/B3441</f>
        <v>10.316496421600522</v>
      </c>
      <c r="G3442" s="9" t="s">
        <v>21</v>
      </c>
      <c r="H3442" s="104">
        <f>L3435+D3442+D3444+D3446+D3448+A3445</f>
        <v>31712.910000000003</v>
      </c>
      <c r="I3442" s="105"/>
      <c r="J3442" s="5"/>
      <c r="K3442" s="5"/>
      <c r="L3442" s="5"/>
    </row>
    <row r="3443" spans="1:12" x14ac:dyDescent="0.25">
      <c r="A3443" s="9" t="s">
        <v>43</v>
      </c>
      <c r="B3443" s="23">
        <f>D3434/B3441*100</f>
        <v>50.284320104098889</v>
      </c>
      <c r="C3443" s="5"/>
      <c r="D3443" s="106" t="s">
        <v>33</v>
      </c>
      <c r="E3443" s="107"/>
      <c r="F3443" s="5"/>
      <c r="G3443" s="13" t="s">
        <v>22</v>
      </c>
      <c r="H3443" s="6"/>
      <c r="I3443" s="26">
        <f>H3441-H3442</f>
        <v>31198.089999999997</v>
      </c>
      <c r="J3443" s="5"/>
      <c r="K3443" s="5"/>
      <c r="L3443" s="5"/>
    </row>
    <row r="3444" spans="1:12" x14ac:dyDescent="0.25">
      <c r="A3444" s="106" t="s">
        <v>40</v>
      </c>
      <c r="B3444" s="107"/>
      <c r="C3444" s="5"/>
      <c r="D3444" s="149">
        <v>1100</v>
      </c>
      <c r="E3444" s="150"/>
      <c r="F3444" s="5"/>
      <c r="G3444" s="5"/>
      <c r="H3444" s="5"/>
      <c r="I3444" s="5"/>
      <c r="J3444" s="5"/>
      <c r="K3444" s="5"/>
      <c r="L3444" s="5"/>
    </row>
    <row r="3445" spans="1:12" x14ac:dyDescent="0.25">
      <c r="A3445" s="108">
        <f>B3441*0.6</f>
        <v>1844.3999999999999</v>
      </c>
      <c r="B3445" s="109"/>
      <c r="C3445" s="5"/>
      <c r="D3445" s="106" t="s">
        <v>34</v>
      </c>
      <c r="E3445" s="107"/>
      <c r="F3445" s="5"/>
      <c r="G3445" s="145" t="s">
        <v>292</v>
      </c>
      <c r="H3445" s="146"/>
      <c r="I3445" s="23">
        <f>B3441/2.3</f>
        <v>1336.521739130435</v>
      </c>
      <c r="J3445" s="60"/>
      <c r="K3445" s="5"/>
      <c r="L3445" s="5"/>
    </row>
    <row r="3446" spans="1:12" x14ac:dyDescent="0.25">
      <c r="A3446" s="5"/>
      <c r="B3446" s="5"/>
      <c r="C3446" s="5"/>
      <c r="D3446" s="108">
        <v>0</v>
      </c>
      <c r="E3446" s="109"/>
      <c r="F3446" s="5"/>
      <c r="G3446" s="145" t="s">
        <v>294</v>
      </c>
      <c r="H3446" s="146"/>
      <c r="I3446" s="23">
        <f>I3445-D3434</f>
        <v>-209.21826086956503</v>
      </c>
      <c r="J3446" s="5"/>
      <c r="K3446" s="5"/>
      <c r="L3446" s="5"/>
    </row>
    <row r="3447" spans="1:12" x14ac:dyDescent="0.25">
      <c r="A3447" s="5"/>
      <c r="B3447" s="5"/>
      <c r="C3447" s="5"/>
      <c r="D3447" s="106" t="s">
        <v>37</v>
      </c>
      <c r="E3447" s="107"/>
      <c r="F3447" s="5"/>
      <c r="G3447" s="147" t="s">
        <v>295</v>
      </c>
      <c r="H3447" s="148"/>
      <c r="I3447" s="86">
        <f>I3446*F3434</f>
        <v>-3890.064666217208</v>
      </c>
      <c r="J3447" s="87">
        <f>I3443-I3447</f>
        <v>35088.154666217204</v>
      </c>
      <c r="K3447" s="5"/>
      <c r="L3447" s="5"/>
    </row>
    <row r="3448" spans="1:12" x14ac:dyDescent="0.25">
      <c r="A3448" s="5"/>
      <c r="B3448" s="5"/>
      <c r="C3448" s="5"/>
      <c r="D3448" s="108">
        <v>0</v>
      </c>
      <c r="E3448" s="109"/>
      <c r="F3448" s="5" t="s">
        <v>78</v>
      </c>
      <c r="G3448" s="5"/>
      <c r="H3448" s="5"/>
      <c r="I3448" s="5"/>
      <c r="J3448" s="88" t="s">
        <v>293</v>
      </c>
      <c r="K3448" s="44"/>
      <c r="L3448" s="5"/>
    </row>
    <row r="3450" spans="1:12" s="49" customFormat="1" x14ac:dyDescent="0.25"/>
    <row r="3453" spans="1:12" x14ac:dyDescent="0.25">
      <c r="A3453" s="120" t="s">
        <v>24</v>
      </c>
      <c r="B3453" s="120"/>
      <c r="C3453" s="120"/>
      <c r="D3453" s="120"/>
      <c r="E3453" s="120"/>
      <c r="F3453" s="120"/>
      <c r="G3453" s="120"/>
      <c r="H3453" s="120"/>
      <c r="I3453" s="120"/>
      <c r="J3453" s="120"/>
      <c r="K3453" s="120"/>
      <c r="L3453" s="120"/>
    </row>
    <row r="3454" spans="1:12" x14ac:dyDescent="0.25">
      <c r="A3454" s="120"/>
      <c r="B3454" s="120"/>
      <c r="C3454" s="120"/>
      <c r="D3454" s="120"/>
      <c r="E3454" s="120"/>
      <c r="F3454" s="120"/>
      <c r="G3454" s="120"/>
      <c r="H3454" s="120"/>
      <c r="I3454" s="120"/>
      <c r="J3454" s="120"/>
      <c r="K3454" s="120"/>
      <c r="L3454" s="120"/>
    </row>
    <row r="3455" spans="1:12" x14ac:dyDescent="0.25">
      <c r="A3455" s="1" t="s">
        <v>4</v>
      </c>
      <c r="B3455" s="2"/>
      <c r="C3455" s="90"/>
      <c r="D3455" s="2"/>
      <c r="E3455" s="2"/>
      <c r="F3455" s="2"/>
      <c r="G3455" s="3" t="s">
        <v>5</v>
      </c>
      <c r="H3455" s="3" t="s">
        <v>6</v>
      </c>
      <c r="I3455" s="4" t="s">
        <v>7</v>
      </c>
      <c r="J3455" s="5"/>
      <c r="K3455" s="5"/>
      <c r="L3455" s="5"/>
    </row>
    <row r="3456" spans="1:12" x14ac:dyDescent="0.25">
      <c r="A3456" s="91" t="s">
        <v>532</v>
      </c>
      <c r="B3456" s="92" t="s">
        <v>42</v>
      </c>
      <c r="C3456" s="64"/>
      <c r="D3456" s="66"/>
      <c r="E3456" s="2"/>
      <c r="F3456" s="2"/>
      <c r="G3456" s="91" t="s">
        <v>299</v>
      </c>
      <c r="H3456" s="66"/>
      <c r="I3456" s="33"/>
      <c r="J3456" s="6"/>
      <c r="K3456" s="33"/>
      <c r="L3456" s="6"/>
    </row>
    <row r="3457" spans="1:12" x14ac:dyDescent="0.25">
      <c r="A3457" s="7" t="s">
        <v>2</v>
      </c>
      <c r="B3457" s="5"/>
      <c r="C3457" s="5"/>
      <c r="D3457" s="5"/>
      <c r="E3457" s="5"/>
      <c r="F3457" s="5"/>
      <c r="G3457" s="8" t="s">
        <v>8</v>
      </c>
      <c r="H3457" s="93">
        <v>3</v>
      </c>
      <c r="I3457" s="5"/>
      <c r="J3457" s="5"/>
      <c r="K3457" s="5"/>
      <c r="L3457" s="5"/>
    </row>
    <row r="3458" spans="1:12" x14ac:dyDescent="0.25">
      <c r="A3458" s="7" t="s">
        <v>25</v>
      </c>
      <c r="B3458" s="5"/>
      <c r="C3458" s="7" t="s">
        <v>0</v>
      </c>
      <c r="D3458" s="5"/>
      <c r="E3458" s="5"/>
      <c r="F3458" s="5"/>
      <c r="G3458" s="7" t="s">
        <v>25</v>
      </c>
      <c r="H3458" s="5"/>
      <c r="I3458" s="7" t="s">
        <v>0</v>
      </c>
      <c r="J3458" s="5"/>
      <c r="K3458" s="5"/>
      <c r="L3458" s="5"/>
    </row>
    <row r="3459" spans="1:12" x14ac:dyDescent="0.25">
      <c r="A3459" s="42" t="s">
        <v>533</v>
      </c>
      <c r="B3459" s="6"/>
      <c r="C3459" s="31">
        <f>L3418</f>
        <v>1038987</v>
      </c>
      <c r="D3459" s="5"/>
      <c r="E3459" s="5"/>
      <c r="F3459" s="5"/>
      <c r="G3459" s="42"/>
      <c r="H3459" s="6"/>
      <c r="I3459" s="9"/>
      <c r="J3459" s="5"/>
      <c r="K3459" s="5"/>
      <c r="L3459" s="5"/>
    </row>
    <row r="3460" spans="1:12" ht="16.5" thickBot="1" x14ac:dyDescent="0.3">
      <c r="A3460" s="7"/>
      <c r="B3460" s="62"/>
      <c r="C3460" s="62"/>
      <c r="D3460" s="62"/>
      <c r="E3460" s="5"/>
      <c r="F3460" s="5"/>
      <c r="G3460" s="10"/>
      <c r="H3460" s="5"/>
      <c r="I3460" s="5"/>
      <c r="J3460" s="5"/>
      <c r="K3460" s="5"/>
      <c r="L3460" s="5"/>
    </row>
    <row r="3461" spans="1:12" ht="15.75" thickBot="1" x14ac:dyDescent="0.3">
      <c r="A3461" s="121" t="s">
        <v>9</v>
      </c>
      <c r="B3461" s="122"/>
      <c r="C3461" s="123"/>
      <c r="D3461" s="5"/>
      <c r="E3461" s="5"/>
      <c r="F3461" s="5"/>
      <c r="G3461" s="121" t="s">
        <v>26</v>
      </c>
      <c r="H3461" s="122"/>
      <c r="I3461" s="123"/>
      <c r="J3461" s="5"/>
      <c r="K3461" s="5"/>
      <c r="L3461" s="5"/>
    </row>
    <row r="3462" spans="1:12" x14ac:dyDescent="0.25">
      <c r="A3462" s="30" t="s">
        <v>38</v>
      </c>
      <c r="B3462" s="11"/>
      <c r="C3462" s="11"/>
      <c r="D3462" s="11"/>
      <c r="E3462" s="6"/>
      <c r="F3462" s="5"/>
      <c r="G3462" s="30" t="str">
        <f>A3465</f>
        <v>Ondangwa</v>
      </c>
      <c r="H3462" s="11"/>
      <c r="I3462" s="11"/>
      <c r="J3462" s="11"/>
      <c r="K3462" s="11"/>
      <c r="L3462" s="6"/>
    </row>
    <row r="3463" spans="1:12" ht="15.75" thickBot="1" x14ac:dyDescent="0.3">
      <c r="A3463" s="7"/>
      <c r="B3463" s="7"/>
      <c r="C3463" s="7"/>
      <c r="D3463" s="5"/>
      <c r="E3463" s="5"/>
      <c r="F3463" s="5"/>
      <c r="G3463" s="7"/>
      <c r="H3463" s="7"/>
      <c r="I3463" s="7"/>
      <c r="J3463" s="5"/>
      <c r="K3463" s="5"/>
      <c r="L3463" s="5"/>
    </row>
    <row r="3464" spans="1:12" ht="15.75" thickBot="1" x14ac:dyDescent="0.3">
      <c r="A3464" s="121"/>
      <c r="B3464" s="122"/>
      <c r="C3464" s="124"/>
      <c r="D3464" s="12" t="s">
        <v>1</v>
      </c>
      <c r="E3464" s="32"/>
      <c r="F3464" s="5"/>
      <c r="G3464" s="121" t="s">
        <v>27</v>
      </c>
      <c r="H3464" s="122"/>
      <c r="I3464" s="123"/>
      <c r="J3464" s="5"/>
      <c r="K3464" s="12" t="s">
        <v>1</v>
      </c>
      <c r="L3464" s="32">
        <v>1040388</v>
      </c>
    </row>
    <row r="3465" spans="1:12" x14ac:dyDescent="0.25">
      <c r="A3465" s="30" t="s">
        <v>338</v>
      </c>
      <c r="B3465" s="11"/>
      <c r="C3465" s="11"/>
      <c r="D3465" s="11"/>
      <c r="E3465" s="6"/>
      <c r="F3465" s="5"/>
      <c r="G3465" s="30" t="s">
        <v>364</v>
      </c>
      <c r="H3465" s="11"/>
      <c r="I3465" s="11"/>
      <c r="J3465" s="11"/>
      <c r="K3465" s="11"/>
      <c r="L3465" s="6"/>
    </row>
    <row r="3466" spans="1:12" x14ac:dyDescent="0.25">
      <c r="A3466" s="76"/>
      <c r="B3466" s="11"/>
      <c r="C3466" s="11"/>
      <c r="D3466" s="11"/>
      <c r="E3466" s="6"/>
      <c r="F3466" s="5"/>
      <c r="G3466" s="34"/>
      <c r="H3466" s="11"/>
      <c r="I3466" s="11"/>
      <c r="J3466" s="11"/>
      <c r="K3466" s="11"/>
      <c r="L3466" s="6"/>
    </row>
    <row r="3467" spans="1:12" x14ac:dyDescent="0.25">
      <c r="A3467" s="13"/>
      <c r="B3467" s="11"/>
      <c r="C3467" s="11"/>
      <c r="D3467" s="11"/>
      <c r="E3467" s="6"/>
      <c r="F3467" s="5"/>
      <c r="G3467" s="13"/>
      <c r="H3467" s="11"/>
      <c r="I3467" s="11"/>
      <c r="J3467" s="11"/>
      <c r="K3467" s="11"/>
      <c r="L3467" s="6"/>
    </row>
    <row r="3468" spans="1:12" x14ac:dyDescent="0.25">
      <c r="A3468" s="13"/>
      <c r="B3468" s="11"/>
      <c r="C3468" s="11"/>
      <c r="D3468" s="11"/>
      <c r="E3468" s="6"/>
      <c r="F3468" s="5"/>
      <c r="G3468" s="13"/>
      <c r="H3468" s="11"/>
      <c r="I3468" s="11"/>
      <c r="J3468" s="11"/>
      <c r="K3468" s="11"/>
      <c r="L3468" s="6"/>
    </row>
    <row r="3469" spans="1:12" ht="15.75" thickBot="1" x14ac:dyDescent="0.3">
      <c r="A3469" s="13"/>
      <c r="B3469" s="11"/>
      <c r="C3469" s="11" t="s">
        <v>29</v>
      </c>
      <c r="D3469" s="43"/>
      <c r="E3469" s="6"/>
      <c r="F3469" s="5"/>
      <c r="G3469" s="13"/>
      <c r="H3469" s="11"/>
      <c r="I3469" s="14" t="s">
        <v>28</v>
      </c>
      <c r="J3469" s="43"/>
      <c r="K3469" s="59"/>
      <c r="L3469" s="6"/>
    </row>
    <row r="3470" spans="1:12" ht="15.75" thickBot="1" x14ac:dyDescent="0.3">
      <c r="A3470" s="15" t="s">
        <v>10</v>
      </c>
      <c r="B3470" s="5"/>
      <c r="C3470" s="5"/>
      <c r="D3470" s="5"/>
      <c r="E3470" s="5"/>
      <c r="F3470" s="5"/>
      <c r="G3470" s="15" t="s">
        <v>14</v>
      </c>
      <c r="H3470" s="5"/>
      <c r="I3470" s="5"/>
      <c r="J3470" s="5"/>
      <c r="K3470" s="5"/>
      <c r="L3470" s="5"/>
    </row>
    <row r="3471" spans="1:12" ht="15.75" thickBot="1" x14ac:dyDescent="0.3">
      <c r="A3471" s="121" t="s">
        <v>11</v>
      </c>
      <c r="B3471" s="122"/>
      <c r="C3471" s="123"/>
      <c r="D3471" s="16" t="s">
        <v>12</v>
      </c>
      <c r="E3471" s="16" t="s">
        <v>13</v>
      </c>
      <c r="F3471" s="5"/>
      <c r="G3471" s="121" t="s">
        <v>15</v>
      </c>
      <c r="H3471" s="122"/>
      <c r="I3471" s="123"/>
      <c r="J3471" s="121"/>
      <c r="K3471" s="123"/>
      <c r="L3471" s="5"/>
    </row>
    <row r="3472" spans="1:12" x14ac:dyDescent="0.25">
      <c r="A3472" s="94">
        <v>45666</v>
      </c>
      <c r="B3472" s="46" t="s">
        <v>47</v>
      </c>
      <c r="C3472" s="47"/>
      <c r="D3472" s="56">
        <v>550</v>
      </c>
      <c r="E3472" s="57">
        <v>9999</v>
      </c>
      <c r="F3472" s="44">
        <f>E3472/D3472</f>
        <v>18.18</v>
      </c>
      <c r="G3472" s="125" t="s">
        <v>69</v>
      </c>
      <c r="H3472" s="126"/>
      <c r="I3472" s="127"/>
      <c r="J3472" s="128"/>
      <c r="K3472" s="129"/>
      <c r="L3472" s="5"/>
    </row>
    <row r="3473" spans="1:12" x14ac:dyDescent="0.25">
      <c r="A3473" s="94"/>
      <c r="B3473" s="46"/>
      <c r="C3473" s="47"/>
      <c r="D3473" s="56"/>
      <c r="E3473" s="57"/>
      <c r="F3473" s="44"/>
      <c r="G3473" s="110" t="s">
        <v>59</v>
      </c>
      <c r="H3473" s="111"/>
      <c r="I3473" s="112"/>
      <c r="J3473" s="113"/>
      <c r="K3473" s="114"/>
      <c r="L3473" s="5"/>
    </row>
    <row r="3474" spans="1:12" x14ac:dyDescent="0.25">
      <c r="A3474" s="94"/>
      <c r="B3474" s="46"/>
      <c r="C3474" s="47"/>
      <c r="D3474" s="56"/>
      <c r="E3474" s="57"/>
      <c r="F3474" s="44"/>
      <c r="G3474" s="110" t="s">
        <v>61</v>
      </c>
      <c r="H3474" s="111"/>
      <c r="I3474" s="112"/>
      <c r="J3474" s="113"/>
      <c r="K3474" s="114"/>
      <c r="L3474" s="5"/>
    </row>
    <row r="3475" spans="1:12" x14ac:dyDescent="0.25">
      <c r="A3475" s="94"/>
      <c r="B3475" s="46"/>
      <c r="C3475" s="47"/>
      <c r="D3475" s="56"/>
      <c r="E3475" s="57"/>
      <c r="F3475" s="44"/>
      <c r="G3475" s="110" t="s">
        <v>51</v>
      </c>
      <c r="H3475" s="111"/>
      <c r="I3475" s="112"/>
      <c r="J3475" s="113"/>
      <c r="K3475" s="114"/>
      <c r="L3475" s="5"/>
    </row>
    <row r="3476" spans="1:12" x14ac:dyDescent="0.25">
      <c r="A3476" s="48"/>
      <c r="B3476" s="46"/>
      <c r="C3476" s="39"/>
      <c r="D3476" s="52"/>
      <c r="E3476" s="53"/>
      <c r="F3476" s="44"/>
      <c r="G3476" s="110" t="s">
        <v>58</v>
      </c>
      <c r="H3476" s="111"/>
      <c r="I3476" s="112"/>
      <c r="J3476" s="113"/>
      <c r="K3476" s="114"/>
      <c r="L3476" s="5"/>
    </row>
    <row r="3477" spans="1:12" x14ac:dyDescent="0.25">
      <c r="A3477" s="48"/>
      <c r="B3477" s="35"/>
      <c r="C3477" s="39"/>
      <c r="D3477" s="52"/>
      <c r="E3477" s="53"/>
      <c r="F3477" s="44"/>
      <c r="G3477" s="110" t="s">
        <v>51</v>
      </c>
      <c r="H3477" s="111"/>
      <c r="I3477" s="112"/>
      <c r="J3477" s="113"/>
      <c r="K3477" s="114"/>
      <c r="L3477" s="5"/>
    </row>
    <row r="3478" spans="1:12" x14ac:dyDescent="0.25">
      <c r="A3478" s="48"/>
      <c r="B3478" s="35"/>
      <c r="C3478" s="39"/>
      <c r="D3478" s="52"/>
      <c r="E3478" s="53"/>
      <c r="F3478" s="44"/>
      <c r="G3478" s="77"/>
      <c r="H3478" s="78" t="s">
        <v>69</v>
      </c>
      <c r="I3478" s="79"/>
      <c r="J3478" s="113"/>
      <c r="K3478" s="114"/>
      <c r="L3478" s="5"/>
    </row>
    <row r="3479" spans="1:12" x14ac:dyDescent="0.25">
      <c r="A3479" s="38"/>
      <c r="B3479" s="35"/>
      <c r="C3479" s="39"/>
      <c r="D3479" s="52"/>
      <c r="E3479" s="53"/>
      <c r="F3479" s="44"/>
      <c r="G3479" s="77"/>
      <c r="H3479" s="78" t="s">
        <v>72</v>
      </c>
      <c r="I3479" s="79"/>
      <c r="J3479" s="113"/>
      <c r="K3479" s="114"/>
      <c r="L3479" s="5"/>
    </row>
    <row r="3480" spans="1:12" ht="15.75" thickBot="1" x14ac:dyDescent="0.3">
      <c r="A3480" s="5"/>
      <c r="B3480" s="5"/>
      <c r="C3480" s="7" t="s">
        <v>35</v>
      </c>
      <c r="D3480" s="17">
        <f>SUM(D3472:D3479)</f>
        <v>550</v>
      </c>
      <c r="E3480" s="17">
        <f>SUM(E3472:E3479)</f>
        <v>9999</v>
      </c>
      <c r="F3480" s="89">
        <f>AVERAGE(F3472:F3476)</f>
        <v>18.18</v>
      </c>
      <c r="G3480" s="110" t="s">
        <v>73</v>
      </c>
      <c r="H3480" s="111"/>
      <c r="I3480" s="112"/>
      <c r="J3480" s="113"/>
      <c r="K3480" s="114"/>
      <c r="L3480" s="7" t="s">
        <v>36</v>
      </c>
    </row>
    <row r="3481" spans="1:12" ht="15.75" thickBot="1" x14ac:dyDescent="0.3">
      <c r="A3481" s="5"/>
      <c r="B3481" s="5"/>
      <c r="C3481" s="5"/>
      <c r="D3481" s="5"/>
      <c r="E3481" s="5"/>
      <c r="F3481" s="5"/>
      <c r="G3481" s="130"/>
      <c r="H3481" s="131"/>
      <c r="I3481" s="132"/>
      <c r="J3481" s="133"/>
      <c r="K3481" s="134"/>
      <c r="L3481" s="18">
        <f>J3472+J3473+J3474+J3475+J3476+J3477+J3478+J3479+J3480</f>
        <v>0</v>
      </c>
    </row>
    <row r="3482" spans="1:12" ht="15.75" thickBot="1" x14ac:dyDescent="0.3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</row>
    <row r="3483" spans="1:12" ht="15.75" thickBot="1" x14ac:dyDescent="0.3">
      <c r="A3483" s="19"/>
      <c r="B3483" s="20"/>
      <c r="C3483" s="20"/>
      <c r="D3483" s="20"/>
      <c r="E3483" s="21" t="s">
        <v>13</v>
      </c>
      <c r="F3483" s="5"/>
      <c r="G3483" s="19"/>
      <c r="H3483" s="20"/>
      <c r="I3483" s="20"/>
      <c r="J3483" s="20"/>
      <c r="K3483" s="21" t="s">
        <v>13</v>
      </c>
      <c r="L3483" s="5"/>
    </row>
    <row r="3484" spans="1:12" x14ac:dyDescent="0.25">
      <c r="A3484" s="22" t="s">
        <v>31</v>
      </c>
      <c r="B3484" s="115">
        <v>28945</v>
      </c>
      <c r="C3484" s="116"/>
      <c r="D3484" s="116"/>
      <c r="E3484" s="117"/>
      <c r="F3484" s="5"/>
      <c r="G3484" s="22" t="s">
        <v>32</v>
      </c>
      <c r="H3484" s="115">
        <v>0</v>
      </c>
      <c r="I3484" s="116"/>
      <c r="J3484" s="116"/>
      <c r="K3484" s="117"/>
      <c r="L3484" s="5"/>
    </row>
    <row r="3485" spans="1:12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</row>
    <row r="3486" spans="1:12" x14ac:dyDescent="0.25">
      <c r="A3486" s="7" t="s">
        <v>16</v>
      </c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</row>
    <row r="3487" spans="1:12" x14ac:dyDescent="0.25">
      <c r="A3487" s="9" t="s">
        <v>17</v>
      </c>
      <c r="B3487" s="23">
        <f>L3464-C3459</f>
        <v>1401</v>
      </c>
      <c r="C3487" s="5"/>
      <c r="D3487" s="106" t="s">
        <v>18</v>
      </c>
      <c r="E3487" s="107"/>
      <c r="F3487" s="24" t="s">
        <v>19</v>
      </c>
      <c r="G3487" s="9" t="s">
        <v>20</v>
      </c>
      <c r="H3487" s="118">
        <f>B3484+H3484</f>
        <v>28945</v>
      </c>
      <c r="I3487" s="119"/>
      <c r="J3487" s="60"/>
      <c r="K3487" s="5"/>
      <c r="L3487" s="5"/>
    </row>
    <row r="3488" spans="1:12" x14ac:dyDescent="0.25">
      <c r="A3488" s="9" t="s">
        <v>41</v>
      </c>
      <c r="B3488" s="40">
        <f>B3487/D3480</f>
        <v>2.5472727272727274</v>
      </c>
      <c r="C3488" s="5"/>
      <c r="D3488" s="102">
        <f>E3480</f>
        <v>9999</v>
      </c>
      <c r="E3488" s="103"/>
      <c r="F3488" s="25">
        <f>H3488/B3487</f>
        <v>8.0939329050678097</v>
      </c>
      <c r="G3488" s="9" t="s">
        <v>21</v>
      </c>
      <c r="H3488" s="104">
        <f>L3481+D3488+D3490+D3492+D3494+A3491</f>
        <v>11339.6</v>
      </c>
      <c r="I3488" s="105"/>
      <c r="J3488" s="5"/>
      <c r="K3488" s="5"/>
      <c r="L3488" s="5"/>
    </row>
    <row r="3489" spans="1:12" x14ac:dyDescent="0.25">
      <c r="A3489" s="9" t="s">
        <v>43</v>
      </c>
      <c r="B3489" s="23">
        <f>D3480/B3487*100</f>
        <v>39.257673090649533</v>
      </c>
      <c r="C3489" s="5"/>
      <c r="D3489" s="106" t="s">
        <v>33</v>
      </c>
      <c r="E3489" s="107"/>
      <c r="F3489" s="5"/>
      <c r="G3489" s="13" t="s">
        <v>22</v>
      </c>
      <c r="H3489" s="6"/>
      <c r="I3489" s="26">
        <f>H3487-H3488</f>
        <v>17605.400000000001</v>
      </c>
      <c r="J3489" s="5"/>
      <c r="K3489" s="5"/>
      <c r="L3489" s="5"/>
    </row>
    <row r="3490" spans="1:12" x14ac:dyDescent="0.25">
      <c r="A3490" s="106" t="s">
        <v>40</v>
      </c>
      <c r="B3490" s="107"/>
      <c r="C3490" s="5"/>
      <c r="D3490" s="149">
        <v>500</v>
      </c>
      <c r="E3490" s="150"/>
      <c r="F3490" s="5"/>
      <c r="G3490" s="5"/>
      <c r="H3490" s="5"/>
      <c r="I3490" s="5"/>
      <c r="J3490" s="5"/>
      <c r="K3490" s="5"/>
      <c r="L3490" s="5"/>
    </row>
    <row r="3491" spans="1:12" x14ac:dyDescent="0.25">
      <c r="A3491" s="108">
        <f>B3487*0.6</f>
        <v>840.6</v>
      </c>
      <c r="B3491" s="109"/>
      <c r="C3491" s="5"/>
      <c r="D3491" s="106" t="s">
        <v>34</v>
      </c>
      <c r="E3491" s="107"/>
      <c r="F3491" s="5"/>
      <c r="G3491" s="145" t="s">
        <v>292</v>
      </c>
      <c r="H3491" s="146"/>
      <c r="I3491" s="23">
        <f>B3487/2.3</f>
        <v>609.13043478260875</v>
      </c>
      <c r="J3491" s="60"/>
      <c r="K3491" s="5"/>
      <c r="L3491" s="5"/>
    </row>
    <row r="3492" spans="1:12" x14ac:dyDescent="0.25">
      <c r="A3492" s="5"/>
      <c r="B3492" s="5"/>
      <c r="C3492" s="5"/>
      <c r="D3492" s="108">
        <v>0</v>
      </c>
      <c r="E3492" s="109"/>
      <c r="F3492" s="5"/>
      <c r="G3492" s="145" t="s">
        <v>294</v>
      </c>
      <c r="H3492" s="146"/>
      <c r="I3492" s="23">
        <f>I3491-D3480</f>
        <v>59.130434782608745</v>
      </c>
      <c r="J3492" s="5"/>
      <c r="K3492" s="5"/>
      <c r="L3492" s="5"/>
    </row>
    <row r="3493" spans="1:12" x14ac:dyDescent="0.25">
      <c r="A3493" s="5"/>
      <c r="B3493" s="5"/>
      <c r="C3493" s="5"/>
      <c r="D3493" s="106" t="s">
        <v>37</v>
      </c>
      <c r="E3493" s="107"/>
      <c r="F3493" s="5"/>
      <c r="G3493" s="147" t="s">
        <v>295</v>
      </c>
      <c r="H3493" s="148"/>
      <c r="I3493" s="86">
        <f>I3492*F3480</f>
        <v>1074.9913043478271</v>
      </c>
      <c r="J3493" s="87">
        <f>I3489-I3493</f>
        <v>16530.408695652175</v>
      </c>
      <c r="K3493" s="5"/>
      <c r="L3493" s="5"/>
    </row>
    <row r="3494" spans="1:12" x14ac:dyDescent="0.25">
      <c r="A3494" s="5"/>
      <c r="B3494" s="5"/>
      <c r="C3494" s="5"/>
      <c r="D3494" s="108">
        <v>0</v>
      </c>
      <c r="E3494" s="109"/>
      <c r="F3494" s="5" t="s">
        <v>78</v>
      </c>
      <c r="G3494" s="5"/>
      <c r="H3494" s="5"/>
      <c r="I3494" s="5"/>
      <c r="J3494" s="88" t="s">
        <v>293</v>
      </c>
      <c r="K3494" s="44"/>
      <c r="L3494" s="5"/>
    </row>
    <row r="3496" spans="1:12" s="49" customFormat="1" x14ac:dyDescent="0.25"/>
    <row r="3499" spans="1:12" x14ac:dyDescent="0.25">
      <c r="A3499" s="120" t="s">
        <v>24</v>
      </c>
      <c r="B3499" s="120"/>
      <c r="C3499" s="120"/>
      <c r="D3499" s="120"/>
      <c r="E3499" s="120"/>
      <c r="F3499" s="120"/>
      <c r="G3499" s="120"/>
      <c r="H3499" s="120"/>
      <c r="I3499" s="120"/>
      <c r="J3499" s="120"/>
      <c r="K3499" s="120"/>
      <c r="L3499" s="120"/>
    </row>
    <row r="3500" spans="1:12" x14ac:dyDescent="0.25">
      <c r="A3500" s="120"/>
      <c r="B3500" s="120"/>
      <c r="C3500" s="120"/>
      <c r="D3500" s="120"/>
      <c r="E3500" s="120"/>
      <c r="F3500" s="120"/>
      <c r="G3500" s="120"/>
      <c r="H3500" s="120"/>
      <c r="I3500" s="120"/>
      <c r="J3500" s="120"/>
      <c r="K3500" s="120"/>
      <c r="L3500" s="120"/>
    </row>
    <row r="3501" spans="1:12" x14ac:dyDescent="0.25">
      <c r="A3501" s="1" t="s">
        <v>4</v>
      </c>
      <c r="B3501" s="2"/>
      <c r="C3501" s="90"/>
      <c r="D3501" s="2"/>
      <c r="E3501" s="2"/>
      <c r="F3501" s="2"/>
      <c r="G3501" s="3" t="s">
        <v>5</v>
      </c>
      <c r="H3501" s="3" t="s">
        <v>6</v>
      </c>
      <c r="I3501" s="4" t="s">
        <v>7</v>
      </c>
      <c r="J3501" s="5"/>
      <c r="K3501" s="5"/>
      <c r="L3501" s="5"/>
    </row>
    <row r="3502" spans="1:12" x14ac:dyDescent="0.25">
      <c r="A3502" s="91" t="s">
        <v>341</v>
      </c>
      <c r="B3502" s="92" t="s">
        <v>42</v>
      </c>
      <c r="C3502" s="64"/>
      <c r="D3502" s="66"/>
      <c r="E3502" s="2"/>
      <c r="F3502" s="2"/>
      <c r="G3502" s="91" t="s">
        <v>299</v>
      </c>
      <c r="H3502" s="66"/>
      <c r="I3502" s="33"/>
      <c r="J3502" s="6"/>
      <c r="K3502" s="33"/>
      <c r="L3502" s="6"/>
    </row>
    <row r="3503" spans="1:12" x14ac:dyDescent="0.25">
      <c r="A3503" s="7" t="s">
        <v>2</v>
      </c>
      <c r="B3503" s="5"/>
      <c r="C3503" s="5"/>
      <c r="D3503" s="5"/>
      <c r="E3503" s="5"/>
      <c r="F3503" s="5"/>
      <c r="G3503" s="8" t="s">
        <v>8</v>
      </c>
      <c r="H3503" s="93">
        <v>3</v>
      </c>
      <c r="I3503" s="5"/>
      <c r="J3503" s="5"/>
      <c r="K3503" s="5"/>
      <c r="L3503" s="5"/>
    </row>
    <row r="3504" spans="1:12" x14ac:dyDescent="0.25">
      <c r="A3504" s="7" t="s">
        <v>25</v>
      </c>
      <c r="B3504" s="5"/>
      <c r="C3504" s="7" t="s">
        <v>0</v>
      </c>
      <c r="D3504" s="5"/>
      <c r="E3504" s="5"/>
      <c r="F3504" s="5"/>
      <c r="G3504" s="7" t="s">
        <v>25</v>
      </c>
      <c r="H3504" s="5"/>
      <c r="I3504" s="7" t="s">
        <v>0</v>
      </c>
      <c r="J3504" s="5"/>
      <c r="K3504" s="5"/>
      <c r="L3504" s="5"/>
    </row>
    <row r="3505" spans="1:12" x14ac:dyDescent="0.25">
      <c r="A3505" s="42">
        <v>45666</v>
      </c>
      <c r="B3505" s="6"/>
      <c r="C3505" s="31">
        <f>L3464</f>
        <v>1040388</v>
      </c>
      <c r="D3505" s="5"/>
      <c r="E3505" s="5"/>
      <c r="F3505" s="5"/>
      <c r="G3505" s="42"/>
      <c r="H3505" s="6"/>
      <c r="I3505" s="9"/>
      <c r="J3505" s="5"/>
      <c r="K3505" s="5"/>
      <c r="L3505" s="5"/>
    </row>
    <row r="3506" spans="1:12" ht="16.5" thickBot="1" x14ac:dyDescent="0.3">
      <c r="A3506" s="7"/>
      <c r="B3506" s="62"/>
      <c r="C3506" s="62"/>
      <c r="D3506" s="62"/>
      <c r="E3506" s="5"/>
      <c r="F3506" s="5"/>
      <c r="G3506" s="10"/>
      <c r="H3506" s="5"/>
      <c r="I3506" s="5"/>
      <c r="J3506" s="5"/>
      <c r="K3506" s="5"/>
      <c r="L3506" s="5"/>
    </row>
    <row r="3507" spans="1:12" ht="15.75" thickBot="1" x14ac:dyDescent="0.3">
      <c r="A3507" s="121" t="s">
        <v>9</v>
      </c>
      <c r="B3507" s="122"/>
      <c r="C3507" s="123"/>
      <c r="D3507" s="5"/>
      <c r="E3507" s="5"/>
      <c r="F3507" s="5"/>
      <c r="G3507" s="121" t="s">
        <v>26</v>
      </c>
      <c r="H3507" s="122"/>
      <c r="I3507" s="123"/>
      <c r="J3507" s="5"/>
      <c r="K3507" s="5"/>
      <c r="L3507" s="5"/>
    </row>
    <row r="3508" spans="1:12" x14ac:dyDescent="0.25">
      <c r="A3508" s="30" t="s">
        <v>38</v>
      </c>
      <c r="B3508" s="11"/>
      <c r="C3508" s="11"/>
      <c r="D3508" s="11"/>
      <c r="E3508" s="6"/>
      <c r="F3508" s="5"/>
      <c r="G3508" s="30" t="str">
        <f>A3511</f>
        <v>Johannesburg</v>
      </c>
      <c r="H3508" s="11"/>
      <c r="I3508" s="11"/>
      <c r="J3508" s="11"/>
      <c r="K3508" s="11"/>
      <c r="L3508" s="6"/>
    </row>
    <row r="3509" spans="1:12" ht="15.75" thickBot="1" x14ac:dyDescent="0.3">
      <c r="A3509" s="7"/>
      <c r="B3509" s="7"/>
      <c r="C3509" s="7"/>
      <c r="D3509" s="5"/>
      <c r="E3509" s="5"/>
      <c r="F3509" s="5"/>
      <c r="G3509" s="7"/>
      <c r="H3509" s="7"/>
      <c r="I3509" s="7"/>
      <c r="J3509" s="5"/>
      <c r="K3509" s="5"/>
      <c r="L3509" s="5"/>
    </row>
    <row r="3510" spans="1:12" ht="15.75" thickBot="1" x14ac:dyDescent="0.3">
      <c r="A3510" s="121"/>
      <c r="B3510" s="122"/>
      <c r="C3510" s="124"/>
      <c r="D3510" s="12" t="s">
        <v>1</v>
      </c>
      <c r="E3510" s="32"/>
      <c r="F3510" s="5"/>
      <c r="G3510" s="121" t="s">
        <v>27</v>
      </c>
      <c r="H3510" s="122"/>
      <c r="I3510" s="123"/>
      <c r="J3510" s="5"/>
      <c r="K3510" s="12" t="s">
        <v>1</v>
      </c>
      <c r="L3510" s="32">
        <v>1043433</v>
      </c>
    </row>
    <row r="3511" spans="1:12" x14ac:dyDescent="0.25">
      <c r="A3511" s="30" t="s">
        <v>68</v>
      </c>
      <c r="B3511" s="11"/>
      <c r="C3511" s="11"/>
      <c r="D3511" s="11"/>
      <c r="E3511" s="6"/>
      <c r="F3511" s="5"/>
      <c r="G3511" s="30" t="s">
        <v>364</v>
      </c>
      <c r="H3511" s="11"/>
      <c r="I3511" s="11"/>
      <c r="J3511" s="11"/>
      <c r="K3511" s="11"/>
      <c r="L3511" s="6"/>
    </row>
    <row r="3512" spans="1:12" x14ac:dyDescent="0.25">
      <c r="A3512" s="76"/>
      <c r="B3512" s="11"/>
      <c r="C3512" s="11"/>
      <c r="D3512" s="11"/>
      <c r="E3512" s="6"/>
      <c r="F3512" s="5"/>
      <c r="G3512" s="34"/>
      <c r="H3512" s="11"/>
      <c r="I3512" s="11"/>
      <c r="J3512" s="11"/>
      <c r="K3512" s="11"/>
      <c r="L3512" s="6"/>
    </row>
    <row r="3513" spans="1:12" x14ac:dyDescent="0.25">
      <c r="A3513" s="13"/>
      <c r="B3513" s="11"/>
      <c r="C3513" s="11"/>
      <c r="D3513" s="11"/>
      <c r="E3513" s="6"/>
      <c r="F3513" s="5"/>
      <c r="G3513" s="13"/>
      <c r="H3513" s="11"/>
      <c r="I3513" s="11"/>
      <c r="J3513" s="11"/>
      <c r="K3513" s="11"/>
      <c r="L3513" s="6"/>
    </row>
    <row r="3514" spans="1:12" x14ac:dyDescent="0.25">
      <c r="A3514" s="13"/>
      <c r="B3514" s="11"/>
      <c r="C3514" s="11"/>
      <c r="D3514" s="11"/>
      <c r="E3514" s="6"/>
      <c r="F3514" s="5"/>
      <c r="G3514" s="13"/>
      <c r="H3514" s="11"/>
      <c r="I3514" s="11"/>
      <c r="J3514" s="11"/>
      <c r="K3514" s="11"/>
      <c r="L3514" s="6"/>
    </row>
    <row r="3515" spans="1:12" ht="15.75" thickBot="1" x14ac:dyDescent="0.3">
      <c r="A3515" s="13"/>
      <c r="B3515" s="11"/>
      <c r="C3515" s="11" t="s">
        <v>29</v>
      </c>
      <c r="D3515" s="43"/>
      <c r="E3515" s="6"/>
      <c r="F3515" s="5"/>
      <c r="G3515" s="13"/>
      <c r="H3515" s="11"/>
      <c r="I3515" s="14" t="s">
        <v>28</v>
      </c>
      <c r="J3515" s="43"/>
      <c r="K3515" s="59"/>
      <c r="L3515" s="6"/>
    </row>
    <row r="3516" spans="1:12" ht="15.75" thickBot="1" x14ac:dyDescent="0.3">
      <c r="A3516" s="15" t="s">
        <v>10</v>
      </c>
      <c r="B3516" s="5"/>
      <c r="C3516" s="5"/>
      <c r="D3516" s="5"/>
      <c r="E3516" s="5"/>
      <c r="F3516" s="5"/>
      <c r="G3516" s="15" t="s">
        <v>14</v>
      </c>
      <c r="H3516" s="5"/>
      <c r="I3516" s="5"/>
      <c r="J3516" s="5"/>
      <c r="K3516" s="5"/>
      <c r="L3516" s="5"/>
    </row>
    <row r="3517" spans="1:12" ht="15.75" thickBot="1" x14ac:dyDescent="0.3">
      <c r="A3517" s="121" t="s">
        <v>11</v>
      </c>
      <c r="B3517" s="122"/>
      <c r="C3517" s="123"/>
      <c r="D3517" s="16" t="s">
        <v>12</v>
      </c>
      <c r="E3517" s="16" t="s">
        <v>13</v>
      </c>
      <c r="F3517" s="5"/>
      <c r="G3517" s="121" t="s">
        <v>15</v>
      </c>
      <c r="H3517" s="122"/>
      <c r="I3517" s="123"/>
      <c r="J3517" s="121"/>
      <c r="K3517" s="123"/>
      <c r="L3517" s="5"/>
    </row>
    <row r="3518" spans="1:12" x14ac:dyDescent="0.25">
      <c r="A3518" s="94">
        <v>44629</v>
      </c>
      <c r="B3518" s="46" t="s">
        <v>534</v>
      </c>
      <c r="C3518" s="47"/>
      <c r="D3518" s="56">
        <f>408.16+284.42</f>
        <v>692.58</v>
      </c>
      <c r="E3518" s="57">
        <v>15271.4</v>
      </c>
      <c r="F3518" s="44">
        <f>E3518/D3518</f>
        <v>22.050015882641716</v>
      </c>
      <c r="G3518" s="125" t="s">
        <v>69</v>
      </c>
      <c r="H3518" s="126"/>
      <c r="I3518" s="127"/>
      <c r="J3518" s="128">
        <f>355+355</f>
        <v>710</v>
      </c>
      <c r="K3518" s="129"/>
      <c r="L3518" s="5"/>
    </row>
    <row r="3519" spans="1:12" x14ac:dyDescent="0.25">
      <c r="A3519" s="94">
        <v>45756</v>
      </c>
      <c r="B3519" s="46" t="s">
        <v>534</v>
      </c>
      <c r="C3519" s="47"/>
      <c r="D3519" s="56">
        <v>143.59</v>
      </c>
      <c r="E3519" s="57">
        <v>3166.15</v>
      </c>
      <c r="F3519" s="44">
        <f t="shared" ref="F3519:F3520" si="3">E3519/D3519</f>
        <v>22.04993383940386</v>
      </c>
      <c r="G3519" s="110" t="s">
        <v>59</v>
      </c>
      <c r="H3519" s="111"/>
      <c r="I3519" s="112"/>
      <c r="J3519" s="113">
        <v>56</v>
      </c>
      <c r="K3519" s="114"/>
      <c r="L3519" s="5"/>
    </row>
    <row r="3520" spans="1:12" x14ac:dyDescent="0.25">
      <c r="A3520" s="94">
        <v>45878</v>
      </c>
      <c r="B3520" s="46" t="s">
        <v>47</v>
      </c>
      <c r="C3520" s="47"/>
      <c r="D3520" s="56">
        <v>626.33000000000004</v>
      </c>
      <c r="E3520" s="57">
        <v>11386.68</v>
      </c>
      <c r="F3520" s="44">
        <f t="shared" si="3"/>
        <v>18.180000957961457</v>
      </c>
      <c r="G3520" s="110" t="s">
        <v>61</v>
      </c>
      <c r="H3520" s="111"/>
      <c r="I3520" s="112"/>
      <c r="J3520" s="113"/>
      <c r="K3520" s="114"/>
      <c r="L3520" s="5"/>
    </row>
    <row r="3521" spans="1:12" x14ac:dyDescent="0.25">
      <c r="A3521" s="94"/>
      <c r="B3521" s="46"/>
      <c r="C3521" s="47"/>
      <c r="D3521" s="56"/>
      <c r="E3521" s="57"/>
      <c r="F3521" s="44"/>
      <c r="G3521" s="110" t="s">
        <v>51</v>
      </c>
      <c r="H3521" s="111"/>
      <c r="I3521" s="112"/>
      <c r="J3521" s="113"/>
      <c r="K3521" s="114"/>
      <c r="L3521" s="5"/>
    </row>
    <row r="3522" spans="1:12" x14ac:dyDescent="0.25">
      <c r="A3522" s="48"/>
      <c r="B3522" s="46"/>
      <c r="C3522" s="39"/>
      <c r="D3522" s="52"/>
      <c r="E3522" s="53"/>
      <c r="F3522" s="44"/>
      <c r="G3522" s="110" t="s">
        <v>58</v>
      </c>
      <c r="H3522" s="111"/>
      <c r="I3522" s="112"/>
      <c r="J3522" s="113"/>
      <c r="K3522" s="114"/>
      <c r="L3522" s="5"/>
    </row>
    <row r="3523" spans="1:12" x14ac:dyDescent="0.25">
      <c r="A3523" s="48"/>
      <c r="B3523" s="35"/>
      <c r="C3523" s="39"/>
      <c r="D3523" s="52"/>
      <c r="E3523" s="53"/>
      <c r="F3523" s="44"/>
      <c r="G3523" s="110" t="s">
        <v>51</v>
      </c>
      <c r="H3523" s="111"/>
      <c r="I3523" s="112"/>
      <c r="J3523" s="113"/>
      <c r="K3523" s="114"/>
      <c r="L3523" s="5"/>
    </row>
    <row r="3524" spans="1:12" x14ac:dyDescent="0.25">
      <c r="A3524" s="48"/>
      <c r="B3524" s="35"/>
      <c r="C3524" s="39"/>
      <c r="D3524" s="52"/>
      <c r="E3524" s="53"/>
      <c r="F3524" s="44"/>
      <c r="G3524" s="77"/>
      <c r="H3524" s="78" t="s">
        <v>69</v>
      </c>
      <c r="I3524" s="79"/>
      <c r="J3524" s="113"/>
      <c r="K3524" s="114"/>
      <c r="L3524" s="5"/>
    </row>
    <row r="3525" spans="1:12" x14ac:dyDescent="0.25">
      <c r="A3525" s="38"/>
      <c r="B3525" s="35"/>
      <c r="C3525" s="39"/>
      <c r="D3525" s="52"/>
      <c r="E3525" s="53"/>
      <c r="F3525" s="44"/>
      <c r="G3525" s="77"/>
      <c r="H3525" s="78" t="s">
        <v>72</v>
      </c>
      <c r="I3525" s="79"/>
      <c r="J3525" s="113"/>
      <c r="K3525" s="114"/>
      <c r="L3525" s="5"/>
    </row>
    <row r="3526" spans="1:12" ht="15.75" thickBot="1" x14ac:dyDescent="0.3">
      <c r="A3526" s="5"/>
      <c r="B3526" s="5"/>
      <c r="C3526" s="7" t="s">
        <v>35</v>
      </c>
      <c r="D3526" s="17">
        <f>SUM(D3518:D3525)</f>
        <v>1462.5</v>
      </c>
      <c r="E3526" s="17">
        <f>SUM(E3518:E3525)</f>
        <v>29824.23</v>
      </c>
      <c r="F3526" s="89">
        <f>AVERAGE(F3518:F3522)</f>
        <v>20.759983560002343</v>
      </c>
      <c r="G3526" s="110" t="s">
        <v>73</v>
      </c>
      <c r="H3526" s="111"/>
      <c r="I3526" s="112"/>
      <c r="J3526" s="113"/>
      <c r="K3526" s="114"/>
      <c r="L3526" s="7" t="s">
        <v>36</v>
      </c>
    </row>
    <row r="3527" spans="1:12" ht="15.75" thickBot="1" x14ac:dyDescent="0.3">
      <c r="A3527" s="5"/>
      <c r="B3527" s="5"/>
      <c r="C3527" s="5"/>
      <c r="D3527" s="5"/>
      <c r="E3527" s="5"/>
      <c r="F3527" s="5"/>
      <c r="G3527" s="130"/>
      <c r="H3527" s="131"/>
      <c r="I3527" s="132"/>
      <c r="J3527" s="133"/>
      <c r="K3527" s="134"/>
      <c r="L3527" s="18">
        <f>J3518+J3519+J3520+J3521+J3522+J3523+J3524+J3525+J3526</f>
        <v>766</v>
      </c>
    </row>
    <row r="3528" spans="1:12" ht="15.75" thickBot="1" x14ac:dyDescent="0.3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</row>
    <row r="3529" spans="1:12" ht="15.75" thickBot="1" x14ac:dyDescent="0.3">
      <c r="A3529" s="19"/>
      <c r="B3529" s="20"/>
      <c r="C3529" s="20"/>
      <c r="D3529" s="20"/>
      <c r="E3529" s="21" t="s">
        <v>13</v>
      </c>
      <c r="F3529" s="5"/>
      <c r="G3529" s="19"/>
      <c r="H3529" s="20"/>
      <c r="I3529" s="20"/>
      <c r="J3529" s="20"/>
      <c r="K3529" s="21" t="s">
        <v>13</v>
      </c>
      <c r="L3529" s="5"/>
    </row>
    <row r="3530" spans="1:12" x14ac:dyDescent="0.25">
      <c r="A3530" s="22" t="s">
        <v>31</v>
      </c>
      <c r="B3530" s="115">
        <v>20578</v>
      </c>
      <c r="C3530" s="116"/>
      <c r="D3530" s="116"/>
      <c r="E3530" s="117"/>
      <c r="F3530" s="5"/>
      <c r="G3530" s="22" t="s">
        <v>32</v>
      </c>
      <c r="H3530" s="115">
        <v>43820</v>
      </c>
      <c r="I3530" s="116"/>
      <c r="J3530" s="116"/>
      <c r="K3530" s="117"/>
      <c r="L3530" s="5"/>
    </row>
    <row r="3531" spans="1:12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</row>
    <row r="3532" spans="1:12" x14ac:dyDescent="0.25">
      <c r="A3532" s="7" t="s">
        <v>16</v>
      </c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</row>
    <row r="3533" spans="1:12" x14ac:dyDescent="0.25">
      <c r="A3533" s="9" t="s">
        <v>17</v>
      </c>
      <c r="B3533" s="23">
        <f>L3510-C3505</f>
        <v>3045</v>
      </c>
      <c r="C3533" s="5"/>
      <c r="D3533" s="106" t="s">
        <v>18</v>
      </c>
      <c r="E3533" s="107"/>
      <c r="F3533" s="24" t="s">
        <v>19</v>
      </c>
      <c r="G3533" s="9" t="s">
        <v>20</v>
      </c>
      <c r="H3533" s="118">
        <f>B3530+H3530</f>
        <v>64398</v>
      </c>
      <c r="I3533" s="119"/>
      <c r="J3533" s="60"/>
      <c r="K3533" s="5"/>
      <c r="L3533" s="5"/>
    </row>
    <row r="3534" spans="1:12" x14ac:dyDescent="0.25">
      <c r="A3534" s="9" t="s">
        <v>41</v>
      </c>
      <c r="B3534" s="40">
        <f>B3533/D3526</f>
        <v>2.0820512820512822</v>
      </c>
      <c r="C3534" s="5"/>
      <c r="D3534" s="102">
        <f>E3526</f>
        <v>29824.23</v>
      </c>
      <c r="E3534" s="103"/>
      <c r="F3534" s="25">
        <f>H3534/B3533</f>
        <v>12.320929392446633</v>
      </c>
      <c r="G3534" s="9" t="s">
        <v>21</v>
      </c>
      <c r="H3534" s="104">
        <f>L3527+D3534+D3536+D3538+D3540+A3537</f>
        <v>37517.229999999996</v>
      </c>
      <c r="I3534" s="105"/>
      <c r="J3534" s="5"/>
      <c r="K3534" s="5"/>
      <c r="L3534" s="5"/>
    </row>
    <row r="3535" spans="1:12" x14ac:dyDescent="0.25">
      <c r="A3535" s="9" t="s">
        <v>43</v>
      </c>
      <c r="B3535" s="23">
        <f>D3526/B3533*100</f>
        <v>48.029556650246306</v>
      </c>
      <c r="C3535" s="5"/>
      <c r="D3535" s="106" t="s">
        <v>33</v>
      </c>
      <c r="E3535" s="107"/>
      <c r="F3535" s="5"/>
      <c r="G3535" s="13" t="s">
        <v>22</v>
      </c>
      <c r="H3535" s="6"/>
      <c r="I3535" s="26">
        <f>H3533-H3534</f>
        <v>26880.770000000004</v>
      </c>
      <c r="J3535" s="5"/>
      <c r="K3535" s="5"/>
      <c r="L3535" s="5"/>
    </row>
    <row r="3536" spans="1:12" x14ac:dyDescent="0.25">
      <c r="A3536" s="106" t="s">
        <v>40</v>
      </c>
      <c r="B3536" s="107"/>
      <c r="C3536" s="5"/>
      <c r="D3536" s="149">
        <v>1100</v>
      </c>
      <c r="E3536" s="150"/>
      <c r="F3536" s="5"/>
      <c r="G3536" s="5"/>
      <c r="H3536" s="5"/>
      <c r="I3536" s="5"/>
      <c r="J3536" s="5"/>
      <c r="K3536" s="5"/>
      <c r="L3536" s="5"/>
    </row>
    <row r="3537" spans="1:12" x14ac:dyDescent="0.25">
      <c r="A3537" s="108">
        <f>B3533*0.6</f>
        <v>1827</v>
      </c>
      <c r="B3537" s="109"/>
      <c r="C3537" s="5"/>
      <c r="D3537" s="106" t="s">
        <v>34</v>
      </c>
      <c r="E3537" s="107"/>
      <c r="F3537" s="5"/>
      <c r="G3537" s="145" t="s">
        <v>292</v>
      </c>
      <c r="H3537" s="146"/>
      <c r="I3537" s="23">
        <f>B3533/2.3</f>
        <v>1323.913043478261</v>
      </c>
      <c r="J3537" s="60"/>
      <c r="K3537" s="5"/>
      <c r="L3537" s="5"/>
    </row>
    <row r="3538" spans="1:12" x14ac:dyDescent="0.25">
      <c r="A3538" s="5"/>
      <c r="B3538" s="5"/>
      <c r="C3538" s="5"/>
      <c r="D3538" s="108">
        <v>0</v>
      </c>
      <c r="E3538" s="109"/>
      <c r="F3538" s="5"/>
      <c r="G3538" s="145" t="s">
        <v>294</v>
      </c>
      <c r="H3538" s="146"/>
      <c r="I3538" s="23">
        <f>I3537-D3526</f>
        <v>-138.58695652173901</v>
      </c>
      <c r="J3538" s="5"/>
      <c r="K3538" s="5"/>
      <c r="L3538" s="5"/>
    </row>
    <row r="3539" spans="1:12" x14ac:dyDescent="0.25">
      <c r="A3539" s="5"/>
      <c r="B3539" s="5"/>
      <c r="C3539" s="5"/>
      <c r="D3539" s="106" t="s">
        <v>37</v>
      </c>
      <c r="E3539" s="107"/>
      <c r="F3539" s="5"/>
      <c r="G3539" s="147" t="s">
        <v>295</v>
      </c>
      <c r="H3539" s="148"/>
      <c r="I3539" s="86">
        <f>I3538*F3526</f>
        <v>-2877.0629390220615</v>
      </c>
      <c r="J3539" s="87">
        <f>I3535-I3539</f>
        <v>29757.832939022064</v>
      </c>
      <c r="K3539" s="5"/>
      <c r="L3539" s="5"/>
    </row>
    <row r="3540" spans="1:12" x14ac:dyDescent="0.25">
      <c r="A3540" s="5"/>
      <c r="B3540" s="5"/>
      <c r="C3540" s="5"/>
      <c r="D3540" s="108">
        <v>4000</v>
      </c>
      <c r="E3540" s="109"/>
      <c r="F3540" s="5" t="s">
        <v>78</v>
      </c>
      <c r="G3540" s="5"/>
      <c r="H3540" s="5"/>
      <c r="I3540" s="5"/>
      <c r="J3540" s="88" t="s">
        <v>293</v>
      </c>
      <c r="K3540" s="44"/>
      <c r="L3540" s="5"/>
    </row>
    <row r="3543" spans="1:12" s="49" customFormat="1" x14ac:dyDescent="0.25"/>
    <row r="3546" spans="1:12" x14ac:dyDescent="0.25">
      <c r="A3546" s="120" t="s">
        <v>24</v>
      </c>
      <c r="B3546" s="120"/>
      <c r="C3546" s="120"/>
      <c r="D3546" s="120"/>
      <c r="E3546" s="120"/>
      <c r="F3546" s="120"/>
      <c r="G3546" s="120"/>
      <c r="H3546" s="120"/>
      <c r="I3546" s="120"/>
      <c r="J3546" s="120"/>
      <c r="K3546" s="120"/>
      <c r="L3546" s="120"/>
    </row>
    <row r="3547" spans="1:12" x14ac:dyDescent="0.25">
      <c r="A3547" s="120"/>
      <c r="B3547" s="120"/>
      <c r="C3547" s="120"/>
      <c r="D3547" s="120"/>
      <c r="E3547" s="120"/>
      <c r="F3547" s="120"/>
      <c r="G3547" s="120"/>
      <c r="H3547" s="120"/>
      <c r="I3547" s="120"/>
      <c r="J3547" s="120"/>
      <c r="K3547" s="120"/>
      <c r="L3547" s="120"/>
    </row>
    <row r="3548" spans="1:12" x14ac:dyDescent="0.25">
      <c r="A3548" s="1" t="s">
        <v>4</v>
      </c>
      <c r="B3548" s="2"/>
      <c r="C3548" s="90"/>
      <c r="D3548" s="2"/>
      <c r="E3548" s="2"/>
      <c r="F3548" s="2"/>
      <c r="G3548" s="3" t="s">
        <v>5</v>
      </c>
      <c r="H3548" s="3" t="s">
        <v>6</v>
      </c>
      <c r="I3548" s="4" t="s">
        <v>7</v>
      </c>
      <c r="J3548" s="5"/>
      <c r="K3548" s="5"/>
      <c r="L3548" s="5"/>
    </row>
    <row r="3549" spans="1:12" x14ac:dyDescent="0.25">
      <c r="A3549" s="91" t="s">
        <v>341</v>
      </c>
      <c r="B3549" s="92" t="s">
        <v>42</v>
      </c>
      <c r="C3549" s="64"/>
      <c r="D3549" s="66"/>
      <c r="E3549" s="2"/>
      <c r="F3549" s="2"/>
      <c r="G3549" s="91" t="s">
        <v>299</v>
      </c>
      <c r="H3549" s="66"/>
      <c r="I3549" s="33"/>
      <c r="J3549" s="6"/>
      <c r="K3549" s="33"/>
      <c r="L3549" s="6"/>
    </row>
    <row r="3550" spans="1:12" x14ac:dyDescent="0.25">
      <c r="A3550" s="7" t="s">
        <v>2</v>
      </c>
      <c r="B3550" s="5"/>
      <c r="C3550" s="5"/>
      <c r="D3550" s="5"/>
      <c r="E3550" s="5"/>
      <c r="F3550" s="5"/>
      <c r="G3550" s="8" t="s">
        <v>8</v>
      </c>
      <c r="H3550" s="93">
        <v>3</v>
      </c>
      <c r="I3550" s="5"/>
      <c r="J3550" s="5"/>
      <c r="K3550" s="5"/>
      <c r="L3550" s="5"/>
    </row>
    <row r="3551" spans="1:12" x14ac:dyDescent="0.25">
      <c r="A3551" s="7" t="s">
        <v>25</v>
      </c>
      <c r="B3551" s="5"/>
      <c r="C3551" s="7" t="s">
        <v>0</v>
      </c>
      <c r="D3551" s="5"/>
      <c r="E3551" s="5"/>
      <c r="F3551" s="5"/>
      <c r="G3551" s="7" t="s">
        <v>25</v>
      </c>
      <c r="H3551" s="5"/>
      <c r="I3551" s="7" t="s">
        <v>0</v>
      </c>
      <c r="J3551" s="5"/>
      <c r="K3551" s="5"/>
      <c r="L3551" s="5"/>
    </row>
    <row r="3552" spans="1:12" x14ac:dyDescent="0.25">
      <c r="A3552" s="42">
        <v>45878</v>
      </c>
      <c r="B3552" s="6"/>
      <c r="C3552" s="31">
        <f>L3510</f>
        <v>1043433</v>
      </c>
      <c r="D3552" s="5"/>
      <c r="E3552" s="5"/>
      <c r="F3552" s="5"/>
      <c r="G3552" s="42"/>
      <c r="H3552" s="6"/>
      <c r="I3552" s="9"/>
      <c r="J3552" s="5"/>
      <c r="K3552" s="5"/>
      <c r="L3552" s="5"/>
    </row>
    <row r="3553" spans="1:12" ht="16.5" thickBot="1" x14ac:dyDescent="0.3">
      <c r="A3553" s="7"/>
      <c r="B3553" s="62"/>
      <c r="C3553" s="62"/>
      <c r="D3553" s="62"/>
      <c r="E3553" s="5"/>
      <c r="F3553" s="5"/>
      <c r="G3553" s="10"/>
      <c r="H3553" s="5"/>
      <c r="I3553" s="5"/>
      <c r="J3553" s="5"/>
      <c r="K3553" s="5"/>
      <c r="L3553" s="5"/>
    </row>
    <row r="3554" spans="1:12" ht="15.75" thickBot="1" x14ac:dyDescent="0.3">
      <c r="A3554" s="121" t="s">
        <v>9</v>
      </c>
      <c r="B3554" s="122"/>
      <c r="C3554" s="123"/>
      <c r="D3554" s="5"/>
      <c r="E3554" s="5"/>
      <c r="F3554" s="5"/>
      <c r="G3554" s="121" t="s">
        <v>26</v>
      </c>
      <c r="H3554" s="122"/>
      <c r="I3554" s="123"/>
      <c r="J3554" s="5"/>
      <c r="K3554" s="5"/>
      <c r="L3554" s="5"/>
    </row>
    <row r="3555" spans="1:12" x14ac:dyDescent="0.25">
      <c r="A3555" s="30" t="s">
        <v>38</v>
      </c>
      <c r="B3555" s="11"/>
      <c r="C3555" s="11"/>
      <c r="D3555" s="11"/>
      <c r="E3555" s="6"/>
      <c r="F3555" s="5"/>
      <c r="G3555" s="30" t="str">
        <f>A3558</f>
        <v>Bottle Sort - Cape Town</v>
      </c>
      <c r="H3555" s="11"/>
      <c r="I3555" s="11"/>
      <c r="J3555" s="11"/>
      <c r="K3555" s="11"/>
      <c r="L3555" s="6"/>
    </row>
    <row r="3556" spans="1:12" ht="15.75" thickBot="1" x14ac:dyDescent="0.3">
      <c r="A3556" s="7"/>
      <c r="B3556" s="7"/>
      <c r="C3556" s="7"/>
      <c r="D3556" s="5"/>
      <c r="E3556" s="5"/>
      <c r="F3556" s="5"/>
      <c r="G3556" s="7"/>
      <c r="H3556" s="7"/>
      <c r="I3556" s="7"/>
      <c r="J3556" s="5"/>
      <c r="K3556" s="5"/>
      <c r="L3556" s="5"/>
    </row>
    <row r="3557" spans="1:12" ht="15.75" thickBot="1" x14ac:dyDescent="0.3">
      <c r="A3557" s="121"/>
      <c r="B3557" s="122"/>
      <c r="C3557" s="124"/>
      <c r="D3557" s="12" t="s">
        <v>1</v>
      </c>
      <c r="E3557" s="32"/>
      <c r="F3557" s="5"/>
      <c r="G3557" s="121" t="s">
        <v>27</v>
      </c>
      <c r="H3557" s="122"/>
      <c r="I3557" s="123"/>
      <c r="J3557" s="5"/>
      <c r="K3557" s="12" t="s">
        <v>1</v>
      </c>
      <c r="L3557" s="32">
        <v>1046487</v>
      </c>
    </row>
    <row r="3558" spans="1:12" x14ac:dyDescent="0.25">
      <c r="A3558" s="30" t="s">
        <v>536</v>
      </c>
      <c r="B3558" s="11"/>
      <c r="C3558" s="11"/>
      <c r="D3558" s="11"/>
      <c r="E3558" s="6"/>
      <c r="F3558" s="5"/>
      <c r="G3558" s="30" t="s">
        <v>364</v>
      </c>
      <c r="H3558" s="11"/>
      <c r="I3558" s="11"/>
      <c r="J3558" s="11"/>
      <c r="K3558" s="11"/>
      <c r="L3558" s="6"/>
    </row>
    <row r="3559" spans="1:12" x14ac:dyDescent="0.25">
      <c r="A3559" s="76"/>
      <c r="B3559" s="11"/>
      <c r="C3559" s="11"/>
      <c r="D3559" s="11"/>
      <c r="E3559" s="6"/>
      <c r="F3559" s="5"/>
      <c r="G3559" s="34"/>
      <c r="H3559" s="11"/>
      <c r="I3559" s="11"/>
      <c r="J3559" s="11"/>
      <c r="K3559" s="11"/>
      <c r="L3559" s="6"/>
    </row>
    <row r="3560" spans="1:12" x14ac:dyDescent="0.25">
      <c r="A3560" s="13"/>
      <c r="B3560" s="11"/>
      <c r="C3560" s="11"/>
      <c r="D3560" s="11"/>
      <c r="E3560" s="6"/>
      <c r="F3560" s="5"/>
      <c r="G3560" s="13"/>
      <c r="H3560" s="11"/>
      <c r="I3560" s="11"/>
      <c r="J3560" s="11"/>
      <c r="K3560" s="11"/>
      <c r="L3560" s="6"/>
    </row>
    <row r="3561" spans="1:12" x14ac:dyDescent="0.25">
      <c r="A3561" s="13"/>
      <c r="B3561" s="11"/>
      <c r="C3561" s="11"/>
      <c r="D3561" s="11"/>
      <c r="E3561" s="6"/>
      <c r="F3561" s="5"/>
      <c r="G3561" s="13"/>
      <c r="H3561" s="11"/>
      <c r="I3561" s="11"/>
      <c r="J3561" s="11"/>
      <c r="K3561" s="11"/>
      <c r="L3561" s="6"/>
    </row>
    <row r="3562" spans="1:12" ht="15.75" thickBot="1" x14ac:dyDescent="0.3">
      <c r="A3562" s="13"/>
      <c r="B3562" s="11"/>
      <c r="C3562" s="11" t="s">
        <v>29</v>
      </c>
      <c r="D3562" s="43"/>
      <c r="E3562" s="6"/>
      <c r="F3562" s="5"/>
      <c r="G3562" s="13"/>
      <c r="H3562" s="11"/>
      <c r="I3562" s="14" t="s">
        <v>28</v>
      </c>
      <c r="J3562" s="43"/>
      <c r="K3562" s="59"/>
      <c r="L3562" s="6"/>
    </row>
    <row r="3563" spans="1:12" ht="15.75" thickBot="1" x14ac:dyDescent="0.3">
      <c r="A3563" s="15" t="s">
        <v>10</v>
      </c>
      <c r="B3563" s="5"/>
      <c r="C3563" s="5"/>
      <c r="D3563" s="5"/>
      <c r="E3563" s="5"/>
      <c r="F3563" s="5"/>
      <c r="G3563" s="15" t="s">
        <v>14</v>
      </c>
      <c r="H3563" s="5"/>
      <c r="I3563" s="5"/>
      <c r="J3563" s="5"/>
      <c r="K3563" s="5"/>
      <c r="L3563" s="5"/>
    </row>
    <row r="3564" spans="1:12" ht="15.75" thickBot="1" x14ac:dyDescent="0.3">
      <c r="A3564" s="121" t="s">
        <v>11</v>
      </c>
      <c r="B3564" s="122"/>
      <c r="C3564" s="123"/>
      <c r="D3564" s="16" t="s">
        <v>12</v>
      </c>
      <c r="E3564" s="16" t="s">
        <v>13</v>
      </c>
      <c r="F3564" s="5"/>
      <c r="G3564" s="121" t="s">
        <v>15</v>
      </c>
      <c r="H3564" s="122"/>
      <c r="I3564" s="123"/>
      <c r="J3564" s="121"/>
      <c r="K3564" s="123"/>
      <c r="L3564" s="5"/>
    </row>
    <row r="3565" spans="1:12" x14ac:dyDescent="0.25">
      <c r="A3565" s="94">
        <v>45909</v>
      </c>
      <c r="B3565" s="46" t="s">
        <v>66</v>
      </c>
      <c r="C3565" s="47"/>
      <c r="D3565" s="56">
        <v>297</v>
      </c>
      <c r="E3565" s="57">
        <v>6242.95</v>
      </c>
      <c r="F3565" s="44">
        <f>E3565/D3565</f>
        <v>21.020033670033669</v>
      </c>
      <c r="G3565" s="125" t="s">
        <v>69</v>
      </c>
      <c r="H3565" s="126"/>
      <c r="I3565" s="127"/>
      <c r="J3565" s="128"/>
      <c r="K3565" s="129"/>
      <c r="L3565" s="5"/>
    </row>
    <row r="3566" spans="1:12" x14ac:dyDescent="0.25">
      <c r="A3566" s="94">
        <v>46000</v>
      </c>
      <c r="B3566" s="46" t="s">
        <v>305</v>
      </c>
      <c r="C3566" s="47"/>
      <c r="D3566" s="56">
        <v>683.80100000000004</v>
      </c>
      <c r="E3566" s="57">
        <v>14571.8</v>
      </c>
      <c r="F3566" s="44">
        <f t="shared" ref="F3566:F3567" si="4">E3566/D3566</f>
        <v>21.310001009065502</v>
      </c>
      <c r="G3566" s="110" t="s">
        <v>59</v>
      </c>
      <c r="H3566" s="111"/>
      <c r="I3566" s="112"/>
      <c r="J3566" s="113"/>
      <c r="K3566" s="114"/>
      <c r="L3566" s="5"/>
    </row>
    <row r="3567" spans="1:12" x14ac:dyDescent="0.25">
      <c r="A3567" s="94" t="s">
        <v>535</v>
      </c>
      <c r="B3567" s="46" t="s">
        <v>47</v>
      </c>
      <c r="C3567" s="47"/>
      <c r="D3567" s="56">
        <v>460.75700000000001</v>
      </c>
      <c r="E3567" s="57">
        <v>8376.44</v>
      </c>
      <c r="F3567" s="44">
        <f t="shared" si="4"/>
        <v>18.179734654058432</v>
      </c>
      <c r="G3567" s="110" t="s">
        <v>61</v>
      </c>
      <c r="H3567" s="111"/>
      <c r="I3567" s="112"/>
      <c r="J3567" s="113"/>
      <c r="K3567" s="114"/>
      <c r="L3567" s="5"/>
    </row>
    <row r="3568" spans="1:12" x14ac:dyDescent="0.25">
      <c r="A3568" s="94"/>
      <c r="B3568" s="46"/>
      <c r="C3568" s="47"/>
      <c r="D3568" s="56"/>
      <c r="E3568" s="57"/>
      <c r="F3568" s="44"/>
      <c r="G3568" s="110" t="s">
        <v>51</v>
      </c>
      <c r="H3568" s="111"/>
      <c r="I3568" s="112"/>
      <c r="J3568" s="113"/>
      <c r="K3568" s="114"/>
      <c r="L3568" s="5"/>
    </row>
    <row r="3569" spans="1:12" x14ac:dyDescent="0.25">
      <c r="A3569" s="48"/>
      <c r="B3569" s="46"/>
      <c r="C3569" s="39"/>
      <c r="D3569" s="52"/>
      <c r="E3569" s="53"/>
      <c r="F3569" s="44"/>
      <c r="G3569" s="110" t="s">
        <v>58</v>
      </c>
      <c r="H3569" s="111"/>
      <c r="I3569" s="112"/>
      <c r="J3569" s="113"/>
      <c r="K3569" s="114"/>
      <c r="L3569" s="5"/>
    </row>
    <row r="3570" spans="1:12" x14ac:dyDescent="0.25">
      <c r="A3570" s="48"/>
      <c r="B3570" s="35"/>
      <c r="C3570" s="39"/>
      <c r="D3570" s="52"/>
      <c r="E3570" s="53"/>
      <c r="F3570" s="44"/>
      <c r="G3570" s="110" t="s">
        <v>51</v>
      </c>
      <c r="H3570" s="111"/>
      <c r="I3570" s="112"/>
      <c r="J3570" s="113"/>
      <c r="K3570" s="114"/>
      <c r="L3570" s="5"/>
    </row>
    <row r="3571" spans="1:12" x14ac:dyDescent="0.25">
      <c r="A3571" s="48"/>
      <c r="B3571" s="35"/>
      <c r="C3571" s="39"/>
      <c r="D3571" s="52"/>
      <c r="E3571" s="53"/>
      <c r="F3571" s="44"/>
      <c r="G3571" s="77"/>
      <c r="H3571" s="78" t="s">
        <v>69</v>
      </c>
      <c r="I3571" s="79"/>
      <c r="J3571" s="113"/>
      <c r="K3571" s="114"/>
      <c r="L3571" s="5"/>
    </row>
    <row r="3572" spans="1:12" x14ac:dyDescent="0.25">
      <c r="A3572" s="38"/>
      <c r="B3572" s="35"/>
      <c r="C3572" s="39"/>
      <c r="D3572" s="52"/>
      <c r="E3572" s="53"/>
      <c r="F3572" s="44"/>
      <c r="G3572" s="77"/>
      <c r="H3572" s="78" t="s">
        <v>72</v>
      </c>
      <c r="I3572" s="79"/>
      <c r="J3572" s="113"/>
      <c r="K3572" s="114"/>
      <c r="L3572" s="5"/>
    </row>
    <row r="3573" spans="1:12" ht="15.75" thickBot="1" x14ac:dyDescent="0.3">
      <c r="A3573" s="5"/>
      <c r="B3573" s="5"/>
      <c r="C3573" s="7" t="s">
        <v>35</v>
      </c>
      <c r="D3573" s="17">
        <f>SUM(D3565:D3572)</f>
        <v>1441.558</v>
      </c>
      <c r="E3573" s="17">
        <f>SUM(E3565:E3572)</f>
        <v>29191.190000000002</v>
      </c>
      <c r="F3573" s="89">
        <f>AVERAGE(F3565:F3569)</f>
        <v>20.169923111052537</v>
      </c>
      <c r="G3573" s="110" t="s">
        <v>73</v>
      </c>
      <c r="H3573" s="111"/>
      <c r="I3573" s="112"/>
      <c r="J3573" s="113"/>
      <c r="K3573" s="114"/>
      <c r="L3573" s="7" t="s">
        <v>36</v>
      </c>
    </row>
    <row r="3574" spans="1:12" ht="15.75" thickBot="1" x14ac:dyDescent="0.3">
      <c r="A3574" s="5"/>
      <c r="B3574" s="5"/>
      <c r="C3574" s="5"/>
      <c r="D3574" s="5"/>
      <c r="E3574" s="5"/>
      <c r="F3574" s="5"/>
      <c r="G3574" s="130"/>
      <c r="H3574" s="131"/>
      <c r="I3574" s="132"/>
      <c r="J3574" s="133"/>
      <c r="K3574" s="134"/>
      <c r="L3574" s="18">
        <f>J3565+J3566+J3567+J3568+J3569+J3570+J3571+J3572+J3573</f>
        <v>0</v>
      </c>
    </row>
    <row r="3575" spans="1:12" ht="15.75" thickBot="1" x14ac:dyDescent="0.3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</row>
    <row r="3576" spans="1:12" ht="15.75" thickBot="1" x14ac:dyDescent="0.3">
      <c r="A3576" s="19"/>
      <c r="B3576" s="20"/>
      <c r="C3576" s="20"/>
      <c r="D3576" s="20"/>
      <c r="E3576" s="21" t="s">
        <v>13</v>
      </c>
      <c r="F3576" s="5"/>
      <c r="G3576" s="19"/>
      <c r="H3576" s="20"/>
      <c r="I3576" s="20"/>
      <c r="J3576" s="20"/>
      <c r="K3576" s="21" t="s">
        <v>13</v>
      </c>
      <c r="L3576" s="5"/>
    </row>
    <row r="3577" spans="1:12" x14ac:dyDescent="0.25">
      <c r="A3577" s="22" t="s">
        <v>31</v>
      </c>
      <c r="B3577" s="115">
        <v>19091</v>
      </c>
      <c r="C3577" s="116"/>
      <c r="D3577" s="116"/>
      <c r="E3577" s="117"/>
      <c r="F3577" s="5"/>
      <c r="G3577" s="22" t="s">
        <v>32</v>
      </c>
      <c r="H3577" s="115">
        <v>43820</v>
      </c>
      <c r="I3577" s="116"/>
      <c r="J3577" s="116"/>
      <c r="K3577" s="117"/>
      <c r="L3577" s="5"/>
    </row>
    <row r="3578" spans="1:12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</row>
    <row r="3579" spans="1:12" x14ac:dyDescent="0.25">
      <c r="A3579" s="7" t="s">
        <v>16</v>
      </c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</row>
    <row r="3580" spans="1:12" x14ac:dyDescent="0.25">
      <c r="A3580" s="9" t="s">
        <v>17</v>
      </c>
      <c r="B3580" s="23">
        <f>L3557-C3552</f>
        <v>3054</v>
      </c>
      <c r="C3580" s="5"/>
      <c r="D3580" s="106" t="s">
        <v>18</v>
      </c>
      <c r="E3580" s="107"/>
      <c r="F3580" s="24" t="s">
        <v>19</v>
      </c>
      <c r="G3580" s="9" t="s">
        <v>20</v>
      </c>
      <c r="H3580" s="118">
        <f>B3577+H3577</f>
        <v>62911</v>
      </c>
      <c r="I3580" s="119"/>
      <c r="J3580" s="60"/>
      <c r="K3580" s="5"/>
      <c r="L3580" s="5"/>
    </row>
    <row r="3581" spans="1:12" x14ac:dyDescent="0.25">
      <c r="A3581" s="9" t="s">
        <v>41</v>
      </c>
      <c r="B3581" s="40">
        <f>B3580/D3573</f>
        <v>2.118541189463067</v>
      </c>
      <c r="C3581" s="5"/>
      <c r="D3581" s="102">
        <f>E3573</f>
        <v>29191.190000000002</v>
      </c>
      <c r="E3581" s="103"/>
      <c r="F3581" s="25">
        <f>H3581/B3580</f>
        <v>11.828287491814015</v>
      </c>
      <c r="G3581" s="9" t="s">
        <v>21</v>
      </c>
      <c r="H3581" s="104">
        <f>L3574+D3581+D3583+D3585+D3587+A3584</f>
        <v>36123.590000000004</v>
      </c>
      <c r="I3581" s="105"/>
      <c r="J3581" s="5"/>
      <c r="K3581" s="5"/>
      <c r="L3581" s="5"/>
    </row>
    <row r="3582" spans="1:12" x14ac:dyDescent="0.25">
      <c r="A3582" s="9" t="s">
        <v>43</v>
      </c>
      <c r="B3582" s="23">
        <f>D3573/B3580*100</f>
        <v>47.202292075965943</v>
      </c>
      <c r="C3582" s="5"/>
      <c r="D3582" s="106" t="s">
        <v>33</v>
      </c>
      <c r="E3582" s="107"/>
      <c r="F3582" s="5"/>
      <c r="G3582" s="13" t="s">
        <v>22</v>
      </c>
      <c r="H3582" s="6"/>
      <c r="I3582" s="26">
        <f>H3580-H3581</f>
        <v>26787.409999999996</v>
      </c>
      <c r="J3582" s="5"/>
      <c r="K3582" s="5"/>
      <c r="L3582" s="5"/>
    </row>
    <row r="3583" spans="1:12" x14ac:dyDescent="0.25">
      <c r="A3583" s="106" t="s">
        <v>40</v>
      </c>
      <c r="B3583" s="107"/>
      <c r="C3583" s="5"/>
      <c r="D3583" s="149">
        <v>1100</v>
      </c>
      <c r="E3583" s="150"/>
      <c r="F3583" s="5"/>
      <c r="G3583" s="5"/>
      <c r="H3583" s="5"/>
      <c r="I3583" s="5"/>
      <c r="J3583" s="5"/>
      <c r="K3583" s="5"/>
      <c r="L3583" s="5"/>
    </row>
    <row r="3584" spans="1:12" x14ac:dyDescent="0.25">
      <c r="A3584" s="108">
        <f>B3580*0.6</f>
        <v>1832.3999999999999</v>
      </c>
      <c r="B3584" s="109"/>
      <c r="C3584" s="5"/>
      <c r="D3584" s="106" t="s">
        <v>34</v>
      </c>
      <c r="E3584" s="107"/>
      <c r="F3584" s="5"/>
      <c r="G3584" s="145" t="s">
        <v>292</v>
      </c>
      <c r="H3584" s="146"/>
      <c r="I3584" s="23">
        <f>B3580/2.3</f>
        <v>1327.8260869565217</v>
      </c>
      <c r="J3584" s="60"/>
      <c r="K3584" s="5"/>
      <c r="L3584" s="5"/>
    </row>
    <row r="3585" spans="1:12" x14ac:dyDescent="0.25">
      <c r="A3585" s="5"/>
      <c r="B3585" s="5"/>
      <c r="C3585" s="5"/>
      <c r="D3585" s="108">
        <v>0</v>
      </c>
      <c r="E3585" s="109"/>
      <c r="F3585" s="5"/>
      <c r="G3585" s="145" t="s">
        <v>294</v>
      </c>
      <c r="H3585" s="146"/>
      <c r="I3585" s="23">
        <f>I3584-D3573</f>
        <v>-113.73191304347824</v>
      </c>
      <c r="J3585" s="5"/>
      <c r="K3585" s="5"/>
      <c r="L3585" s="5"/>
    </row>
    <row r="3586" spans="1:12" x14ac:dyDescent="0.25">
      <c r="A3586" s="5"/>
      <c r="B3586" s="5"/>
      <c r="C3586" s="5"/>
      <c r="D3586" s="106" t="s">
        <v>37</v>
      </c>
      <c r="E3586" s="107"/>
      <c r="F3586" s="5"/>
      <c r="G3586" s="147" t="s">
        <v>295</v>
      </c>
      <c r="H3586" s="148"/>
      <c r="I3586" s="86">
        <f>I3585*F3573</f>
        <v>-2293.9639413598693</v>
      </c>
      <c r="J3586" s="87">
        <f>I3582-I3586</f>
        <v>29081.373941359867</v>
      </c>
      <c r="K3586" s="5"/>
      <c r="L3586" s="5"/>
    </row>
    <row r="3587" spans="1:12" x14ac:dyDescent="0.25">
      <c r="A3587" s="5"/>
      <c r="B3587" s="5"/>
      <c r="C3587" s="5"/>
      <c r="D3587" s="108">
        <v>4000</v>
      </c>
      <c r="E3587" s="109"/>
      <c r="F3587" s="5" t="s">
        <v>78</v>
      </c>
      <c r="G3587" s="5"/>
      <c r="H3587" s="5"/>
      <c r="I3587" s="5"/>
      <c r="J3587" s="88" t="s">
        <v>293</v>
      </c>
      <c r="K3587" s="44"/>
      <c r="L3587" s="5"/>
    </row>
    <row r="3589" spans="1:12" s="49" customFormat="1" x14ac:dyDescent="0.25"/>
    <row r="3592" spans="1:12" x14ac:dyDescent="0.25">
      <c r="A3592" s="120" t="s">
        <v>24</v>
      </c>
      <c r="B3592" s="120"/>
      <c r="C3592" s="120"/>
      <c r="D3592" s="120"/>
      <c r="E3592" s="120"/>
      <c r="F3592" s="120"/>
      <c r="G3592" s="120"/>
      <c r="H3592" s="120"/>
      <c r="I3592" s="120"/>
      <c r="J3592" s="120"/>
      <c r="K3592" s="120"/>
      <c r="L3592" s="120"/>
    </row>
    <row r="3593" spans="1:12" x14ac:dyDescent="0.25">
      <c r="A3593" s="120"/>
      <c r="B3593" s="120"/>
      <c r="C3593" s="120"/>
      <c r="D3593" s="120"/>
      <c r="E3593" s="120"/>
      <c r="F3593" s="120"/>
      <c r="G3593" s="120"/>
      <c r="H3593" s="120"/>
      <c r="I3593" s="120"/>
      <c r="J3593" s="120"/>
      <c r="K3593" s="120"/>
      <c r="L3593" s="120"/>
    </row>
    <row r="3594" spans="1:12" x14ac:dyDescent="0.25">
      <c r="A3594" s="1" t="s">
        <v>4</v>
      </c>
      <c r="B3594" s="2"/>
      <c r="C3594" s="90"/>
      <c r="D3594" s="2"/>
      <c r="E3594" s="2"/>
      <c r="F3594" s="2"/>
      <c r="G3594" s="3" t="s">
        <v>5</v>
      </c>
      <c r="H3594" s="3" t="s">
        <v>6</v>
      </c>
      <c r="I3594" s="4" t="s">
        <v>7</v>
      </c>
      <c r="J3594" s="5"/>
      <c r="K3594" s="5"/>
      <c r="L3594" s="5"/>
    </row>
    <row r="3595" spans="1:12" x14ac:dyDescent="0.25">
      <c r="A3595" s="91" t="s">
        <v>341</v>
      </c>
      <c r="B3595" s="92" t="s">
        <v>42</v>
      </c>
      <c r="C3595" s="64"/>
      <c r="D3595" s="66"/>
      <c r="E3595" s="2"/>
      <c r="F3595" s="2"/>
      <c r="G3595" s="91" t="s">
        <v>299</v>
      </c>
      <c r="H3595" s="66"/>
      <c r="I3595" s="33"/>
      <c r="J3595" s="6"/>
      <c r="K3595" s="33"/>
      <c r="L3595" s="6"/>
    </row>
    <row r="3596" spans="1:12" x14ac:dyDescent="0.25">
      <c r="A3596" s="7" t="s">
        <v>2</v>
      </c>
      <c r="B3596" s="5"/>
      <c r="C3596" s="5"/>
      <c r="D3596" s="5"/>
      <c r="E3596" s="5"/>
      <c r="F3596" s="5"/>
      <c r="G3596" s="8" t="s">
        <v>8</v>
      </c>
      <c r="H3596" s="93">
        <v>3</v>
      </c>
      <c r="I3596" s="5"/>
      <c r="J3596" s="5"/>
      <c r="K3596" s="5"/>
      <c r="L3596" s="5"/>
    </row>
    <row r="3597" spans="1:12" x14ac:dyDescent="0.25">
      <c r="A3597" s="7" t="s">
        <v>25</v>
      </c>
      <c r="B3597" s="5"/>
      <c r="C3597" s="7" t="s">
        <v>0</v>
      </c>
      <c r="D3597" s="5"/>
      <c r="E3597" s="5"/>
      <c r="F3597" s="5"/>
      <c r="G3597" s="7" t="s">
        <v>25</v>
      </c>
      <c r="H3597" s="5"/>
      <c r="I3597" s="7" t="s">
        <v>0</v>
      </c>
      <c r="J3597" s="5"/>
      <c r="K3597" s="5"/>
      <c r="L3597" s="5"/>
    </row>
    <row r="3598" spans="1:12" x14ac:dyDescent="0.25">
      <c r="A3598" s="42" t="s">
        <v>535</v>
      </c>
      <c r="B3598" s="6"/>
      <c r="C3598" s="31">
        <f>L3557</f>
        <v>1046487</v>
      </c>
      <c r="D3598" s="5"/>
      <c r="E3598" s="5"/>
      <c r="F3598" s="5"/>
      <c r="G3598" s="42"/>
      <c r="H3598" s="6"/>
      <c r="I3598" s="9"/>
      <c r="J3598" s="5"/>
      <c r="K3598" s="5"/>
      <c r="L3598" s="5"/>
    </row>
    <row r="3599" spans="1:12" ht="16.5" thickBot="1" x14ac:dyDescent="0.3">
      <c r="A3599" s="7"/>
      <c r="B3599" s="62"/>
      <c r="C3599" s="62"/>
      <c r="D3599" s="62"/>
      <c r="E3599" s="5"/>
      <c r="F3599" s="5"/>
      <c r="G3599" s="10"/>
      <c r="H3599" s="5"/>
      <c r="I3599" s="5"/>
      <c r="J3599" s="5"/>
      <c r="K3599" s="5"/>
      <c r="L3599" s="5"/>
    </row>
    <row r="3600" spans="1:12" ht="15.75" thickBot="1" x14ac:dyDescent="0.3">
      <c r="A3600" s="121" t="s">
        <v>9</v>
      </c>
      <c r="B3600" s="122"/>
      <c r="C3600" s="123"/>
      <c r="D3600" s="5"/>
      <c r="E3600" s="5"/>
      <c r="F3600" s="5"/>
      <c r="G3600" s="121" t="s">
        <v>26</v>
      </c>
      <c r="H3600" s="122"/>
      <c r="I3600" s="123"/>
      <c r="J3600" s="5"/>
      <c r="K3600" s="5"/>
      <c r="L3600" s="5"/>
    </row>
    <row r="3601" spans="1:12" x14ac:dyDescent="0.25">
      <c r="A3601" s="30" t="s">
        <v>38</v>
      </c>
      <c r="B3601" s="11"/>
      <c r="C3601" s="11"/>
      <c r="D3601" s="11"/>
      <c r="E3601" s="6"/>
      <c r="F3601" s="5"/>
      <c r="G3601" s="30" t="str">
        <f>A3604</f>
        <v>Bottle Sort - Cape Town</v>
      </c>
      <c r="H3601" s="11"/>
      <c r="I3601" s="11"/>
      <c r="J3601" s="11"/>
      <c r="K3601" s="11"/>
      <c r="L3601" s="6"/>
    </row>
    <row r="3602" spans="1:12" ht="15.75" thickBot="1" x14ac:dyDescent="0.3">
      <c r="A3602" s="7"/>
      <c r="B3602" s="7"/>
      <c r="C3602" s="7"/>
      <c r="D3602" s="5"/>
      <c r="E3602" s="5"/>
      <c r="F3602" s="5"/>
      <c r="G3602" s="7"/>
      <c r="H3602" s="7"/>
      <c r="I3602" s="7"/>
      <c r="J3602" s="5"/>
      <c r="K3602" s="5"/>
      <c r="L3602" s="5"/>
    </row>
    <row r="3603" spans="1:12" ht="15.75" thickBot="1" x14ac:dyDescent="0.3">
      <c r="A3603" s="121"/>
      <c r="B3603" s="122"/>
      <c r="C3603" s="124"/>
      <c r="D3603" s="12" t="s">
        <v>1</v>
      </c>
      <c r="E3603" s="32"/>
      <c r="F3603" s="5"/>
      <c r="G3603" s="121" t="s">
        <v>27</v>
      </c>
      <c r="H3603" s="122"/>
      <c r="I3603" s="123"/>
      <c r="J3603" s="5"/>
      <c r="K3603" s="12" t="s">
        <v>1</v>
      </c>
      <c r="L3603" s="32">
        <v>1049517</v>
      </c>
    </row>
    <row r="3604" spans="1:12" x14ac:dyDescent="0.25">
      <c r="A3604" s="30" t="s">
        <v>536</v>
      </c>
      <c r="B3604" s="11"/>
      <c r="C3604" s="11"/>
      <c r="D3604" s="11"/>
      <c r="E3604" s="6"/>
      <c r="F3604" s="5"/>
      <c r="G3604" s="30" t="s">
        <v>364</v>
      </c>
      <c r="H3604" s="11"/>
      <c r="I3604" s="11"/>
      <c r="J3604" s="11"/>
      <c r="K3604" s="11"/>
      <c r="L3604" s="6"/>
    </row>
    <row r="3605" spans="1:12" x14ac:dyDescent="0.25">
      <c r="A3605" s="76"/>
      <c r="B3605" s="11"/>
      <c r="C3605" s="11"/>
      <c r="D3605" s="11"/>
      <c r="E3605" s="6"/>
      <c r="F3605" s="5"/>
      <c r="G3605" s="34"/>
      <c r="H3605" s="11"/>
      <c r="I3605" s="11"/>
      <c r="J3605" s="11"/>
      <c r="K3605" s="11"/>
      <c r="L3605" s="6"/>
    </row>
    <row r="3606" spans="1:12" x14ac:dyDescent="0.25">
      <c r="A3606" s="13"/>
      <c r="B3606" s="11"/>
      <c r="C3606" s="11"/>
      <c r="D3606" s="11"/>
      <c r="E3606" s="6"/>
      <c r="F3606" s="5"/>
      <c r="G3606" s="13"/>
      <c r="H3606" s="11"/>
      <c r="I3606" s="11"/>
      <c r="J3606" s="11"/>
      <c r="K3606" s="11"/>
      <c r="L3606" s="6"/>
    </row>
    <row r="3607" spans="1:12" x14ac:dyDescent="0.25">
      <c r="A3607" s="13"/>
      <c r="B3607" s="11"/>
      <c r="C3607" s="11"/>
      <c r="D3607" s="11"/>
      <c r="E3607" s="6"/>
      <c r="F3607" s="5"/>
      <c r="G3607" s="13"/>
      <c r="H3607" s="11"/>
      <c r="I3607" s="11"/>
      <c r="J3607" s="11"/>
      <c r="K3607" s="11"/>
      <c r="L3607" s="6"/>
    </row>
    <row r="3608" spans="1:12" ht="15.75" thickBot="1" x14ac:dyDescent="0.3">
      <c r="A3608" s="13"/>
      <c r="B3608" s="11"/>
      <c r="C3608" s="11" t="s">
        <v>29</v>
      </c>
      <c r="D3608" s="43"/>
      <c r="E3608" s="6"/>
      <c r="F3608" s="5"/>
      <c r="G3608" s="13"/>
      <c r="H3608" s="11"/>
      <c r="I3608" s="14" t="s">
        <v>28</v>
      </c>
      <c r="J3608" s="43"/>
      <c r="K3608" s="59"/>
      <c r="L3608" s="6"/>
    </row>
    <row r="3609" spans="1:12" ht="15.75" thickBot="1" x14ac:dyDescent="0.3">
      <c r="A3609" s="15" t="s">
        <v>10</v>
      </c>
      <c r="B3609" s="5"/>
      <c r="C3609" s="5"/>
      <c r="D3609" s="5"/>
      <c r="E3609" s="5"/>
      <c r="F3609" s="5"/>
      <c r="G3609" s="15" t="s">
        <v>14</v>
      </c>
      <c r="H3609" s="5"/>
      <c r="I3609" s="5"/>
      <c r="J3609" s="5"/>
      <c r="K3609" s="5"/>
      <c r="L3609" s="5"/>
    </row>
    <row r="3610" spans="1:12" ht="15.75" thickBot="1" x14ac:dyDescent="0.3">
      <c r="A3610" s="121" t="s">
        <v>11</v>
      </c>
      <c r="B3610" s="122"/>
      <c r="C3610" s="123"/>
      <c r="D3610" s="16" t="s">
        <v>12</v>
      </c>
      <c r="E3610" s="16" t="s">
        <v>13</v>
      </c>
      <c r="F3610" s="5"/>
      <c r="G3610" s="121" t="s">
        <v>15</v>
      </c>
      <c r="H3610" s="122"/>
      <c r="I3610" s="123"/>
      <c r="J3610" s="121"/>
      <c r="K3610" s="123"/>
      <c r="L3610" s="5"/>
    </row>
    <row r="3611" spans="1:12" x14ac:dyDescent="0.25">
      <c r="A3611" s="94" t="s">
        <v>538</v>
      </c>
      <c r="B3611" s="46" t="s">
        <v>305</v>
      </c>
      <c r="C3611" s="47"/>
      <c r="D3611" s="56">
        <v>364.23700000000002</v>
      </c>
      <c r="E3611" s="57">
        <v>7761.9</v>
      </c>
      <c r="F3611" s="44">
        <f>E3611/D3611</f>
        <v>21.310026164283144</v>
      </c>
      <c r="G3611" s="125" t="s">
        <v>69</v>
      </c>
      <c r="H3611" s="126"/>
      <c r="I3611" s="127"/>
      <c r="J3611" s="128"/>
      <c r="K3611" s="129"/>
      <c r="L3611" s="5"/>
    </row>
    <row r="3612" spans="1:12" x14ac:dyDescent="0.25">
      <c r="A3612" s="94" t="s">
        <v>537</v>
      </c>
      <c r="B3612" s="46" t="s">
        <v>305</v>
      </c>
      <c r="C3612" s="47"/>
      <c r="D3612" s="56">
        <v>611.577</v>
      </c>
      <c r="E3612" s="57">
        <v>13032.7</v>
      </c>
      <c r="F3612" s="44">
        <f t="shared" ref="F3612:F3613" si="5">E3612/D3612</f>
        <v>21.309990401862727</v>
      </c>
      <c r="G3612" s="110" t="s">
        <v>59</v>
      </c>
      <c r="H3612" s="111"/>
      <c r="I3612" s="112"/>
      <c r="J3612" s="113"/>
      <c r="K3612" s="114"/>
      <c r="L3612" s="5"/>
    </row>
    <row r="3613" spans="1:12" x14ac:dyDescent="0.25">
      <c r="A3613" s="94" t="s">
        <v>539</v>
      </c>
      <c r="B3613" s="46" t="s">
        <v>47</v>
      </c>
      <c r="C3613" s="47"/>
      <c r="D3613" s="56">
        <v>500</v>
      </c>
      <c r="E3613" s="57">
        <v>9090</v>
      </c>
      <c r="F3613" s="44">
        <f t="shared" si="5"/>
        <v>18.18</v>
      </c>
      <c r="G3613" s="110" t="s">
        <v>61</v>
      </c>
      <c r="H3613" s="111"/>
      <c r="I3613" s="112"/>
      <c r="J3613" s="113"/>
      <c r="K3613" s="114"/>
      <c r="L3613" s="5"/>
    </row>
    <row r="3614" spans="1:12" x14ac:dyDescent="0.25">
      <c r="A3614" s="94"/>
      <c r="B3614" s="46"/>
      <c r="C3614" s="47"/>
      <c r="D3614" s="56"/>
      <c r="E3614" s="57"/>
      <c r="F3614" s="44"/>
      <c r="G3614" s="110" t="s">
        <v>51</v>
      </c>
      <c r="H3614" s="111"/>
      <c r="I3614" s="112"/>
      <c r="J3614" s="113"/>
      <c r="K3614" s="114"/>
      <c r="L3614" s="5"/>
    </row>
    <row r="3615" spans="1:12" x14ac:dyDescent="0.25">
      <c r="A3615" s="48"/>
      <c r="B3615" s="46"/>
      <c r="C3615" s="39"/>
      <c r="D3615" s="52"/>
      <c r="E3615" s="53"/>
      <c r="F3615" s="44"/>
      <c r="G3615" s="110" t="s">
        <v>58</v>
      </c>
      <c r="H3615" s="111"/>
      <c r="I3615" s="112"/>
      <c r="J3615" s="113"/>
      <c r="K3615" s="114"/>
      <c r="L3615" s="5"/>
    </row>
    <row r="3616" spans="1:12" x14ac:dyDescent="0.25">
      <c r="A3616" s="48"/>
      <c r="B3616" s="35"/>
      <c r="C3616" s="39"/>
      <c r="D3616" s="52"/>
      <c r="E3616" s="53"/>
      <c r="F3616" s="44"/>
      <c r="G3616" s="110" t="s">
        <v>51</v>
      </c>
      <c r="H3616" s="111"/>
      <c r="I3616" s="112"/>
      <c r="J3616" s="113"/>
      <c r="K3616" s="114"/>
      <c r="L3616" s="5"/>
    </row>
    <row r="3617" spans="1:12" x14ac:dyDescent="0.25">
      <c r="A3617" s="48"/>
      <c r="B3617" s="35"/>
      <c r="C3617" s="39"/>
      <c r="D3617" s="52"/>
      <c r="E3617" s="53"/>
      <c r="F3617" s="44"/>
      <c r="G3617" s="77"/>
      <c r="H3617" s="78" t="s">
        <v>69</v>
      </c>
      <c r="I3617" s="79"/>
      <c r="J3617" s="113"/>
      <c r="K3617" s="114"/>
      <c r="L3617" s="5"/>
    </row>
    <row r="3618" spans="1:12" x14ac:dyDescent="0.25">
      <c r="A3618" s="38"/>
      <c r="B3618" s="35"/>
      <c r="C3618" s="39"/>
      <c r="D3618" s="52"/>
      <c r="E3618" s="53"/>
      <c r="F3618" s="44"/>
      <c r="G3618" s="77"/>
      <c r="H3618" s="78" t="s">
        <v>72</v>
      </c>
      <c r="I3618" s="79"/>
      <c r="J3618" s="113"/>
      <c r="K3618" s="114"/>
      <c r="L3618" s="5"/>
    </row>
    <row r="3619" spans="1:12" ht="15.75" thickBot="1" x14ac:dyDescent="0.3">
      <c r="A3619" s="5"/>
      <c r="B3619" s="5"/>
      <c r="C3619" s="7" t="s">
        <v>35</v>
      </c>
      <c r="D3619" s="17">
        <f>SUM(D3611:D3618)</f>
        <v>1475.8140000000001</v>
      </c>
      <c r="E3619" s="17">
        <f>SUM(E3611:E3618)</f>
        <v>29884.6</v>
      </c>
      <c r="F3619" s="89">
        <f>AVERAGE(F3611:F3615)</f>
        <v>20.26667218871529</v>
      </c>
      <c r="G3619" s="110" t="s">
        <v>73</v>
      </c>
      <c r="H3619" s="111"/>
      <c r="I3619" s="112"/>
      <c r="J3619" s="113"/>
      <c r="K3619" s="114"/>
      <c r="L3619" s="7" t="s">
        <v>36</v>
      </c>
    </row>
    <row r="3620" spans="1:12" ht="15.75" thickBot="1" x14ac:dyDescent="0.3">
      <c r="A3620" s="5"/>
      <c r="B3620" s="5"/>
      <c r="C3620" s="5"/>
      <c r="D3620" s="5"/>
      <c r="E3620" s="5"/>
      <c r="F3620" s="5"/>
      <c r="G3620" s="130"/>
      <c r="H3620" s="131"/>
      <c r="I3620" s="132"/>
      <c r="J3620" s="133"/>
      <c r="K3620" s="134"/>
      <c r="L3620" s="18">
        <f>J3611+J3612+J3613+J3614+J3615+J3616+J3617+J3618+J3619</f>
        <v>0</v>
      </c>
    </row>
    <row r="3621" spans="1:12" ht="15.75" thickBot="1" x14ac:dyDescent="0.3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</row>
    <row r="3622" spans="1:12" ht="15.75" thickBot="1" x14ac:dyDescent="0.3">
      <c r="A3622" s="19"/>
      <c r="B3622" s="20"/>
      <c r="C3622" s="20"/>
      <c r="D3622" s="20"/>
      <c r="E3622" s="21" t="s">
        <v>13</v>
      </c>
      <c r="F3622" s="5"/>
      <c r="G3622" s="19"/>
      <c r="H3622" s="20"/>
      <c r="I3622" s="20"/>
      <c r="J3622" s="20"/>
      <c r="K3622" s="21" t="s">
        <v>13</v>
      </c>
      <c r="L3622" s="5"/>
    </row>
    <row r="3623" spans="1:12" x14ac:dyDescent="0.25">
      <c r="A3623" s="22" t="s">
        <v>31</v>
      </c>
      <c r="B3623" s="115">
        <v>19091</v>
      </c>
      <c r="C3623" s="116"/>
      <c r="D3623" s="116"/>
      <c r="E3623" s="117"/>
      <c r="F3623" s="5"/>
      <c r="G3623" s="22" t="s">
        <v>32</v>
      </c>
      <c r="H3623" s="115">
        <v>43820</v>
      </c>
      <c r="I3623" s="116"/>
      <c r="J3623" s="116"/>
      <c r="K3623" s="117"/>
      <c r="L3623" s="5"/>
    </row>
    <row r="3624" spans="1:12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</row>
    <row r="3625" spans="1:12" x14ac:dyDescent="0.25">
      <c r="A3625" s="7" t="s">
        <v>16</v>
      </c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</row>
    <row r="3626" spans="1:12" x14ac:dyDescent="0.25">
      <c r="A3626" s="9" t="s">
        <v>17</v>
      </c>
      <c r="B3626" s="23">
        <f>L3603-C3598</f>
        <v>3030</v>
      </c>
      <c r="C3626" s="5"/>
      <c r="D3626" s="106" t="s">
        <v>18</v>
      </c>
      <c r="E3626" s="107"/>
      <c r="F3626" s="24" t="s">
        <v>19</v>
      </c>
      <c r="G3626" s="9" t="s">
        <v>20</v>
      </c>
      <c r="H3626" s="118">
        <f>B3623+H3623</f>
        <v>62911</v>
      </c>
      <c r="I3626" s="119"/>
      <c r="J3626" s="60"/>
      <c r="K3626" s="5"/>
      <c r="L3626" s="5"/>
    </row>
    <row r="3627" spans="1:12" x14ac:dyDescent="0.25">
      <c r="A3627" s="9" t="s">
        <v>41</v>
      </c>
      <c r="B3627" s="40">
        <f>B3626/D3619</f>
        <v>2.0531042529749683</v>
      </c>
      <c r="C3627" s="5"/>
      <c r="D3627" s="102">
        <f>E3619</f>
        <v>29884.6</v>
      </c>
      <c r="E3627" s="103"/>
      <c r="F3627" s="25">
        <f>H3627/B3626</f>
        <v>10.825940594059405</v>
      </c>
      <c r="G3627" s="9" t="s">
        <v>21</v>
      </c>
      <c r="H3627" s="104">
        <f>L3620+D3627+D3629+D3631+D3633+A3630</f>
        <v>32802.6</v>
      </c>
      <c r="I3627" s="105"/>
      <c r="J3627" s="5"/>
      <c r="K3627" s="5"/>
      <c r="L3627" s="5"/>
    </row>
    <row r="3628" spans="1:12" x14ac:dyDescent="0.25">
      <c r="A3628" s="9" t="s">
        <v>43</v>
      </c>
      <c r="B3628" s="23">
        <f>D3619/B3626*100</f>
        <v>48.706732673267325</v>
      </c>
      <c r="C3628" s="5"/>
      <c r="D3628" s="106" t="s">
        <v>33</v>
      </c>
      <c r="E3628" s="107"/>
      <c r="F3628" s="5"/>
      <c r="G3628" s="13" t="s">
        <v>22</v>
      </c>
      <c r="H3628" s="6"/>
      <c r="I3628" s="26">
        <f>H3626-H3627</f>
        <v>30108.400000000001</v>
      </c>
      <c r="J3628" s="5"/>
      <c r="K3628" s="5"/>
      <c r="L3628" s="5"/>
    </row>
    <row r="3629" spans="1:12" x14ac:dyDescent="0.25">
      <c r="A3629" s="106" t="s">
        <v>40</v>
      </c>
      <c r="B3629" s="107"/>
      <c r="C3629" s="5"/>
      <c r="D3629" s="149">
        <v>1100</v>
      </c>
      <c r="E3629" s="150"/>
      <c r="F3629" s="5"/>
      <c r="G3629" s="5"/>
      <c r="H3629" s="5"/>
      <c r="I3629" s="5"/>
      <c r="J3629" s="5"/>
      <c r="K3629" s="5"/>
      <c r="L3629" s="5"/>
    </row>
    <row r="3630" spans="1:12" x14ac:dyDescent="0.25">
      <c r="A3630" s="108">
        <f>B3626*0.6</f>
        <v>1818</v>
      </c>
      <c r="B3630" s="109"/>
      <c r="C3630" s="5"/>
      <c r="D3630" s="106" t="s">
        <v>34</v>
      </c>
      <c r="E3630" s="107"/>
      <c r="F3630" s="5"/>
      <c r="G3630" s="145" t="s">
        <v>292</v>
      </c>
      <c r="H3630" s="146"/>
      <c r="I3630" s="23">
        <f>B3626/2.3</f>
        <v>1317.3913043478262</v>
      </c>
      <c r="J3630" s="60"/>
      <c r="K3630" s="5"/>
      <c r="L3630" s="5"/>
    </row>
    <row r="3631" spans="1:12" x14ac:dyDescent="0.25">
      <c r="A3631" s="5"/>
      <c r="B3631" s="5"/>
      <c r="C3631" s="5"/>
      <c r="D3631" s="108">
        <v>0</v>
      </c>
      <c r="E3631" s="109"/>
      <c r="F3631" s="5"/>
      <c r="G3631" s="145" t="s">
        <v>294</v>
      </c>
      <c r="H3631" s="146"/>
      <c r="I3631" s="23">
        <f>I3630-D3619</f>
        <v>-158.42269565217384</v>
      </c>
      <c r="J3631" s="5"/>
      <c r="K3631" s="5"/>
      <c r="L3631" s="5"/>
    </row>
    <row r="3632" spans="1:12" x14ac:dyDescent="0.25">
      <c r="A3632" s="5"/>
      <c r="B3632" s="5"/>
      <c r="C3632" s="5"/>
      <c r="D3632" s="106" t="s">
        <v>37</v>
      </c>
      <c r="E3632" s="107"/>
      <c r="F3632" s="5"/>
      <c r="G3632" s="147" t="s">
        <v>295</v>
      </c>
      <c r="H3632" s="148"/>
      <c r="I3632" s="86">
        <f>I3631*F3619</f>
        <v>-3210.7008400352183</v>
      </c>
      <c r="J3632" s="87">
        <f>I3628-I3632</f>
        <v>33319.100840035222</v>
      </c>
      <c r="K3632" s="5"/>
      <c r="L3632" s="5"/>
    </row>
    <row r="3633" spans="1:14" x14ac:dyDescent="0.25">
      <c r="A3633" s="5"/>
      <c r="B3633" s="5"/>
      <c r="C3633" s="5"/>
      <c r="D3633" s="108">
        <v>0</v>
      </c>
      <c r="E3633" s="109"/>
      <c r="F3633" s="5" t="s">
        <v>78</v>
      </c>
      <c r="G3633" s="5"/>
      <c r="H3633" s="5"/>
      <c r="I3633" s="5"/>
      <c r="J3633" s="88" t="s">
        <v>293</v>
      </c>
      <c r="K3633" s="44"/>
      <c r="L3633" s="5"/>
      <c r="N3633" s="96">
        <f>I3628+I3582+I3535+I3489+I3443</f>
        <v>132580.07</v>
      </c>
    </row>
    <row r="3635" spans="1:14" s="49" customFormat="1" x14ac:dyDescent="0.25"/>
    <row r="3638" spans="1:14" x14ac:dyDescent="0.25">
      <c r="A3638" s="120" t="s">
        <v>24</v>
      </c>
      <c r="B3638" s="120"/>
      <c r="C3638" s="120"/>
      <c r="D3638" s="120"/>
      <c r="E3638" s="120"/>
      <c r="F3638" s="120"/>
      <c r="G3638" s="120"/>
      <c r="H3638" s="120"/>
      <c r="I3638" s="120"/>
      <c r="J3638" s="120"/>
      <c r="K3638" s="120"/>
      <c r="L3638" s="120"/>
    </row>
    <row r="3639" spans="1:14" x14ac:dyDescent="0.25">
      <c r="A3639" s="120"/>
      <c r="B3639" s="120"/>
      <c r="C3639" s="120"/>
      <c r="D3639" s="120"/>
      <c r="E3639" s="120"/>
      <c r="F3639" s="120"/>
      <c r="G3639" s="120"/>
      <c r="H3639" s="120"/>
      <c r="I3639" s="120"/>
      <c r="J3639" s="120"/>
      <c r="K3639" s="120"/>
      <c r="L3639" s="120"/>
    </row>
    <row r="3640" spans="1:14" x14ac:dyDescent="0.25">
      <c r="A3640" s="1" t="s">
        <v>4</v>
      </c>
      <c r="B3640" s="2"/>
      <c r="C3640" s="90"/>
      <c r="D3640" s="2"/>
      <c r="E3640" s="2"/>
      <c r="F3640" s="2"/>
      <c r="G3640" s="3" t="s">
        <v>5</v>
      </c>
      <c r="H3640" s="3" t="s">
        <v>6</v>
      </c>
      <c r="I3640" s="4" t="s">
        <v>7</v>
      </c>
      <c r="J3640" s="5"/>
      <c r="K3640" s="5"/>
      <c r="L3640" s="5"/>
    </row>
    <row r="3641" spans="1:14" x14ac:dyDescent="0.25">
      <c r="A3641" s="91" t="s">
        <v>341</v>
      </c>
      <c r="B3641" s="92" t="s">
        <v>42</v>
      </c>
      <c r="C3641" s="64"/>
      <c r="D3641" s="66"/>
      <c r="E3641" s="2"/>
      <c r="F3641" s="2"/>
      <c r="G3641" s="91" t="s">
        <v>299</v>
      </c>
      <c r="H3641" s="66"/>
      <c r="I3641" s="33"/>
      <c r="J3641" s="6"/>
      <c r="K3641" s="33"/>
      <c r="L3641" s="6"/>
    </row>
    <row r="3642" spans="1:14" x14ac:dyDescent="0.25">
      <c r="A3642" s="7" t="s">
        <v>2</v>
      </c>
      <c r="B3642" s="5"/>
      <c r="C3642" s="5"/>
      <c r="D3642" s="5"/>
      <c r="E3642" s="5"/>
      <c r="F3642" s="5"/>
      <c r="G3642" s="8" t="s">
        <v>8</v>
      </c>
      <c r="H3642" s="93">
        <v>3</v>
      </c>
      <c r="I3642" s="5"/>
      <c r="J3642" s="5"/>
      <c r="K3642" s="5"/>
      <c r="L3642" s="5"/>
    </row>
    <row r="3643" spans="1:14" x14ac:dyDescent="0.25">
      <c r="A3643" s="7" t="s">
        <v>25</v>
      </c>
      <c r="B3643" s="5"/>
      <c r="C3643" s="7" t="s">
        <v>0</v>
      </c>
      <c r="D3643" s="5"/>
      <c r="E3643" s="5"/>
      <c r="F3643" s="5"/>
      <c r="G3643" s="7" t="s">
        <v>25</v>
      </c>
      <c r="H3643" s="5"/>
      <c r="I3643" s="7" t="s">
        <v>0</v>
      </c>
      <c r="J3643" s="5"/>
      <c r="K3643" s="5"/>
      <c r="L3643" s="5"/>
    </row>
    <row r="3644" spans="1:14" x14ac:dyDescent="0.25">
      <c r="A3644" s="42" t="s">
        <v>539</v>
      </c>
      <c r="B3644" s="6"/>
      <c r="C3644" s="31">
        <f>L3603</f>
        <v>1049517</v>
      </c>
      <c r="D3644" s="5"/>
      <c r="E3644" s="5"/>
      <c r="F3644" s="5"/>
      <c r="G3644" s="42"/>
      <c r="H3644" s="6"/>
      <c r="I3644" s="9"/>
      <c r="J3644" s="5"/>
      <c r="K3644" s="5"/>
      <c r="L3644" s="5"/>
    </row>
    <row r="3645" spans="1:14" ht="16.5" thickBot="1" x14ac:dyDescent="0.3">
      <c r="A3645" s="7"/>
      <c r="B3645" s="62"/>
      <c r="C3645" s="62"/>
      <c r="D3645" s="62"/>
      <c r="E3645" s="5"/>
      <c r="F3645" s="5"/>
      <c r="G3645" s="10"/>
      <c r="H3645" s="5"/>
      <c r="I3645" s="5"/>
      <c r="J3645" s="5"/>
      <c r="K3645" s="5"/>
      <c r="L3645" s="5"/>
    </row>
    <row r="3646" spans="1:14" ht="15.75" thickBot="1" x14ac:dyDescent="0.3">
      <c r="A3646" s="121" t="s">
        <v>9</v>
      </c>
      <c r="B3646" s="122"/>
      <c r="C3646" s="123"/>
      <c r="D3646" s="5"/>
      <c r="E3646" s="5"/>
      <c r="F3646" s="5"/>
      <c r="G3646" s="121" t="s">
        <v>26</v>
      </c>
      <c r="H3646" s="122"/>
      <c r="I3646" s="123"/>
      <c r="J3646" s="5"/>
      <c r="K3646" s="5"/>
      <c r="L3646" s="5"/>
    </row>
    <row r="3647" spans="1:14" x14ac:dyDescent="0.25">
      <c r="A3647" s="30" t="s">
        <v>38</v>
      </c>
      <c r="B3647" s="11"/>
      <c r="C3647" s="11"/>
      <c r="D3647" s="11"/>
      <c r="E3647" s="6"/>
      <c r="F3647" s="5"/>
      <c r="G3647" s="30" t="str">
        <f>A3650</f>
        <v>EYN to Keetmans - Cape Town</v>
      </c>
      <c r="H3647" s="11"/>
      <c r="I3647" s="11"/>
      <c r="J3647" s="11"/>
      <c r="K3647" s="11"/>
      <c r="L3647" s="6"/>
    </row>
    <row r="3648" spans="1:14" ht="15.75" thickBot="1" x14ac:dyDescent="0.3">
      <c r="A3648" s="7"/>
      <c r="B3648" s="7"/>
      <c r="C3648" s="7"/>
      <c r="D3648" s="5"/>
      <c r="E3648" s="5"/>
      <c r="F3648" s="5"/>
      <c r="G3648" s="7"/>
      <c r="H3648" s="7"/>
      <c r="I3648" s="7"/>
      <c r="J3648" s="5"/>
      <c r="K3648" s="5"/>
      <c r="L3648" s="5"/>
    </row>
    <row r="3649" spans="1:12" ht="15.75" thickBot="1" x14ac:dyDescent="0.3">
      <c r="A3649" s="121"/>
      <c r="B3649" s="122"/>
      <c r="C3649" s="124"/>
      <c r="D3649" s="12" t="s">
        <v>1</v>
      </c>
      <c r="E3649" s="32"/>
      <c r="F3649" s="5"/>
      <c r="G3649" s="121" t="s">
        <v>27</v>
      </c>
      <c r="H3649" s="122"/>
      <c r="I3649" s="123"/>
      <c r="J3649" s="5"/>
      <c r="K3649" s="12" t="s">
        <v>1</v>
      </c>
      <c r="L3649" s="32">
        <v>1052570</v>
      </c>
    </row>
    <row r="3650" spans="1:12" x14ac:dyDescent="0.25">
      <c r="A3650" s="30" t="s">
        <v>540</v>
      </c>
      <c r="B3650" s="11"/>
      <c r="C3650" s="11"/>
      <c r="D3650" s="11"/>
      <c r="E3650" s="6"/>
      <c r="F3650" s="5"/>
      <c r="G3650" s="30" t="s">
        <v>364</v>
      </c>
      <c r="H3650" s="11"/>
      <c r="I3650" s="11"/>
      <c r="J3650" s="11"/>
      <c r="K3650" s="11"/>
      <c r="L3650" s="6"/>
    </row>
    <row r="3651" spans="1:12" x14ac:dyDescent="0.25">
      <c r="A3651" s="76"/>
      <c r="B3651" s="11"/>
      <c r="C3651" s="11"/>
      <c r="D3651" s="11"/>
      <c r="E3651" s="6"/>
      <c r="F3651" s="5"/>
      <c r="G3651" s="34"/>
      <c r="H3651" s="11"/>
      <c r="I3651" s="11"/>
      <c r="J3651" s="11"/>
      <c r="K3651" s="11"/>
      <c r="L3651" s="6"/>
    </row>
    <row r="3652" spans="1:12" x14ac:dyDescent="0.25">
      <c r="A3652" s="13"/>
      <c r="B3652" s="11"/>
      <c r="C3652" s="11"/>
      <c r="D3652" s="11"/>
      <c r="E3652" s="6"/>
      <c r="F3652" s="5"/>
      <c r="G3652" s="13"/>
      <c r="H3652" s="11"/>
      <c r="I3652" s="11"/>
      <c r="J3652" s="11"/>
      <c r="K3652" s="11"/>
      <c r="L3652" s="6"/>
    </row>
    <row r="3653" spans="1:12" x14ac:dyDescent="0.25">
      <c r="A3653" s="13"/>
      <c r="B3653" s="11"/>
      <c r="C3653" s="11"/>
      <c r="D3653" s="11"/>
      <c r="E3653" s="6"/>
      <c r="F3653" s="5"/>
      <c r="G3653" s="13"/>
      <c r="H3653" s="11"/>
      <c r="I3653" s="11"/>
      <c r="J3653" s="11"/>
      <c r="K3653" s="11"/>
      <c r="L3653" s="6"/>
    </row>
    <row r="3654" spans="1:12" ht="15.75" thickBot="1" x14ac:dyDescent="0.3">
      <c r="A3654" s="13"/>
      <c r="B3654" s="11"/>
      <c r="C3654" s="11" t="s">
        <v>29</v>
      </c>
      <c r="D3654" s="43"/>
      <c r="E3654" s="6"/>
      <c r="F3654" s="5"/>
      <c r="G3654" s="13"/>
      <c r="H3654" s="11"/>
      <c r="I3654" s="14" t="s">
        <v>28</v>
      </c>
      <c r="J3654" s="43"/>
      <c r="K3654" s="59"/>
      <c r="L3654" s="6"/>
    </row>
    <row r="3655" spans="1:12" ht="15.75" thickBot="1" x14ac:dyDescent="0.3">
      <c r="A3655" s="15" t="s">
        <v>10</v>
      </c>
      <c r="B3655" s="5"/>
      <c r="C3655" s="5"/>
      <c r="D3655" s="5"/>
      <c r="E3655" s="5"/>
      <c r="F3655" s="5"/>
      <c r="G3655" s="15" t="s">
        <v>14</v>
      </c>
      <c r="H3655" s="5"/>
      <c r="I3655" s="5"/>
      <c r="J3655" s="5"/>
      <c r="K3655" s="5"/>
      <c r="L3655" s="5"/>
    </row>
    <row r="3656" spans="1:12" ht="15.75" thickBot="1" x14ac:dyDescent="0.3">
      <c r="A3656" s="121" t="s">
        <v>11</v>
      </c>
      <c r="B3656" s="122"/>
      <c r="C3656" s="123"/>
      <c r="D3656" s="16" t="s">
        <v>12</v>
      </c>
      <c r="E3656" s="16" t="s">
        <v>13</v>
      </c>
      <c r="F3656" s="5"/>
      <c r="G3656" s="121" t="s">
        <v>15</v>
      </c>
      <c r="H3656" s="122"/>
      <c r="I3656" s="123"/>
      <c r="J3656" s="121"/>
      <c r="K3656" s="123"/>
      <c r="L3656" s="5"/>
    </row>
    <row r="3657" spans="1:12" x14ac:dyDescent="0.25">
      <c r="A3657" s="94" t="s">
        <v>541</v>
      </c>
      <c r="B3657" s="46" t="s">
        <v>542</v>
      </c>
      <c r="C3657" s="47"/>
      <c r="D3657" s="56">
        <v>200</v>
      </c>
      <c r="E3657" s="57">
        <v>4326</v>
      </c>
      <c r="F3657" s="44">
        <f>E3657/D3657</f>
        <v>21.63</v>
      </c>
      <c r="G3657" s="125" t="s">
        <v>69</v>
      </c>
      <c r="H3657" s="126"/>
      <c r="I3657" s="127"/>
      <c r="J3657" s="128"/>
      <c r="K3657" s="129"/>
      <c r="L3657" s="5"/>
    </row>
    <row r="3658" spans="1:12" x14ac:dyDescent="0.25">
      <c r="A3658" s="94" t="s">
        <v>543</v>
      </c>
      <c r="B3658" s="46" t="s">
        <v>305</v>
      </c>
      <c r="C3658" s="47"/>
      <c r="D3658" s="56">
        <v>631.38900000000001</v>
      </c>
      <c r="E3658" s="57">
        <v>13454.9</v>
      </c>
      <c r="F3658" s="44">
        <f t="shared" ref="F3658:F3659" si="6">E3658/D3658</f>
        <v>21.31000064936196</v>
      </c>
      <c r="G3658" s="110" t="s">
        <v>59</v>
      </c>
      <c r="H3658" s="111"/>
      <c r="I3658" s="112"/>
      <c r="J3658" s="113"/>
      <c r="K3658" s="114"/>
      <c r="L3658" s="5"/>
    </row>
    <row r="3659" spans="1:12" x14ac:dyDescent="0.25">
      <c r="A3659" s="94" t="s">
        <v>544</v>
      </c>
      <c r="B3659" s="46" t="s">
        <v>47</v>
      </c>
      <c r="C3659" s="47"/>
      <c r="D3659" s="56">
        <v>521.34699999999998</v>
      </c>
      <c r="E3659" s="57">
        <v>9477.9599999999991</v>
      </c>
      <c r="F3659" s="44">
        <f t="shared" si="6"/>
        <v>18.179753599809722</v>
      </c>
      <c r="G3659" s="110" t="s">
        <v>61</v>
      </c>
      <c r="H3659" s="111"/>
      <c r="I3659" s="112"/>
      <c r="J3659" s="113"/>
      <c r="K3659" s="114"/>
      <c r="L3659" s="5"/>
    </row>
    <row r="3660" spans="1:12" x14ac:dyDescent="0.25">
      <c r="A3660" s="94"/>
      <c r="B3660" s="46"/>
      <c r="C3660" s="47"/>
      <c r="D3660" s="56"/>
      <c r="E3660" s="57"/>
      <c r="F3660" s="44"/>
      <c r="G3660" s="110" t="s">
        <v>51</v>
      </c>
      <c r="H3660" s="111"/>
      <c r="I3660" s="112"/>
      <c r="J3660" s="113"/>
      <c r="K3660" s="114"/>
      <c r="L3660" s="5"/>
    </row>
    <row r="3661" spans="1:12" x14ac:dyDescent="0.25">
      <c r="A3661" s="48"/>
      <c r="B3661" s="46"/>
      <c r="C3661" s="39"/>
      <c r="D3661" s="52"/>
      <c r="E3661" s="53"/>
      <c r="F3661" s="44"/>
      <c r="G3661" s="110" t="s">
        <v>58</v>
      </c>
      <c r="H3661" s="111"/>
      <c r="I3661" s="112"/>
      <c r="J3661" s="113"/>
      <c r="K3661" s="114"/>
      <c r="L3661" s="5"/>
    </row>
    <row r="3662" spans="1:12" x14ac:dyDescent="0.25">
      <c r="A3662" s="48"/>
      <c r="B3662" s="35"/>
      <c r="C3662" s="39"/>
      <c r="D3662" s="52"/>
      <c r="E3662" s="53"/>
      <c r="F3662" s="44"/>
      <c r="G3662" s="110" t="s">
        <v>51</v>
      </c>
      <c r="H3662" s="111"/>
      <c r="I3662" s="112"/>
      <c r="J3662" s="113"/>
      <c r="K3662" s="114"/>
      <c r="L3662" s="5"/>
    </row>
    <row r="3663" spans="1:12" x14ac:dyDescent="0.25">
      <c r="A3663" s="48"/>
      <c r="B3663" s="35"/>
      <c r="C3663" s="39"/>
      <c r="D3663" s="52"/>
      <c r="E3663" s="53"/>
      <c r="F3663" s="44"/>
      <c r="G3663" s="77"/>
      <c r="H3663" s="78" t="s">
        <v>69</v>
      </c>
      <c r="I3663" s="79"/>
      <c r="J3663" s="113"/>
      <c r="K3663" s="114"/>
      <c r="L3663" s="5"/>
    </row>
    <row r="3664" spans="1:12" x14ac:dyDescent="0.25">
      <c r="A3664" s="38"/>
      <c r="B3664" s="35"/>
      <c r="C3664" s="39"/>
      <c r="D3664" s="52"/>
      <c r="E3664" s="53"/>
      <c r="F3664" s="44"/>
      <c r="G3664" s="77"/>
      <c r="H3664" s="78" t="s">
        <v>72</v>
      </c>
      <c r="I3664" s="79"/>
      <c r="J3664" s="113"/>
      <c r="K3664" s="114"/>
      <c r="L3664" s="5"/>
    </row>
    <row r="3665" spans="1:12" ht="15.75" thickBot="1" x14ac:dyDescent="0.3">
      <c r="A3665" s="5"/>
      <c r="B3665" s="5"/>
      <c r="C3665" s="7" t="s">
        <v>35</v>
      </c>
      <c r="D3665" s="17">
        <f>SUM(D3657:D3664)</f>
        <v>1352.7359999999999</v>
      </c>
      <c r="E3665" s="17">
        <f>SUM(E3657:E3664)</f>
        <v>27258.86</v>
      </c>
      <c r="F3665" s="89">
        <f>AVERAGE(F3657:F3661)</f>
        <v>20.373251416390563</v>
      </c>
      <c r="G3665" s="110" t="s">
        <v>73</v>
      </c>
      <c r="H3665" s="111"/>
      <c r="I3665" s="112"/>
      <c r="J3665" s="113"/>
      <c r="K3665" s="114"/>
      <c r="L3665" s="7" t="s">
        <v>36</v>
      </c>
    </row>
    <row r="3666" spans="1:12" ht="15.75" thickBot="1" x14ac:dyDescent="0.3">
      <c r="A3666" s="5"/>
      <c r="B3666" s="5"/>
      <c r="C3666" s="5"/>
      <c r="D3666" s="5"/>
      <c r="E3666" s="5"/>
      <c r="F3666" s="5"/>
      <c r="G3666" s="130"/>
      <c r="H3666" s="131"/>
      <c r="I3666" s="132"/>
      <c r="J3666" s="133"/>
      <c r="K3666" s="134"/>
      <c r="L3666" s="18">
        <f>J3657+J3658+J3659+J3660+J3661+J3662+J3663+J3664+J3665</f>
        <v>0</v>
      </c>
    </row>
    <row r="3667" spans="1:12" ht="15.75" thickBot="1" x14ac:dyDescent="0.3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</row>
    <row r="3668" spans="1:12" ht="15.75" thickBot="1" x14ac:dyDescent="0.3">
      <c r="A3668" s="19"/>
      <c r="B3668" s="20"/>
      <c r="C3668" s="20"/>
      <c r="D3668" s="20"/>
      <c r="E3668" s="21" t="s">
        <v>13</v>
      </c>
      <c r="F3668" s="5"/>
      <c r="G3668" s="19"/>
      <c r="H3668" s="20"/>
      <c r="I3668" s="20"/>
      <c r="J3668" s="20"/>
      <c r="K3668" s="21" t="s">
        <v>13</v>
      </c>
      <c r="L3668" s="5"/>
    </row>
    <row r="3669" spans="1:12" x14ac:dyDescent="0.25">
      <c r="A3669" s="22" t="s">
        <v>31</v>
      </c>
      <c r="B3669" s="115">
        <v>19091</v>
      </c>
      <c r="C3669" s="116"/>
      <c r="D3669" s="116"/>
      <c r="E3669" s="117"/>
      <c r="F3669" s="5"/>
      <c r="G3669" s="22" t="s">
        <v>32</v>
      </c>
      <c r="H3669" s="115">
        <v>43820</v>
      </c>
      <c r="I3669" s="116"/>
      <c r="J3669" s="116"/>
      <c r="K3669" s="117"/>
      <c r="L3669" s="5"/>
    </row>
    <row r="3670" spans="1:12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</row>
    <row r="3671" spans="1:12" x14ac:dyDescent="0.25">
      <c r="A3671" s="7" t="s">
        <v>16</v>
      </c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</row>
    <row r="3672" spans="1:12" x14ac:dyDescent="0.25">
      <c r="A3672" s="9" t="s">
        <v>17</v>
      </c>
      <c r="B3672" s="23">
        <f>L3649-C3644</f>
        <v>3053</v>
      </c>
      <c r="C3672" s="5"/>
      <c r="D3672" s="106" t="s">
        <v>18</v>
      </c>
      <c r="E3672" s="107"/>
      <c r="F3672" s="24" t="s">
        <v>19</v>
      </c>
      <c r="G3672" s="9" t="s">
        <v>20</v>
      </c>
      <c r="H3672" s="118">
        <f>B3669+H3669</f>
        <v>62911</v>
      </c>
      <c r="I3672" s="119"/>
      <c r="J3672" s="60"/>
      <c r="K3672" s="5"/>
      <c r="L3672" s="5"/>
    </row>
    <row r="3673" spans="1:12" x14ac:dyDescent="0.25">
      <c r="A3673" s="9" t="s">
        <v>41</v>
      </c>
      <c r="B3673" s="40">
        <f>B3672/D3665</f>
        <v>2.2569074823173185</v>
      </c>
      <c r="C3673" s="5"/>
      <c r="D3673" s="102">
        <f>E3665</f>
        <v>27258.86</v>
      </c>
      <c r="E3673" s="103"/>
      <c r="F3673" s="25">
        <f>H3673/B3672</f>
        <v>9.8888503111693424</v>
      </c>
      <c r="G3673" s="9" t="s">
        <v>21</v>
      </c>
      <c r="H3673" s="104">
        <f>L3666+D3673+D3675+D3677+D3679+A3676</f>
        <v>30190.66</v>
      </c>
      <c r="I3673" s="105"/>
      <c r="J3673" s="5"/>
      <c r="K3673" s="5"/>
      <c r="L3673" s="5"/>
    </row>
    <row r="3674" spans="1:12" x14ac:dyDescent="0.25">
      <c r="A3674" s="9" t="s">
        <v>43</v>
      </c>
      <c r="B3674" s="23">
        <f>D3665/B3672*100</f>
        <v>44.308417949557807</v>
      </c>
      <c r="C3674" s="5"/>
      <c r="D3674" s="106" t="s">
        <v>33</v>
      </c>
      <c r="E3674" s="107"/>
      <c r="F3674" s="5"/>
      <c r="G3674" s="13" t="s">
        <v>22</v>
      </c>
      <c r="H3674" s="6"/>
      <c r="I3674" s="26">
        <f>H3672-H3673</f>
        <v>32720.34</v>
      </c>
      <c r="J3674" s="5"/>
      <c r="K3674" s="5"/>
      <c r="L3674" s="5"/>
    </row>
    <row r="3675" spans="1:12" x14ac:dyDescent="0.25">
      <c r="A3675" s="106" t="s">
        <v>40</v>
      </c>
      <c r="B3675" s="107"/>
      <c r="C3675" s="5"/>
      <c r="D3675" s="149">
        <v>1100</v>
      </c>
      <c r="E3675" s="150"/>
      <c r="F3675" s="5"/>
      <c r="G3675" s="5"/>
      <c r="H3675" s="5"/>
      <c r="I3675" s="5"/>
      <c r="J3675" s="5"/>
      <c r="K3675" s="5"/>
      <c r="L3675" s="5"/>
    </row>
    <row r="3676" spans="1:12" x14ac:dyDescent="0.25">
      <c r="A3676" s="108">
        <f>B3672*0.6</f>
        <v>1831.8</v>
      </c>
      <c r="B3676" s="109"/>
      <c r="C3676" s="5"/>
      <c r="D3676" s="106" t="s">
        <v>34</v>
      </c>
      <c r="E3676" s="107"/>
      <c r="F3676" s="5"/>
      <c r="G3676" s="145" t="s">
        <v>292</v>
      </c>
      <c r="H3676" s="146"/>
      <c r="I3676" s="23">
        <f>B3672/2.3</f>
        <v>1327.3913043478262</v>
      </c>
      <c r="J3676" s="60"/>
      <c r="K3676" s="5"/>
      <c r="L3676" s="5"/>
    </row>
    <row r="3677" spans="1:12" x14ac:dyDescent="0.25">
      <c r="A3677" s="5"/>
      <c r="B3677" s="5"/>
      <c r="C3677" s="5"/>
      <c r="D3677" s="108">
        <v>0</v>
      </c>
      <c r="E3677" s="109"/>
      <c r="F3677" s="5"/>
      <c r="G3677" s="145" t="s">
        <v>294</v>
      </c>
      <c r="H3677" s="146"/>
      <c r="I3677" s="23">
        <f>I3676-D3665</f>
        <v>-25.344695652173641</v>
      </c>
      <c r="J3677" s="5"/>
      <c r="K3677" s="5"/>
      <c r="L3677" s="5"/>
    </row>
    <row r="3678" spans="1:12" x14ac:dyDescent="0.25">
      <c r="A3678" s="5"/>
      <c r="B3678" s="5"/>
      <c r="C3678" s="5"/>
      <c r="D3678" s="106" t="s">
        <v>37</v>
      </c>
      <c r="E3678" s="107"/>
      <c r="F3678" s="5"/>
      <c r="G3678" s="147" t="s">
        <v>295</v>
      </c>
      <c r="H3678" s="148"/>
      <c r="I3678" s="86">
        <f>I3677*F3665</f>
        <v>-516.35385659363442</v>
      </c>
      <c r="J3678" s="87">
        <f>I3674-I3678</f>
        <v>33236.693856593636</v>
      </c>
      <c r="K3678" s="5"/>
      <c r="L3678" s="5"/>
    </row>
    <row r="3679" spans="1:12" x14ac:dyDescent="0.25">
      <c r="A3679" s="5"/>
      <c r="B3679" s="5"/>
      <c r="C3679" s="5"/>
      <c r="D3679" s="108">
        <v>0</v>
      </c>
      <c r="E3679" s="109"/>
      <c r="F3679" s="5" t="s">
        <v>78</v>
      </c>
      <c r="G3679" s="5"/>
      <c r="H3679" s="5"/>
      <c r="I3679" s="5"/>
      <c r="J3679" s="88" t="s">
        <v>293</v>
      </c>
      <c r="K3679" s="44"/>
      <c r="L3679" s="5"/>
    </row>
    <row r="3681" spans="1:12" s="49" customFormat="1" x14ac:dyDescent="0.25"/>
    <row r="3684" spans="1:12" x14ac:dyDescent="0.25">
      <c r="A3684" s="120" t="s">
        <v>24</v>
      </c>
      <c r="B3684" s="120"/>
      <c r="C3684" s="120"/>
      <c r="D3684" s="120"/>
      <c r="E3684" s="120"/>
      <c r="F3684" s="120"/>
      <c r="G3684" s="120"/>
      <c r="H3684" s="120"/>
      <c r="I3684" s="120"/>
      <c r="J3684" s="120"/>
      <c r="K3684" s="120"/>
      <c r="L3684" s="120"/>
    </row>
    <row r="3685" spans="1:12" x14ac:dyDescent="0.25">
      <c r="A3685" s="120"/>
      <c r="B3685" s="120"/>
      <c r="C3685" s="120"/>
      <c r="D3685" s="120"/>
      <c r="E3685" s="120"/>
      <c r="F3685" s="120"/>
      <c r="G3685" s="120"/>
      <c r="H3685" s="120"/>
      <c r="I3685" s="120"/>
      <c r="J3685" s="120"/>
      <c r="K3685" s="120"/>
      <c r="L3685" s="120"/>
    </row>
    <row r="3686" spans="1:12" x14ac:dyDescent="0.25">
      <c r="A3686" s="1" t="s">
        <v>4</v>
      </c>
      <c r="B3686" s="2"/>
      <c r="C3686" s="90"/>
      <c r="D3686" s="2"/>
      <c r="E3686" s="2"/>
      <c r="F3686" s="2"/>
      <c r="G3686" s="3" t="s">
        <v>5</v>
      </c>
      <c r="H3686" s="3" t="s">
        <v>6</v>
      </c>
      <c r="I3686" s="4" t="s">
        <v>7</v>
      </c>
      <c r="J3686" s="5"/>
      <c r="K3686" s="5"/>
      <c r="L3686" s="5"/>
    </row>
    <row r="3687" spans="1:12" x14ac:dyDescent="0.25">
      <c r="A3687" s="91" t="s">
        <v>341</v>
      </c>
      <c r="B3687" s="92" t="s">
        <v>42</v>
      </c>
      <c r="C3687" s="64"/>
      <c r="D3687" s="66"/>
      <c r="E3687" s="2"/>
      <c r="F3687" s="2"/>
      <c r="G3687" s="91" t="s">
        <v>299</v>
      </c>
      <c r="H3687" s="66"/>
      <c r="I3687" s="33"/>
      <c r="J3687" s="6"/>
      <c r="K3687" s="33"/>
      <c r="L3687" s="6"/>
    </row>
    <row r="3688" spans="1:12" x14ac:dyDescent="0.25">
      <c r="A3688" s="7" t="s">
        <v>2</v>
      </c>
      <c r="B3688" s="5"/>
      <c r="C3688" s="5"/>
      <c r="D3688" s="5"/>
      <c r="E3688" s="5"/>
      <c r="F3688" s="5"/>
      <c r="G3688" s="8" t="s">
        <v>8</v>
      </c>
      <c r="H3688" s="93">
        <v>3</v>
      </c>
      <c r="I3688" s="5"/>
      <c r="J3688" s="5"/>
      <c r="K3688" s="5"/>
      <c r="L3688" s="5"/>
    </row>
    <row r="3689" spans="1:12" x14ac:dyDescent="0.25">
      <c r="A3689" s="7" t="s">
        <v>25</v>
      </c>
      <c r="B3689" s="5"/>
      <c r="C3689" s="7" t="s">
        <v>0</v>
      </c>
      <c r="D3689" s="5"/>
      <c r="E3689" s="5"/>
      <c r="F3689" s="5"/>
      <c r="G3689" s="7" t="s">
        <v>25</v>
      </c>
      <c r="H3689" s="5"/>
      <c r="I3689" s="7" t="s">
        <v>0</v>
      </c>
      <c r="J3689" s="5"/>
      <c r="K3689" s="5"/>
      <c r="L3689" s="5"/>
    </row>
    <row r="3690" spans="1:12" x14ac:dyDescent="0.25">
      <c r="A3690" s="42" t="s">
        <v>544</v>
      </c>
      <c r="B3690" s="6"/>
      <c r="C3690" s="31">
        <f>L3649</f>
        <v>1052570</v>
      </c>
      <c r="D3690" s="5"/>
      <c r="E3690" s="5"/>
      <c r="F3690" s="5"/>
      <c r="G3690" s="42"/>
      <c r="H3690" s="6"/>
      <c r="I3690" s="9"/>
      <c r="J3690" s="5"/>
      <c r="K3690" s="5"/>
      <c r="L3690" s="5"/>
    </row>
    <row r="3691" spans="1:12" ht="16.5" thickBot="1" x14ac:dyDescent="0.3">
      <c r="A3691" s="7"/>
      <c r="B3691" s="62"/>
      <c r="C3691" s="62"/>
      <c r="D3691" s="62"/>
      <c r="E3691" s="5"/>
      <c r="F3691" s="5"/>
      <c r="G3691" s="10"/>
      <c r="H3691" s="5"/>
      <c r="I3691" s="5"/>
      <c r="J3691" s="5"/>
      <c r="K3691" s="5"/>
      <c r="L3691" s="5"/>
    </row>
    <row r="3692" spans="1:12" ht="15.75" thickBot="1" x14ac:dyDescent="0.3">
      <c r="A3692" s="121" t="s">
        <v>9</v>
      </c>
      <c r="B3692" s="122"/>
      <c r="C3692" s="123"/>
      <c r="D3692" s="5"/>
      <c r="E3692" s="5"/>
      <c r="F3692" s="5"/>
      <c r="G3692" s="121" t="s">
        <v>26</v>
      </c>
      <c r="H3692" s="122"/>
      <c r="I3692" s="123"/>
      <c r="J3692" s="5"/>
      <c r="K3692" s="5"/>
      <c r="L3692" s="5"/>
    </row>
    <row r="3693" spans="1:12" x14ac:dyDescent="0.25">
      <c r="A3693" s="30" t="s">
        <v>38</v>
      </c>
      <c r="B3693" s="11"/>
      <c r="C3693" s="11"/>
      <c r="D3693" s="11"/>
      <c r="E3693" s="6"/>
      <c r="F3693" s="5"/>
      <c r="G3693" s="30" t="str">
        <f>A3696</f>
        <v>CAPE TOWN</v>
      </c>
      <c r="H3693" s="11"/>
      <c r="I3693" s="11"/>
      <c r="J3693" s="11"/>
      <c r="K3693" s="11"/>
      <c r="L3693" s="6"/>
    </row>
    <row r="3694" spans="1:12" ht="15.75" thickBot="1" x14ac:dyDescent="0.3">
      <c r="A3694" s="7"/>
      <c r="B3694" s="7"/>
      <c r="C3694" s="7"/>
      <c r="D3694" s="5"/>
      <c r="E3694" s="5"/>
      <c r="F3694" s="5"/>
      <c r="G3694" s="7"/>
      <c r="H3694" s="7"/>
      <c r="I3694" s="7"/>
      <c r="J3694" s="5"/>
      <c r="K3694" s="5"/>
      <c r="L3694" s="5"/>
    </row>
    <row r="3695" spans="1:12" ht="15.75" thickBot="1" x14ac:dyDescent="0.3">
      <c r="A3695" s="121"/>
      <c r="B3695" s="122"/>
      <c r="C3695" s="124"/>
      <c r="D3695" s="12" t="s">
        <v>1</v>
      </c>
      <c r="E3695" s="32"/>
      <c r="F3695" s="5"/>
      <c r="G3695" s="121" t="s">
        <v>27</v>
      </c>
      <c r="H3695" s="122"/>
      <c r="I3695" s="123"/>
      <c r="J3695" s="5"/>
      <c r="K3695" s="12" t="s">
        <v>1</v>
      </c>
      <c r="L3695" s="32">
        <v>1056107</v>
      </c>
    </row>
    <row r="3696" spans="1:12" x14ac:dyDescent="0.25">
      <c r="A3696" s="30" t="s">
        <v>399</v>
      </c>
      <c r="B3696" s="11"/>
      <c r="C3696" s="11"/>
      <c r="D3696" s="11"/>
      <c r="E3696" s="6"/>
      <c r="F3696" s="5"/>
      <c r="G3696" s="30" t="s">
        <v>364</v>
      </c>
      <c r="H3696" s="11"/>
      <c r="I3696" s="11"/>
      <c r="J3696" s="11"/>
      <c r="K3696" s="11"/>
      <c r="L3696" s="6"/>
    </row>
    <row r="3697" spans="1:12" x14ac:dyDescent="0.25">
      <c r="A3697" s="76"/>
      <c r="B3697" s="11"/>
      <c r="C3697" s="11"/>
      <c r="D3697" s="11"/>
      <c r="E3697" s="6"/>
      <c r="F3697" s="5"/>
      <c r="G3697" s="34"/>
      <c r="H3697" s="11"/>
      <c r="I3697" s="11"/>
      <c r="J3697" s="11"/>
      <c r="K3697" s="11"/>
      <c r="L3697" s="6"/>
    </row>
    <row r="3698" spans="1:12" x14ac:dyDescent="0.25">
      <c r="A3698" s="13"/>
      <c r="B3698" s="11"/>
      <c r="C3698" s="11"/>
      <c r="D3698" s="11"/>
      <c r="E3698" s="6"/>
      <c r="F3698" s="5"/>
      <c r="G3698" s="13"/>
      <c r="H3698" s="11"/>
      <c r="I3698" s="11"/>
      <c r="J3698" s="11"/>
      <c r="K3698" s="11"/>
      <c r="L3698" s="6"/>
    </row>
    <row r="3699" spans="1:12" x14ac:dyDescent="0.25">
      <c r="A3699" s="13"/>
      <c r="B3699" s="11"/>
      <c r="C3699" s="11"/>
      <c r="D3699" s="11"/>
      <c r="E3699" s="6"/>
      <c r="F3699" s="5"/>
      <c r="G3699" s="13"/>
      <c r="H3699" s="11"/>
      <c r="I3699" s="11"/>
      <c r="J3699" s="11"/>
      <c r="K3699" s="11"/>
      <c r="L3699" s="6"/>
    </row>
    <row r="3700" spans="1:12" ht="15.75" thickBot="1" x14ac:dyDescent="0.3">
      <c r="A3700" s="13"/>
      <c r="B3700" s="11"/>
      <c r="C3700" s="11" t="s">
        <v>29</v>
      </c>
      <c r="D3700" s="43"/>
      <c r="E3700" s="6"/>
      <c r="F3700" s="5"/>
      <c r="G3700" s="13"/>
      <c r="H3700" s="11"/>
      <c r="I3700" s="14" t="s">
        <v>28</v>
      </c>
      <c r="J3700" s="43"/>
      <c r="K3700" s="59"/>
      <c r="L3700" s="6"/>
    </row>
    <row r="3701" spans="1:12" ht="15.75" thickBot="1" x14ac:dyDescent="0.3">
      <c r="A3701" s="15" t="s">
        <v>10</v>
      </c>
      <c r="B3701" s="5"/>
      <c r="C3701" s="5"/>
      <c r="D3701" s="5"/>
      <c r="E3701" s="5"/>
      <c r="F3701" s="5"/>
      <c r="G3701" s="15" t="s">
        <v>14</v>
      </c>
      <c r="H3701" s="5"/>
      <c r="I3701" s="5"/>
      <c r="J3701" s="5"/>
      <c r="K3701" s="5"/>
      <c r="L3701" s="5"/>
    </row>
    <row r="3702" spans="1:12" ht="15.75" thickBot="1" x14ac:dyDescent="0.3">
      <c r="A3702" s="121" t="s">
        <v>11</v>
      </c>
      <c r="B3702" s="122"/>
      <c r="C3702" s="123"/>
      <c r="D3702" s="16" t="s">
        <v>12</v>
      </c>
      <c r="E3702" s="16" t="s">
        <v>13</v>
      </c>
      <c r="F3702" s="5"/>
      <c r="G3702" s="121" t="s">
        <v>15</v>
      </c>
      <c r="H3702" s="122"/>
      <c r="I3702" s="123"/>
      <c r="J3702" s="121"/>
      <c r="K3702" s="123"/>
      <c r="L3702" s="5"/>
    </row>
    <row r="3703" spans="1:12" x14ac:dyDescent="0.25">
      <c r="A3703" s="94" t="s">
        <v>545</v>
      </c>
      <c r="B3703" s="46" t="s">
        <v>305</v>
      </c>
      <c r="C3703" s="47"/>
      <c r="D3703" s="56">
        <v>332.947</v>
      </c>
      <c r="E3703" s="57">
        <v>7095.1</v>
      </c>
      <c r="F3703" s="44">
        <f>E3703/D3703</f>
        <v>21.309998288015812</v>
      </c>
      <c r="G3703" s="125" t="s">
        <v>69</v>
      </c>
      <c r="H3703" s="126"/>
      <c r="I3703" s="127"/>
      <c r="J3703" s="128"/>
      <c r="K3703" s="129"/>
      <c r="L3703" s="5"/>
    </row>
    <row r="3704" spans="1:12" x14ac:dyDescent="0.25">
      <c r="A3704" s="94" t="s">
        <v>546</v>
      </c>
      <c r="B3704" s="46" t="s">
        <v>305</v>
      </c>
      <c r="C3704" s="47"/>
      <c r="D3704" s="56">
        <v>655.20899999999995</v>
      </c>
      <c r="E3704" s="57">
        <v>13962.5</v>
      </c>
      <c r="F3704" s="44">
        <f t="shared" ref="F3704:F3705" si="7">E3704/D3704</f>
        <v>21.309994215586173</v>
      </c>
      <c r="G3704" s="110" t="s">
        <v>59</v>
      </c>
      <c r="H3704" s="111"/>
      <c r="I3704" s="112"/>
      <c r="J3704" s="113"/>
      <c r="K3704" s="114"/>
      <c r="L3704" s="5"/>
    </row>
    <row r="3705" spans="1:12" x14ac:dyDescent="0.25">
      <c r="A3705" s="94">
        <v>45698</v>
      </c>
      <c r="B3705" s="46" t="s">
        <v>547</v>
      </c>
      <c r="C3705" s="47"/>
      <c r="D3705" s="56">
        <v>400</v>
      </c>
      <c r="E3705" s="57">
        <v>8384</v>
      </c>
      <c r="F3705" s="44">
        <f t="shared" si="7"/>
        <v>20.96</v>
      </c>
      <c r="G3705" s="110" t="s">
        <v>61</v>
      </c>
      <c r="H3705" s="111"/>
      <c r="I3705" s="112"/>
      <c r="J3705" s="113"/>
      <c r="K3705" s="114"/>
      <c r="L3705" s="5"/>
    </row>
    <row r="3706" spans="1:12" x14ac:dyDescent="0.25">
      <c r="A3706" s="94"/>
      <c r="B3706" s="46"/>
      <c r="C3706" s="47"/>
      <c r="D3706" s="56"/>
      <c r="E3706" s="57"/>
      <c r="F3706" s="44"/>
      <c r="G3706" s="110" t="s">
        <v>51</v>
      </c>
      <c r="H3706" s="111"/>
      <c r="I3706" s="112"/>
      <c r="J3706" s="113"/>
      <c r="K3706" s="114"/>
      <c r="L3706" s="5"/>
    </row>
    <row r="3707" spans="1:12" x14ac:dyDescent="0.25">
      <c r="A3707" s="48"/>
      <c r="B3707" s="46"/>
      <c r="C3707" s="39"/>
      <c r="D3707" s="52"/>
      <c r="E3707" s="53"/>
      <c r="F3707" s="44"/>
      <c r="G3707" s="110" t="s">
        <v>58</v>
      </c>
      <c r="H3707" s="111"/>
      <c r="I3707" s="112"/>
      <c r="J3707" s="113"/>
      <c r="K3707" s="114"/>
      <c r="L3707" s="5"/>
    </row>
    <row r="3708" spans="1:12" x14ac:dyDescent="0.25">
      <c r="A3708" s="48"/>
      <c r="B3708" s="35"/>
      <c r="C3708" s="39"/>
      <c r="D3708" s="52"/>
      <c r="E3708" s="53"/>
      <c r="F3708" s="44"/>
      <c r="G3708" s="110" t="s">
        <v>51</v>
      </c>
      <c r="H3708" s="111"/>
      <c r="I3708" s="112"/>
      <c r="J3708" s="113"/>
      <c r="K3708" s="114"/>
      <c r="L3708" s="5"/>
    </row>
    <row r="3709" spans="1:12" x14ac:dyDescent="0.25">
      <c r="A3709" s="48"/>
      <c r="B3709" s="35"/>
      <c r="C3709" s="39"/>
      <c r="D3709" s="52"/>
      <c r="E3709" s="53"/>
      <c r="F3709" s="44"/>
      <c r="G3709" s="77"/>
      <c r="H3709" s="78" t="s">
        <v>69</v>
      </c>
      <c r="I3709" s="79"/>
      <c r="J3709" s="113"/>
      <c r="K3709" s="114"/>
      <c r="L3709" s="5"/>
    </row>
    <row r="3710" spans="1:12" x14ac:dyDescent="0.25">
      <c r="A3710" s="38"/>
      <c r="B3710" s="35"/>
      <c r="C3710" s="39"/>
      <c r="D3710" s="52"/>
      <c r="E3710" s="53"/>
      <c r="F3710" s="44"/>
      <c r="G3710" s="77"/>
      <c r="H3710" s="78" t="s">
        <v>72</v>
      </c>
      <c r="I3710" s="79"/>
      <c r="J3710" s="113"/>
      <c r="K3710" s="114"/>
      <c r="L3710" s="5"/>
    </row>
    <row r="3711" spans="1:12" ht="15.75" thickBot="1" x14ac:dyDescent="0.3">
      <c r="A3711" s="5"/>
      <c r="B3711" s="5"/>
      <c r="C3711" s="7" t="s">
        <v>35</v>
      </c>
      <c r="D3711" s="17">
        <f>SUM(D3703:D3710)</f>
        <v>1388.1559999999999</v>
      </c>
      <c r="E3711" s="17">
        <f>SUM(E3703:E3710)</f>
        <v>29441.599999999999</v>
      </c>
      <c r="F3711" s="89">
        <f>AVERAGE(F3703:F3707)</f>
        <v>21.193330834533995</v>
      </c>
      <c r="G3711" s="110" t="s">
        <v>73</v>
      </c>
      <c r="H3711" s="111"/>
      <c r="I3711" s="112"/>
      <c r="J3711" s="113"/>
      <c r="K3711" s="114"/>
      <c r="L3711" s="7" t="s">
        <v>36</v>
      </c>
    </row>
    <row r="3712" spans="1:12" ht="15.75" thickBot="1" x14ac:dyDescent="0.3">
      <c r="A3712" s="5"/>
      <c r="B3712" s="5"/>
      <c r="C3712" s="5"/>
      <c r="D3712" s="5"/>
      <c r="E3712" s="5"/>
      <c r="F3712" s="5"/>
      <c r="G3712" s="130"/>
      <c r="H3712" s="131"/>
      <c r="I3712" s="132"/>
      <c r="J3712" s="133"/>
      <c r="K3712" s="134"/>
      <c r="L3712" s="18">
        <f>J3703+J3704+J3705+J3706+J3707+J3708+J3709+J3710+J3711</f>
        <v>0</v>
      </c>
    </row>
    <row r="3713" spans="1:12" ht="15.75" thickBot="1" x14ac:dyDescent="0.3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</row>
    <row r="3714" spans="1:12" ht="15.75" thickBot="1" x14ac:dyDescent="0.3">
      <c r="A3714" s="19"/>
      <c r="B3714" s="20"/>
      <c r="C3714" s="20"/>
      <c r="D3714" s="20"/>
      <c r="E3714" s="21" t="s">
        <v>13</v>
      </c>
      <c r="F3714" s="5"/>
      <c r="G3714" s="19"/>
      <c r="H3714" s="20"/>
      <c r="I3714" s="20"/>
      <c r="J3714" s="20"/>
      <c r="K3714" s="21" t="s">
        <v>13</v>
      </c>
      <c r="L3714" s="5"/>
    </row>
    <row r="3715" spans="1:12" x14ac:dyDescent="0.25">
      <c r="A3715" s="22" t="s">
        <v>31</v>
      </c>
      <c r="B3715" s="115">
        <v>19091</v>
      </c>
      <c r="C3715" s="116"/>
      <c r="D3715" s="116"/>
      <c r="E3715" s="117"/>
      <c r="F3715" s="5"/>
      <c r="G3715" s="22" t="s">
        <v>32</v>
      </c>
      <c r="H3715" s="115">
        <v>43258</v>
      </c>
      <c r="I3715" s="116"/>
      <c r="J3715" s="116"/>
      <c r="K3715" s="117"/>
      <c r="L3715" s="5"/>
    </row>
    <row r="3716" spans="1:12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</row>
    <row r="3717" spans="1:12" x14ac:dyDescent="0.25">
      <c r="A3717" s="7" t="s">
        <v>16</v>
      </c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</row>
    <row r="3718" spans="1:12" x14ac:dyDescent="0.25">
      <c r="A3718" s="9" t="s">
        <v>17</v>
      </c>
      <c r="B3718" s="23">
        <f>L3695-C3690</f>
        <v>3537</v>
      </c>
      <c r="C3718" s="5"/>
      <c r="D3718" s="106" t="s">
        <v>18</v>
      </c>
      <c r="E3718" s="107"/>
      <c r="F3718" s="24" t="s">
        <v>19</v>
      </c>
      <c r="G3718" s="9" t="s">
        <v>20</v>
      </c>
      <c r="H3718" s="118">
        <f>B3715+H3715</f>
        <v>62349</v>
      </c>
      <c r="I3718" s="119"/>
      <c r="J3718" s="60"/>
      <c r="K3718" s="5"/>
      <c r="L3718" s="5"/>
    </row>
    <row r="3719" spans="1:12" x14ac:dyDescent="0.25">
      <c r="A3719" s="9" t="s">
        <v>41</v>
      </c>
      <c r="B3719" s="40">
        <f>B3718/D3711</f>
        <v>2.5479845204717626</v>
      </c>
      <c r="C3719" s="5"/>
      <c r="D3719" s="102">
        <f>E3711</f>
        <v>29441.599999999999</v>
      </c>
      <c r="E3719" s="103"/>
      <c r="F3719" s="25">
        <f>H3719/B3718</f>
        <v>9.2348883234379411</v>
      </c>
      <c r="G3719" s="9" t="s">
        <v>21</v>
      </c>
      <c r="H3719" s="104">
        <f>L3712+D3719+D3721+D3723+D3725+A3722</f>
        <v>32663.8</v>
      </c>
      <c r="I3719" s="105"/>
      <c r="J3719" s="5"/>
      <c r="K3719" s="5"/>
      <c r="L3719" s="5"/>
    </row>
    <row r="3720" spans="1:12" x14ac:dyDescent="0.25">
      <c r="A3720" s="9" t="s">
        <v>43</v>
      </c>
      <c r="B3720" s="23">
        <f>D3711/B3718*100</f>
        <v>39.246706248232968</v>
      </c>
      <c r="C3720" s="5"/>
      <c r="D3720" s="106" t="s">
        <v>33</v>
      </c>
      <c r="E3720" s="107"/>
      <c r="F3720" s="5"/>
      <c r="G3720" s="13" t="s">
        <v>22</v>
      </c>
      <c r="H3720" s="6"/>
      <c r="I3720" s="26">
        <f>H3718-H3719</f>
        <v>29685.200000000001</v>
      </c>
      <c r="J3720" s="5"/>
      <c r="K3720" s="5"/>
      <c r="L3720" s="5"/>
    </row>
    <row r="3721" spans="1:12" x14ac:dyDescent="0.25">
      <c r="A3721" s="106" t="s">
        <v>40</v>
      </c>
      <c r="B3721" s="107"/>
      <c r="C3721" s="5"/>
      <c r="D3721" s="149">
        <v>1100</v>
      </c>
      <c r="E3721" s="150"/>
      <c r="F3721" s="5"/>
      <c r="G3721" s="5"/>
      <c r="H3721" s="5"/>
      <c r="I3721" s="5"/>
      <c r="J3721" s="5"/>
      <c r="K3721" s="5"/>
      <c r="L3721" s="5"/>
    </row>
    <row r="3722" spans="1:12" x14ac:dyDescent="0.25">
      <c r="A3722" s="108">
        <f>B3718*0.6</f>
        <v>2122.1999999999998</v>
      </c>
      <c r="B3722" s="109"/>
      <c r="C3722" s="5"/>
      <c r="D3722" s="106" t="s">
        <v>34</v>
      </c>
      <c r="E3722" s="107"/>
      <c r="F3722" s="5"/>
      <c r="G3722" s="145" t="s">
        <v>292</v>
      </c>
      <c r="H3722" s="146"/>
      <c r="I3722" s="23">
        <f>B3718/2.3</f>
        <v>1537.8260869565217</v>
      </c>
      <c r="J3722" s="60"/>
      <c r="K3722" s="5"/>
      <c r="L3722" s="5"/>
    </row>
    <row r="3723" spans="1:12" x14ac:dyDescent="0.25">
      <c r="A3723" s="5" t="s">
        <v>548</v>
      </c>
      <c r="B3723" s="5"/>
      <c r="C3723" s="5"/>
      <c r="D3723" s="108">
        <v>0</v>
      </c>
      <c r="E3723" s="109"/>
      <c r="F3723" s="5"/>
      <c r="G3723" s="145" t="s">
        <v>294</v>
      </c>
      <c r="H3723" s="146"/>
      <c r="I3723" s="23">
        <f>I3722-D3711</f>
        <v>149.6700869565218</v>
      </c>
      <c r="J3723" s="5"/>
      <c r="K3723" s="5"/>
      <c r="L3723" s="5"/>
    </row>
    <row r="3724" spans="1:12" x14ac:dyDescent="0.25">
      <c r="A3724" s="5"/>
      <c r="B3724" s="5"/>
      <c r="C3724" s="5"/>
      <c r="D3724" s="106" t="s">
        <v>37</v>
      </c>
      <c r="E3724" s="107"/>
      <c r="F3724" s="5"/>
      <c r="G3724" s="147" t="s">
        <v>295</v>
      </c>
      <c r="H3724" s="148"/>
      <c r="I3724" s="86">
        <f>I3723*F3711</f>
        <v>3172.0076689030379</v>
      </c>
      <c r="J3724" s="87">
        <f>I3720-I3724</f>
        <v>26513.192331096961</v>
      </c>
      <c r="K3724" s="5"/>
      <c r="L3724" s="5"/>
    </row>
    <row r="3725" spans="1:12" x14ac:dyDescent="0.25">
      <c r="A3725" s="5"/>
      <c r="B3725" s="5"/>
      <c r="C3725" s="5"/>
      <c r="D3725" s="108">
        <v>0</v>
      </c>
      <c r="E3725" s="109"/>
      <c r="F3725" s="5" t="s">
        <v>78</v>
      </c>
      <c r="G3725" s="5"/>
      <c r="H3725" s="5"/>
      <c r="I3725" s="5"/>
      <c r="J3725" s="88" t="s">
        <v>293</v>
      </c>
      <c r="K3725" s="44"/>
      <c r="L3725" s="5"/>
    </row>
    <row r="3727" spans="1:12" s="49" customFormat="1" x14ac:dyDescent="0.25"/>
    <row r="3730" spans="1:12" x14ac:dyDescent="0.25">
      <c r="A3730" s="120" t="s">
        <v>24</v>
      </c>
      <c r="B3730" s="120"/>
      <c r="C3730" s="120"/>
      <c r="D3730" s="120"/>
      <c r="E3730" s="120"/>
      <c r="F3730" s="120"/>
      <c r="G3730" s="120"/>
      <c r="H3730" s="120"/>
      <c r="I3730" s="120"/>
      <c r="J3730" s="120"/>
      <c r="K3730" s="120"/>
      <c r="L3730" s="120"/>
    </row>
    <row r="3731" spans="1:12" x14ac:dyDescent="0.25">
      <c r="A3731" s="120"/>
      <c r="B3731" s="120"/>
      <c r="C3731" s="120"/>
      <c r="D3731" s="120"/>
      <c r="E3731" s="120"/>
      <c r="F3731" s="120"/>
      <c r="G3731" s="120"/>
      <c r="H3731" s="120"/>
      <c r="I3731" s="120"/>
      <c r="J3731" s="120"/>
      <c r="K3731" s="120"/>
      <c r="L3731" s="120"/>
    </row>
    <row r="3732" spans="1:12" x14ac:dyDescent="0.25">
      <c r="A3732" s="1" t="s">
        <v>4</v>
      </c>
      <c r="B3732" s="2"/>
      <c r="C3732" s="90"/>
      <c r="D3732" s="2"/>
      <c r="E3732" s="2"/>
      <c r="F3732" s="2"/>
      <c r="G3732" s="3" t="s">
        <v>5</v>
      </c>
      <c r="H3732" s="3" t="s">
        <v>6</v>
      </c>
      <c r="I3732" s="4" t="s">
        <v>7</v>
      </c>
      <c r="J3732" s="5"/>
      <c r="K3732" s="5"/>
      <c r="L3732" s="5"/>
    </row>
    <row r="3733" spans="1:12" x14ac:dyDescent="0.25">
      <c r="A3733" s="91" t="s">
        <v>549</v>
      </c>
      <c r="B3733" s="92" t="s">
        <v>42</v>
      </c>
      <c r="C3733" s="64"/>
      <c r="D3733" s="66"/>
      <c r="E3733" s="2"/>
      <c r="F3733" s="2"/>
      <c r="G3733" s="91" t="s">
        <v>299</v>
      </c>
      <c r="H3733" s="66"/>
      <c r="I3733" s="33"/>
      <c r="J3733" s="6"/>
      <c r="K3733" s="33"/>
      <c r="L3733" s="6"/>
    </row>
    <row r="3734" spans="1:12" x14ac:dyDescent="0.25">
      <c r="A3734" s="7" t="s">
        <v>2</v>
      </c>
      <c r="B3734" s="5"/>
      <c r="C3734" s="5"/>
      <c r="D3734" s="5"/>
      <c r="E3734" s="5"/>
      <c r="F3734" s="5"/>
      <c r="G3734" s="8" t="s">
        <v>8</v>
      </c>
      <c r="H3734" s="93">
        <v>3</v>
      </c>
      <c r="I3734" s="5"/>
      <c r="J3734" s="5"/>
      <c r="K3734" s="5"/>
      <c r="L3734" s="5"/>
    </row>
    <row r="3735" spans="1:12" x14ac:dyDescent="0.25">
      <c r="A3735" s="7" t="s">
        <v>25</v>
      </c>
      <c r="B3735" s="5"/>
      <c r="C3735" s="7" t="s">
        <v>0</v>
      </c>
      <c r="D3735" s="5"/>
      <c r="E3735" s="5"/>
      <c r="F3735" s="5"/>
      <c r="G3735" s="7" t="s">
        <v>25</v>
      </c>
      <c r="H3735" s="5"/>
      <c r="I3735" s="7" t="s">
        <v>0</v>
      </c>
      <c r="J3735" s="5"/>
      <c r="K3735" s="5"/>
      <c r="L3735" s="5"/>
    </row>
    <row r="3736" spans="1:12" x14ac:dyDescent="0.25">
      <c r="A3736" s="42">
        <v>45667</v>
      </c>
      <c r="B3736" s="6"/>
      <c r="C3736" s="31">
        <f>L3695</f>
        <v>1056107</v>
      </c>
      <c r="D3736" s="5"/>
      <c r="E3736" s="5"/>
      <c r="F3736" s="5"/>
      <c r="G3736" s="42"/>
      <c r="H3736" s="6"/>
      <c r="I3736" s="9"/>
      <c r="J3736" s="5"/>
      <c r="K3736" s="5"/>
      <c r="L3736" s="5"/>
    </row>
    <row r="3737" spans="1:12" ht="16.5" thickBot="1" x14ac:dyDescent="0.3">
      <c r="A3737" s="7"/>
      <c r="B3737" s="62"/>
      <c r="C3737" s="62"/>
      <c r="D3737" s="62"/>
      <c r="E3737" s="5"/>
      <c r="F3737" s="5"/>
      <c r="G3737" s="10"/>
      <c r="H3737" s="5"/>
      <c r="I3737" s="5"/>
      <c r="J3737" s="5"/>
      <c r="K3737" s="5"/>
      <c r="L3737" s="5"/>
    </row>
    <row r="3738" spans="1:12" ht="15.75" thickBot="1" x14ac:dyDescent="0.3">
      <c r="A3738" s="121" t="s">
        <v>9</v>
      </c>
      <c r="B3738" s="122"/>
      <c r="C3738" s="123"/>
      <c r="D3738" s="5"/>
      <c r="E3738" s="5"/>
      <c r="F3738" s="5"/>
      <c r="G3738" s="121" t="s">
        <v>26</v>
      </c>
      <c r="H3738" s="122"/>
      <c r="I3738" s="123"/>
      <c r="J3738" s="5"/>
      <c r="K3738" s="5"/>
      <c r="L3738" s="5"/>
    </row>
    <row r="3739" spans="1:12" x14ac:dyDescent="0.25">
      <c r="A3739" s="30" t="s">
        <v>38</v>
      </c>
      <c r="B3739" s="11"/>
      <c r="C3739" s="11"/>
      <c r="D3739" s="11"/>
      <c r="E3739" s="6"/>
      <c r="F3739" s="5"/>
      <c r="G3739" s="30" t="str">
        <f>A3742</f>
        <v>CAPE TOWN</v>
      </c>
      <c r="H3739" s="11"/>
      <c r="I3739" s="11"/>
      <c r="J3739" s="11"/>
      <c r="K3739" s="11"/>
      <c r="L3739" s="6"/>
    </row>
    <row r="3740" spans="1:12" ht="15.75" thickBot="1" x14ac:dyDescent="0.3">
      <c r="A3740" s="7"/>
      <c r="B3740" s="7"/>
      <c r="C3740" s="7"/>
      <c r="D3740" s="5"/>
      <c r="E3740" s="5"/>
      <c r="F3740" s="5"/>
      <c r="G3740" s="7"/>
      <c r="H3740" s="7"/>
      <c r="I3740" s="7"/>
      <c r="J3740" s="5"/>
      <c r="K3740" s="5"/>
      <c r="L3740" s="5"/>
    </row>
    <row r="3741" spans="1:12" ht="15.75" thickBot="1" x14ac:dyDescent="0.3">
      <c r="A3741" s="121"/>
      <c r="B3741" s="122"/>
      <c r="C3741" s="124"/>
      <c r="D3741" s="12" t="s">
        <v>1</v>
      </c>
      <c r="E3741" s="32"/>
      <c r="F3741" s="5"/>
      <c r="G3741" s="121" t="s">
        <v>27</v>
      </c>
      <c r="H3741" s="122"/>
      <c r="I3741" s="123"/>
      <c r="J3741" s="5"/>
      <c r="K3741" s="12" t="s">
        <v>1</v>
      </c>
      <c r="L3741" s="32">
        <v>1058626</v>
      </c>
    </row>
    <row r="3742" spans="1:12" x14ac:dyDescent="0.25">
      <c r="A3742" s="30" t="s">
        <v>399</v>
      </c>
      <c r="B3742" s="11"/>
      <c r="C3742" s="11"/>
      <c r="D3742" s="11"/>
      <c r="E3742" s="6"/>
      <c r="F3742" s="5"/>
      <c r="G3742" s="30" t="s">
        <v>364</v>
      </c>
      <c r="H3742" s="11"/>
      <c r="I3742" s="11"/>
      <c r="J3742" s="11"/>
      <c r="K3742" s="11"/>
      <c r="L3742" s="6"/>
    </row>
    <row r="3743" spans="1:12" x14ac:dyDescent="0.25">
      <c r="A3743" s="76"/>
      <c r="B3743" s="11"/>
      <c r="C3743" s="11"/>
      <c r="D3743" s="11"/>
      <c r="E3743" s="6"/>
      <c r="F3743" s="5"/>
      <c r="G3743" s="34"/>
      <c r="H3743" s="11"/>
      <c r="I3743" s="11"/>
      <c r="J3743" s="11"/>
      <c r="K3743" s="11"/>
      <c r="L3743" s="6"/>
    </row>
    <row r="3744" spans="1:12" x14ac:dyDescent="0.25">
      <c r="A3744" s="13"/>
      <c r="B3744" s="11"/>
      <c r="C3744" s="11"/>
      <c r="D3744" s="11"/>
      <c r="E3744" s="6"/>
      <c r="F3744" s="5"/>
      <c r="G3744" s="13"/>
      <c r="H3744" s="11"/>
      <c r="I3744" s="11"/>
      <c r="J3744" s="11"/>
      <c r="K3744" s="11"/>
      <c r="L3744" s="6"/>
    </row>
    <row r="3745" spans="1:12" x14ac:dyDescent="0.25">
      <c r="A3745" s="13"/>
      <c r="B3745" s="11"/>
      <c r="C3745" s="11"/>
      <c r="D3745" s="11"/>
      <c r="E3745" s="6"/>
      <c r="F3745" s="5"/>
      <c r="G3745" s="13"/>
      <c r="H3745" s="11"/>
      <c r="I3745" s="11"/>
      <c r="J3745" s="11"/>
      <c r="K3745" s="11"/>
      <c r="L3745" s="6"/>
    </row>
    <row r="3746" spans="1:12" ht="15.75" thickBot="1" x14ac:dyDescent="0.3">
      <c r="A3746" s="13"/>
      <c r="B3746" s="11"/>
      <c r="C3746" s="11" t="s">
        <v>29</v>
      </c>
      <c r="D3746" s="43"/>
      <c r="E3746" s="6"/>
      <c r="F3746" s="5"/>
      <c r="G3746" s="13"/>
      <c r="H3746" s="11"/>
      <c r="I3746" s="14" t="s">
        <v>28</v>
      </c>
      <c r="J3746" s="43"/>
      <c r="K3746" s="59"/>
      <c r="L3746" s="6"/>
    </row>
    <row r="3747" spans="1:12" ht="15.75" thickBot="1" x14ac:dyDescent="0.3">
      <c r="A3747" s="15" t="s">
        <v>10</v>
      </c>
      <c r="B3747" s="5"/>
      <c r="C3747" s="5"/>
      <c r="D3747" s="5"/>
      <c r="E3747" s="5"/>
      <c r="F3747" s="5"/>
      <c r="G3747" s="15" t="s">
        <v>14</v>
      </c>
      <c r="H3747" s="5"/>
      <c r="I3747" s="5"/>
      <c r="J3747" s="5"/>
      <c r="K3747" s="5"/>
      <c r="L3747" s="5"/>
    </row>
    <row r="3748" spans="1:12" ht="15.75" thickBot="1" x14ac:dyDescent="0.3">
      <c r="A3748" s="121" t="s">
        <v>11</v>
      </c>
      <c r="B3748" s="122"/>
      <c r="C3748" s="123"/>
      <c r="D3748" s="16" t="s">
        <v>12</v>
      </c>
      <c r="E3748" s="16" t="s">
        <v>13</v>
      </c>
      <c r="F3748" s="5"/>
      <c r="G3748" s="121" t="s">
        <v>15</v>
      </c>
      <c r="H3748" s="122"/>
      <c r="I3748" s="123"/>
      <c r="J3748" s="121"/>
      <c r="K3748" s="123"/>
      <c r="L3748" s="5"/>
    </row>
    <row r="3749" spans="1:12" x14ac:dyDescent="0.25">
      <c r="A3749" s="94">
        <v>45698</v>
      </c>
      <c r="B3749" s="46" t="s">
        <v>305</v>
      </c>
      <c r="C3749" s="47"/>
      <c r="D3749" s="56">
        <f>225.712+252.471</f>
        <v>478.18299999999999</v>
      </c>
      <c r="E3749" s="57">
        <v>10151.9</v>
      </c>
      <c r="F3749" s="44">
        <f>E3749/D3749</f>
        <v>21.230156655506363</v>
      </c>
      <c r="G3749" s="125" t="s">
        <v>69</v>
      </c>
      <c r="H3749" s="126"/>
      <c r="I3749" s="127"/>
      <c r="J3749" s="128"/>
      <c r="K3749" s="129"/>
      <c r="L3749" s="5"/>
    </row>
    <row r="3750" spans="1:12" x14ac:dyDescent="0.25">
      <c r="A3750" s="94">
        <v>45757</v>
      </c>
      <c r="B3750" s="46" t="s">
        <v>305</v>
      </c>
      <c r="C3750" s="47"/>
      <c r="D3750" s="56">
        <v>664.25300000000004</v>
      </c>
      <c r="E3750" s="57">
        <v>14102.1</v>
      </c>
      <c r="F3750" s="44">
        <f t="shared" ref="F3750:F3751" si="8">E3750/D3750</f>
        <v>21.230013263018758</v>
      </c>
      <c r="G3750" s="110" t="s">
        <v>59</v>
      </c>
      <c r="H3750" s="111"/>
      <c r="I3750" s="112"/>
      <c r="J3750" s="113"/>
      <c r="K3750" s="114"/>
      <c r="L3750" s="5"/>
    </row>
    <row r="3751" spans="1:12" x14ac:dyDescent="0.25">
      <c r="A3751" s="94">
        <v>45818</v>
      </c>
      <c r="B3751" s="46" t="s">
        <v>47</v>
      </c>
      <c r="C3751" s="47"/>
      <c r="D3751" s="56">
        <v>474.37</v>
      </c>
      <c r="E3751" s="57">
        <v>8624.0499999999993</v>
      </c>
      <c r="F3751" s="44">
        <f t="shared" si="8"/>
        <v>18.180007167400973</v>
      </c>
      <c r="G3751" s="110" t="s">
        <v>61</v>
      </c>
      <c r="H3751" s="111"/>
      <c r="I3751" s="112"/>
      <c r="J3751" s="113"/>
      <c r="K3751" s="114"/>
      <c r="L3751" s="5"/>
    </row>
    <row r="3752" spans="1:12" x14ac:dyDescent="0.25">
      <c r="A3752" s="94"/>
      <c r="B3752" s="46"/>
      <c r="C3752" s="47"/>
      <c r="D3752" s="56"/>
      <c r="E3752" s="57"/>
      <c r="F3752" s="44"/>
      <c r="G3752" s="110" t="s">
        <v>51</v>
      </c>
      <c r="H3752" s="111"/>
      <c r="I3752" s="112"/>
      <c r="J3752" s="113"/>
      <c r="K3752" s="114"/>
      <c r="L3752" s="5"/>
    </row>
    <row r="3753" spans="1:12" x14ac:dyDescent="0.25">
      <c r="A3753" s="48"/>
      <c r="B3753" s="46"/>
      <c r="C3753" s="39"/>
      <c r="D3753" s="52"/>
      <c r="E3753" s="53"/>
      <c r="F3753" s="44"/>
      <c r="G3753" s="110" t="s">
        <v>58</v>
      </c>
      <c r="H3753" s="111"/>
      <c r="I3753" s="112"/>
      <c r="J3753" s="113"/>
      <c r="K3753" s="114"/>
      <c r="L3753" s="5"/>
    </row>
    <row r="3754" spans="1:12" x14ac:dyDescent="0.25">
      <c r="A3754" s="48"/>
      <c r="B3754" s="35"/>
      <c r="C3754" s="39"/>
      <c r="D3754" s="52"/>
      <c r="E3754" s="53"/>
      <c r="F3754" s="44"/>
      <c r="G3754" s="110" t="s">
        <v>51</v>
      </c>
      <c r="H3754" s="111"/>
      <c r="I3754" s="112"/>
      <c r="J3754" s="113"/>
      <c r="K3754" s="114"/>
      <c r="L3754" s="5"/>
    </row>
    <row r="3755" spans="1:12" x14ac:dyDescent="0.25">
      <c r="A3755" s="48"/>
      <c r="B3755" s="35"/>
      <c r="C3755" s="39"/>
      <c r="D3755" s="52"/>
      <c r="E3755" s="53"/>
      <c r="F3755" s="44"/>
      <c r="G3755" s="77"/>
      <c r="H3755" s="78" t="s">
        <v>69</v>
      </c>
      <c r="I3755" s="79"/>
      <c r="J3755" s="113"/>
      <c r="K3755" s="114"/>
      <c r="L3755" s="5"/>
    </row>
    <row r="3756" spans="1:12" x14ac:dyDescent="0.25">
      <c r="A3756" s="38"/>
      <c r="B3756" s="35"/>
      <c r="C3756" s="39"/>
      <c r="D3756" s="52"/>
      <c r="E3756" s="53"/>
      <c r="F3756" s="44"/>
      <c r="G3756" s="77"/>
      <c r="H3756" s="78" t="s">
        <v>72</v>
      </c>
      <c r="I3756" s="79"/>
      <c r="J3756" s="113"/>
      <c r="K3756" s="114"/>
      <c r="L3756" s="5"/>
    </row>
    <row r="3757" spans="1:12" ht="15.75" thickBot="1" x14ac:dyDescent="0.3">
      <c r="A3757" s="5"/>
      <c r="B3757" s="5"/>
      <c r="C3757" s="7" t="s">
        <v>35</v>
      </c>
      <c r="D3757" s="17">
        <f>SUM(D3749:D3756)</f>
        <v>1616.806</v>
      </c>
      <c r="E3757" s="17">
        <f>SUM(E3749:E3756)</f>
        <v>32878.050000000003</v>
      </c>
      <c r="F3757" s="89">
        <f>AVERAGE(F3749:F3753)</f>
        <v>20.213392361975366</v>
      </c>
      <c r="G3757" s="110" t="s">
        <v>73</v>
      </c>
      <c r="H3757" s="111"/>
      <c r="I3757" s="112"/>
      <c r="J3757" s="113"/>
      <c r="K3757" s="114"/>
      <c r="L3757" s="7" t="s">
        <v>36</v>
      </c>
    </row>
    <row r="3758" spans="1:12" ht="15.75" thickBot="1" x14ac:dyDescent="0.3">
      <c r="A3758" s="5"/>
      <c r="B3758" s="5"/>
      <c r="C3758" s="5"/>
      <c r="D3758" s="5"/>
      <c r="E3758" s="5"/>
      <c r="F3758" s="5"/>
      <c r="G3758" s="130"/>
      <c r="H3758" s="131"/>
      <c r="I3758" s="132"/>
      <c r="J3758" s="133"/>
      <c r="K3758" s="134"/>
      <c r="L3758" s="18">
        <f>J3749+J3750+J3751+J3752+J3753+J3754+J3755+J3756+J3757</f>
        <v>0</v>
      </c>
    </row>
    <row r="3759" spans="1:12" ht="15.75" thickBot="1" x14ac:dyDescent="0.3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</row>
    <row r="3760" spans="1:12" ht="15.75" thickBot="1" x14ac:dyDescent="0.3">
      <c r="A3760" s="19"/>
      <c r="B3760" s="20"/>
      <c r="C3760" s="20"/>
      <c r="D3760" s="20"/>
      <c r="E3760" s="21" t="s">
        <v>13</v>
      </c>
      <c r="F3760" s="5"/>
      <c r="G3760" s="19"/>
      <c r="H3760" s="20"/>
      <c r="I3760" s="20"/>
      <c r="J3760" s="20"/>
      <c r="K3760" s="21" t="s">
        <v>13</v>
      </c>
      <c r="L3760" s="5"/>
    </row>
    <row r="3761" spans="1:12" x14ac:dyDescent="0.25">
      <c r="A3761" s="22" t="s">
        <v>31</v>
      </c>
      <c r="B3761" s="115">
        <v>19091</v>
      </c>
      <c r="C3761" s="116"/>
      <c r="D3761" s="116"/>
      <c r="E3761" s="117"/>
      <c r="F3761" s="5"/>
      <c r="G3761" s="22" t="s">
        <v>32</v>
      </c>
      <c r="H3761" s="115">
        <v>43258</v>
      </c>
      <c r="I3761" s="116"/>
      <c r="J3761" s="116"/>
      <c r="K3761" s="117"/>
      <c r="L3761" s="5"/>
    </row>
    <row r="3762" spans="1:12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</row>
    <row r="3763" spans="1:12" x14ac:dyDescent="0.25">
      <c r="A3763" s="7" t="s">
        <v>16</v>
      </c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</row>
    <row r="3764" spans="1:12" x14ac:dyDescent="0.25">
      <c r="A3764" s="9" t="s">
        <v>17</v>
      </c>
      <c r="B3764" s="23">
        <f>L3741-C3736</f>
        <v>2519</v>
      </c>
      <c r="C3764" s="5"/>
      <c r="D3764" s="106" t="s">
        <v>18</v>
      </c>
      <c r="E3764" s="107"/>
      <c r="F3764" s="24" t="s">
        <v>19</v>
      </c>
      <c r="G3764" s="9" t="s">
        <v>20</v>
      </c>
      <c r="H3764" s="118">
        <f>B3761+H3761</f>
        <v>62349</v>
      </c>
      <c r="I3764" s="119"/>
      <c r="J3764" s="60"/>
      <c r="K3764" s="5"/>
      <c r="L3764" s="5"/>
    </row>
    <row r="3765" spans="1:12" x14ac:dyDescent="0.25">
      <c r="A3765" s="9" t="s">
        <v>41</v>
      </c>
      <c r="B3765" s="40">
        <f>B3764/D3757</f>
        <v>1.5580100519171749</v>
      </c>
      <c r="C3765" s="5"/>
      <c r="D3765" s="102">
        <f>E3757</f>
        <v>32878.050000000003</v>
      </c>
      <c r="E3765" s="103"/>
      <c r="F3765" s="25">
        <f>H3765/B3764</f>
        <v>14.088705835649069</v>
      </c>
      <c r="G3765" s="9" t="s">
        <v>21</v>
      </c>
      <c r="H3765" s="104">
        <f>L3758+D3765+D3767+D3769+D3771+A3768</f>
        <v>35489.450000000004</v>
      </c>
      <c r="I3765" s="105"/>
      <c r="J3765" s="5"/>
      <c r="K3765" s="5"/>
      <c r="L3765" s="5"/>
    </row>
    <row r="3766" spans="1:12" x14ac:dyDescent="0.25">
      <c r="A3766" s="9" t="s">
        <v>43</v>
      </c>
      <c r="B3766" s="23">
        <f>D3757/B3764*100</f>
        <v>64.184438269154427</v>
      </c>
      <c r="C3766" s="5"/>
      <c r="D3766" s="106" t="s">
        <v>33</v>
      </c>
      <c r="E3766" s="107"/>
      <c r="F3766" s="5"/>
      <c r="G3766" s="13" t="s">
        <v>22</v>
      </c>
      <c r="H3766" s="6"/>
      <c r="I3766" s="26">
        <f>H3764-H3765</f>
        <v>26859.549999999996</v>
      </c>
      <c r="J3766" s="5"/>
      <c r="K3766" s="5"/>
      <c r="L3766" s="5"/>
    </row>
    <row r="3767" spans="1:12" x14ac:dyDescent="0.25">
      <c r="A3767" s="106" t="s">
        <v>40</v>
      </c>
      <c r="B3767" s="107"/>
      <c r="C3767" s="5"/>
      <c r="D3767" s="149">
        <v>1100</v>
      </c>
      <c r="E3767" s="150"/>
      <c r="F3767" s="5"/>
      <c r="G3767" s="5"/>
      <c r="H3767" s="5"/>
      <c r="I3767" s="5"/>
      <c r="J3767" s="5"/>
      <c r="K3767" s="5"/>
      <c r="L3767" s="5"/>
    </row>
    <row r="3768" spans="1:12" x14ac:dyDescent="0.25">
      <c r="A3768" s="108">
        <f>B3764*0.6</f>
        <v>1511.3999999999999</v>
      </c>
      <c r="B3768" s="109"/>
      <c r="C3768" s="5"/>
      <c r="D3768" s="106" t="s">
        <v>34</v>
      </c>
      <c r="E3768" s="107"/>
      <c r="F3768" s="5"/>
      <c r="G3768" s="145" t="s">
        <v>292</v>
      </c>
      <c r="H3768" s="146"/>
      <c r="I3768" s="23">
        <f>B3764/2.3</f>
        <v>1095.217391304348</v>
      </c>
      <c r="J3768" s="60"/>
      <c r="K3768" s="5"/>
      <c r="L3768" s="5"/>
    </row>
    <row r="3769" spans="1:12" x14ac:dyDescent="0.25">
      <c r="A3769" s="5" t="s">
        <v>296</v>
      </c>
      <c r="B3769" s="5"/>
      <c r="C3769" s="5"/>
      <c r="D3769" s="108">
        <v>0</v>
      </c>
      <c r="E3769" s="109"/>
      <c r="F3769" s="5"/>
      <c r="G3769" s="145" t="s">
        <v>294</v>
      </c>
      <c r="H3769" s="146"/>
      <c r="I3769" s="23">
        <f>I3768-D3757</f>
        <v>-521.58860869565206</v>
      </c>
      <c r="J3769" s="5"/>
      <c r="K3769" s="5"/>
      <c r="L3769" s="5"/>
    </row>
    <row r="3770" spans="1:12" x14ac:dyDescent="0.25">
      <c r="A3770" s="5"/>
      <c r="B3770" s="5"/>
      <c r="C3770" s="5"/>
      <c r="D3770" s="106" t="s">
        <v>37</v>
      </c>
      <c r="E3770" s="107"/>
      <c r="F3770" s="5"/>
      <c r="G3770" s="147" t="s">
        <v>295</v>
      </c>
      <c r="H3770" s="148"/>
      <c r="I3770" s="86">
        <f>I3769*F3757</f>
        <v>-10543.075199102052</v>
      </c>
      <c r="J3770" s="87">
        <f>I3766-I3770</f>
        <v>37402.625199102047</v>
      </c>
      <c r="K3770" s="5"/>
      <c r="L3770" s="5"/>
    </row>
    <row r="3771" spans="1:12" x14ac:dyDescent="0.25">
      <c r="A3771" s="5"/>
      <c r="B3771" s="5"/>
      <c r="C3771" s="5"/>
      <c r="D3771" s="108">
        <v>0</v>
      </c>
      <c r="E3771" s="109"/>
      <c r="F3771" s="5" t="s">
        <v>78</v>
      </c>
      <c r="G3771" s="5"/>
      <c r="H3771" s="5"/>
      <c r="I3771" s="5"/>
      <c r="J3771" s="88" t="s">
        <v>293</v>
      </c>
      <c r="K3771" s="44"/>
      <c r="L3771" s="5"/>
    </row>
    <row r="3773" spans="1:12" s="49" customFormat="1" x14ac:dyDescent="0.25"/>
    <row r="3776" spans="1:12" x14ac:dyDescent="0.25">
      <c r="A3776" s="120" t="s">
        <v>24</v>
      </c>
      <c r="B3776" s="120"/>
      <c r="C3776" s="120"/>
      <c r="D3776" s="120"/>
      <c r="E3776" s="120"/>
      <c r="F3776" s="120"/>
      <c r="G3776" s="120"/>
      <c r="H3776" s="120"/>
      <c r="I3776" s="120"/>
      <c r="J3776" s="120"/>
      <c r="K3776" s="120"/>
      <c r="L3776" s="120"/>
    </row>
    <row r="3777" spans="1:12" x14ac:dyDescent="0.25">
      <c r="A3777" s="120"/>
      <c r="B3777" s="120"/>
      <c r="C3777" s="120"/>
      <c r="D3777" s="120"/>
      <c r="E3777" s="120"/>
      <c r="F3777" s="120"/>
      <c r="G3777" s="120"/>
      <c r="H3777" s="120"/>
      <c r="I3777" s="120"/>
      <c r="J3777" s="120"/>
      <c r="K3777" s="120"/>
      <c r="L3777" s="120"/>
    </row>
    <row r="3778" spans="1:12" x14ac:dyDescent="0.25">
      <c r="A3778" s="1" t="s">
        <v>4</v>
      </c>
      <c r="B3778" s="2"/>
      <c r="C3778" s="90"/>
      <c r="D3778" s="2"/>
      <c r="E3778" s="2"/>
      <c r="F3778" s="2"/>
      <c r="G3778" s="3" t="s">
        <v>5</v>
      </c>
      <c r="H3778" s="3" t="s">
        <v>6</v>
      </c>
      <c r="I3778" s="4" t="s">
        <v>7</v>
      </c>
      <c r="J3778" s="5"/>
      <c r="K3778" s="5"/>
      <c r="L3778" s="5"/>
    </row>
    <row r="3779" spans="1:12" x14ac:dyDescent="0.25">
      <c r="A3779" s="91" t="s">
        <v>549</v>
      </c>
      <c r="B3779" s="92" t="s">
        <v>42</v>
      </c>
      <c r="C3779" s="64"/>
      <c r="D3779" s="66"/>
      <c r="E3779" s="2"/>
      <c r="F3779" s="2"/>
      <c r="G3779" s="91" t="s">
        <v>299</v>
      </c>
      <c r="H3779" s="66"/>
      <c r="I3779" s="33"/>
      <c r="J3779" s="6"/>
      <c r="K3779" s="33"/>
      <c r="L3779" s="6"/>
    </row>
    <row r="3780" spans="1:12" x14ac:dyDescent="0.25">
      <c r="A3780" s="7" t="s">
        <v>2</v>
      </c>
      <c r="B3780" s="5"/>
      <c r="C3780" s="5"/>
      <c r="D3780" s="5"/>
      <c r="E3780" s="5"/>
      <c r="F3780" s="5"/>
      <c r="G3780" s="8" t="s">
        <v>8</v>
      </c>
      <c r="H3780" s="93">
        <v>3</v>
      </c>
      <c r="I3780" s="5"/>
      <c r="J3780" s="5"/>
      <c r="K3780" s="5"/>
      <c r="L3780" s="5"/>
    </row>
    <row r="3781" spans="1:12" x14ac:dyDescent="0.25">
      <c r="A3781" s="7" t="s">
        <v>25</v>
      </c>
      <c r="B3781" s="5"/>
      <c r="C3781" s="7" t="s">
        <v>0</v>
      </c>
      <c r="D3781" s="5"/>
      <c r="E3781" s="5"/>
      <c r="F3781" s="5"/>
      <c r="G3781" s="7" t="s">
        <v>25</v>
      </c>
      <c r="H3781" s="5"/>
      <c r="I3781" s="7" t="s">
        <v>0</v>
      </c>
      <c r="J3781" s="5"/>
      <c r="K3781" s="5"/>
      <c r="L3781" s="5"/>
    </row>
    <row r="3782" spans="1:12" x14ac:dyDescent="0.25">
      <c r="A3782" s="42">
        <v>45818</v>
      </c>
      <c r="B3782" s="6"/>
      <c r="C3782" s="31">
        <f>L3741</f>
        <v>1058626</v>
      </c>
      <c r="D3782" s="5"/>
      <c r="E3782" s="5"/>
      <c r="F3782" s="5"/>
      <c r="G3782" s="42"/>
      <c r="H3782" s="6"/>
      <c r="I3782" s="9"/>
      <c r="J3782" s="5"/>
      <c r="K3782" s="5"/>
      <c r="L3782" s="5"/>
    </row>
    <row r="3783" spans="1:12" ht="16.5" thickBot="1" x14ac:dyDescent="0.3">
      <c r="A3783" s="7"/>
      <c r="B3783" s="62"/>
      <c r="C3783" s="62"/>
      <c r="D3783" s="62"/>
      <c r="E3783" s="5"/>
      <c r="F3783" s="5"/>
      <c r="G3783" s="10"/>
      <c r="H3783" s="5"/>
      <c r="I3783" s="5"/>
      <c r="J3783" s="5"/>
      <c r="K3783" s="5"/>
      <c r="L3783" s="5"/>
    </row>
    <row r="3784" spans="1:12" ht="15.75" thickBot="1" x14ac:dyDescent="0.3">
      <c r="A3784" s="121" t="s">
        <v>9</v>
      </c>
      <c r="B3784" s="122"/>
      <c r="C3784" s="123"/>
      <c r="D3784" s="5"/>
      <c r="E3784" s="5"/>
      <c r="F3784" s="5"/>
      <c r="G3784" s="121" t="s">
        <v>26</v>
      </c>
      <c r="H3784" s="122"/>
      <c r="I3784" s="123"/>
      <c r="J3784" s="5"/>
      <c r="K3784" s="5"/>
      <c r="L3784" s="5"/>
    </row>
    <row r="3785" spans="1:12" x14ac:dyDescent="0.25">
      <c r="A3785" s="30" t="s">
        <v>38</v>
      </c>
      <c r="B3785" s="11"/>
      <c r="C3785" s="11"/>
      <c r="D3785" s="11"/>
      <c r="E3785" s="6"/>
      <c r="F3785" s="5"/>
      <c r="G3785" s="30" t="str">
        <f>A3788</f>
        <v>CAPE TOWN</v>
      </c>
      <c r="H3785" s="11"/>
      <c r="I3785" s="11"/>
      <c r="J3785" s="11"/>
      <c r="K3785" s="11"/>
      <c r="L3785" s="6"/>
    </row>
    <row r="3786" spans="1:12" ht="15.75" thickBot="1" x14ac:dyDescent="0.3">
      <c r="A3786" s="7"/>
      <c r="B3786" s="7"/>
      <c r="C3786" s="7"/>
      <c r="D3786" s="5"/>
      <c r="E3786" s="5"/>
      <c r="F3786" s="5"/>
      <c r="G3786" s="7"/>
      <c r="H3786" s="7"/>
      <c r="I3786" s="7"/>
      <c r="J3786" s="5"/>
      <c r="K3786" s="5"/>
      <c r="L3786" s="5"/>
    </row>
    <row r="3787" spans="1:12" ht="15.75" thickBot="1" x14ac:dyDescent="0.3">
      <c r="A3787" s="121"/>
      <c r="B3787" s="122"/>
      <c r="C3787" s="124"/>
      <c r="D3787" s="12" t="s">
        <v>1</v>
      </c>
      <c r="E3787" s="32"/>
      <c r="F3787" s="5"/>
      <c r="G3787" s="121" t="s">
        <v>27</v>
      </c>
      <c r="H3787" s="122"/>
      <c r="I3787" s="123"/>
      <c r="J3787" s="5"/>
      <c r="K3787" s="12" t="s">
        <v>1</v>
      </c>
      <c r="L3787" s="32">
        <v>1061663</v>
      </c>
    </row>
    <row r="3788" spans="1:12" x14ac:dyDescent="0.25">
      <c r="A3788" s="30" t="s">
        <v>399</v>
      </c>
      <c r="B3788" s="11"/>
      <c r="C3788" s="11"/>
      <c r="D3788" s="11"/>
      <c r="E3788" s="6"/>
      <c r="F3788" s="5"/>
      <c r="G3788" s="30" t="s">
        <v>364</v>
      </c>
      <c r="H3788" s="11"/>
      <c r="I3788" s="11"/>
      <c r="J3788" s="11"/>
      <c r="K3788" s="11"/>
      <c r="L3788" s="6"/>
    </row>
    <row r="3789" spans="1:12" x14ac:dyDescent="0.25">
      <c r="A3789" s="76"/>
      <c r="B3789" s="11"/>
      <c r="C3789" s="11"/>
      <c r="D3789" s="11"/>
      <c r="E3789" s="6"/>
      <c r="F3789" s="5"/>
      <c r="G3789" s="34"/>
      <c r="H3789" s="11"/>
      <c r="I3789" s="11"/>
      <c r="J3789" s="11"/>
      <c r="K3789" s="11"/>
      <c r="L3789" s="6"/>
    </row>
    <row r="3790" spans="1:12" x14ac:dyDescent="0.25">
      <c r="A3790" s="13"/>
      <c r="B3790" s="11"/>
      <c r="C3790" s="11"/>
      <c r="D3790" s="11"/>
      <c r="E3790" s="6"/>
      <c r="F3790" s="5"/>
      <c r="G3790" s="13"/>
      <c r="H3790" s="11"/>
      <c r="I3790" s="11"/>
      <c r="J3790" s="11"/>
      <c r="K3790" s="11"/>
      <c r="L3790" s="6"/>
    </row>
    <row r="3791" spans="1:12" x14ac:dyDescent="0.25">
      <c r="A3791" s="13"/>
      <c r="B3791" s="11"/>
      <c r="C3791" s="11"/>
      <c r="D3791" s="11"/>
      <c r="E3791" s="6"/>
      <c r="F3791" s="5"/>
      <c r="G3791" s="13"/>
      <c r="H3791" s="11"/>
      <c r="I3791" s="11"/>
      <c r="J3791" s="11"/>
      <c r="K3791" s="11"/>
      <c r="L3791" s="6"/>
    </row>
    <row r="3792" spans="1:12" ht="15.75" thickBot="1" x14ac:dyDescent="0.3">
      <c r="A3792" s="13"/>
      <c r="B3792" s="11"/>
      <c r="C3792" s="11" t="s">
        <v>29</v>
      </c>
      <c r="D3792" s="43"/>
      <c r="E3792" s="6"/>
      <c r="F3792" s="5"/>
      <c r="G3792" s="13"/>
      <c r="H3792" s="11"/>
      <c r="I3792" s="14" t="s">
        <v>28</v>
      </c>
      <c r="J3792" s="43"/>
      <c r="K3792" s="59"/>
      <c r="L3792" s="6"/>
    </row>
    <row r="3793" spans="1:12" ht="15.75" thickBot="1" x14ac:dyDescent="0.3">
      <c r="A3793" s="15" t="s">
        <v>10</v>
      </c>
      <c r="B3793" s="5"/>
      <c r="C3793" s="5"/>
      <c r="D3793" s="5"/>
      <c r="E3793" s="5"/>
      <c r="F3793" s="5"/>
      <c r="G3793" s="15" t="s">
        <v>14</v>
      </c>
      <c r="H3793" s="5"/>
      <c r="I3793" s="5"/>
      <c r="J3793" s="5"/>
      <c r="K3793" s="5"/>
      <c r="L3793" s="5"/>
    </row>
    <row r="3794" spans="1:12" ht="15.75" thickBot="1" x14ac:dyDescent="0.3">
      <c r="A3794" s="121" t="s">
        <v>11</v>
      </c>
      <c r="B3794" s="122"/>
      <c r="C3794" s="123"/>
      <c r="D3794" s="16" t="s">
        <v>12</v>
      </c>
      <c r="E3794" s="16" t="s">
        <v>13</v>
      </c>
      <c r="F3794" s="5"/>
      <c r="G3794" s="121" t="s">
        <v>15</v>
      </c>
      <c r="H3794" s="122"/>
      <c r="I3794" s="123"/>
      <c r="J3794" s="121"/>
      <c r="K3794" s="123"/>
      <c r="L3794" s="5"/>
    </row>
    <row r="3795" spans="1:12" x14ac:dyDescent="0.25">
      <c r="A3795" s="94">
        <v>45848</v>
      </c>
      <c r="B3795" s="46" t="s">
        <v>305</v>
      </c>
      <c r="C3795" s="47"/>
      <c r="D3795" s="56">
        <f>163.02+195.627</f>
        <v>358.64700000000005</v>
      </c>
      <c r="E3795" s="57">
        <v>7614.1</v>
      </c>
      <c r="F3795" s="44">
        <f>E3795/D3795</f>
        <v>21.230067447936271</v>
      </c>
      <c r="G3795" s="125" t="s">
        <v>69</v>
      </c>
      <c r="H3795" s="126"/>
      <c r="I3795" s="127"/>
      <c r="J3795" s="128"/>
      <c r="K3795" s="129"/>
      <c r="L3795" s="5"/>
    </row>
    <row r="3796" spans="1:12" x14ac:dyDescent="0.25">
      <c r="A3796" s="94">
        <v>45910</v>
      </c>
      <c r="B3796" s="46" t="s">
        <v>305</v>
      </c>
      <c r="C3796" s="47"/>
      <c r="D3796" s="56">
        <v>570.21699999999998</v>
      </c>
      <c r="E3796" s="57">
        <v>12105.7</v>
      </c>
      <c r="F3796" s="44">
        <f t="shared" ref="F3796:F3797" si="9">E3796/D3796</f>
        <v>21.229987881806402</v>
      </c>
      <c r="G3796" s="110" t="s">
        <v>59</v>
      </c>
      <c r="H3796" s="111"/>
      <c r="I3796" s="112"/>
      <c r="J3796" s="113"/>
      <c r="K3796" s="114"/>
      <c r="L3796" s="5"/>
    </row>
    <row r="3797" spans="1:12" x14ac:dyDescent="0.25">
      <c r="A3797" s="94">
        <v>46001</v>
      </c>
      <c r="B3797" s="46" t="s">
        <v>47</v>
      </c>
      <c r="C3797" s="47"/>
      <c r="D3797" s="56">
        <v>469.51</v>
      </c>
      <c r="E3797" s="57">
        <v>8535.69</v>
      </c>
      <c r="F3797" s="44">
        <f t="shared" si="9"/>
        <v>18.179996166215844</v>
      </c>
      <c r="G3797" s="110" t="s">
        <v>61</v>
      </c>
      <c r="H3797" s="111"/>
      <c r="I3797" s="112"/>
      <c r="J3797" s="113"/>
      <c r="K3797" s="114"/>
      <c r="L3797" s="5"/>
    </row>
    <row r="3798" spans="1:12" x14ac:dyDescent="0.25">
      <c r="A3798" s="94"/>
      <c r="B3798" s="46"/>
      <c r="C3798" s="47"/>
      <c r="D3798" s="56"/>
      <c r="E3798" s="57"/>
      <c r="F3798" s="44"/>
      <c r="G3798" s="110" t="s">
        <v>51</v>
      </c>
      <c r="H3798" s="111"/>
      <c r="I3798" s="112"/>
      <c r="J3798" s="113"/>
      <c r="K3798" s="114"/>
      <c r="L3798" s="5"/>
    </row>
    <row r="3799" spans="1:12" x14ac:dyDescent="0.25">
      <c r="A3799" s="48"/>
      <c r="B3799" s="46"/>
      <c r="C3799" s="39"/>
      <c r="D3799" s="52"/>
      <c r="E3799" s="53"/>
      <c r="F3799" s="44"/>
      <c r="G3799" s="110" t="s">
        <v>58</v>
      </c>
      <c r="H3799" s="111"/>
      <c r="I3799" s="112"/>
      <c r="J3799" s="113"/>
      <c r="K3799" s="114"/>
      <c r="L3799" s="5"/>
    </row>
    <row r="3800" spans="1:12" x14ac:dyDescent="0.25">
      <c r="A3800" s="48"/>
      <c r="B3800" s="35"/>
      <c r="C3800" s="39"/>
      <c r="D3800" s="52"/>
      <c r="E3800" s="53"/>
      <c r="F3800" s="44"/>
      <c r="G3800" s="110" t="s">
        <v>51</v>
      </c>
      <c r="H3800" s="111"/>
      <c r="I3800" s="112"/>
      <c r="J3800" s="113"/>
      <c r="K3800" s="114"/>
      <c r="L3800" s="5"/>
    </row>
    <row r="3801" spans="1:12" x14ac:dyDescent="0.25">
      <c r="A3801" s="48"/>
      <c r="B3801" s="35"/>
      <c r="C3801" s="39"/>
      <c r="D3801" s="52"/>
      <c r="E3801" s="53"/>
      <c r="F3801" s="44"/>
      <c r="G3801" s="77"/>
      <c r="H3801" s="78" t="s">
        <v>69</v>
      </c>
      <c r="I3801" s="79"/>
      <c r="J3801" s="113"/>
      <c r="K3801" s="114"/>
      <c r="L3801" s="5"/>
    </row>
    <row r="3802" spans="1:12" x14ac:dyDescent="0.25">
      <c r="A3802" s="38"/>
      <c r="B3802" s="35"/>
      <c r="C3802" s="39"/>
      <c r="D3802" s="52"/>
      <c r="E3802" s="53"/>
      <c r="F3802" s="44"/>
      <c r="G3802" s="77"/>
      <c r="H3802" s="78" t="s">
        <v>72</v>
      </c>
      <c r="I3802" s="79"/>
      <c r="J3802" s="113"/>
      <c r="K3802" s="114"/>
      <c r="L3802" s="5"/>
    </row>
    <row r="3803" spans="1:12" ht="15.75" thickBot="1" x14ac:dyDescent="0.3">
      <c r="A3803" s="5"/>
      <c r="B3803" s="5"/>
      <c r="C3803" s="7" t="s">
        <v>35</v>
      </c>
      <c r="D3803" s="17">
        <f>SUM(D3795:D3802)</f>
        <v>1398.374</v>
      </c>
      <c r="E3803" s="17">
        <f>SUM(E3795:E3802)</f>
        <v>28255.490000000005</v>
      </c>
      <c r="F3803" s="89">
        <f>AVERAGE(F3795:F3799)</f>
        <v>20.21335049865284</v>
      </c>
      <c r="G3803" s="110" t="s">
        <v>73</v>
      </c>
      <c r="H3803" s="111"/>
      <c r="I3803" s="112"/>
      <c r="J3803" s="113"/>
      <c r="K3803" s="114"/>
      <c r="L3803" s="7" t="s">
        <v>36</v>
      </c>
    </row>
    <row r="3804" spans="1:12" ht="15.75" thickBot="1" x14ac:dyDescent="0.3">
      <c r="A3804" s="5"/>
      <c r="B3804" s="5"/>
      <c r="C3804" s="5"/>
      <c r="D3804" s="5"/>
      <c r="E3804" s="5"/>
      <c r="F3804" s="5"/>
      <c r="G3804" s="130"/>
      <c r="H3804" s="131"/>
      <c r="I3804" s="132"/>
      <c r="J3804" s="133"/>
      <c r="K3804" s="134"/>
      <c r="L3804" s="18">
        <f>J3795+J3796+J3797+J3798+J3799+J3800+J3801+J3802+J3803</f>
        <v>0</v>
      </c>
    </row>
    <row r="3805" spans="1:12" ht="15.75" thickBot="1" x14ac:dyDescent="0.3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</row>
    <row r="3806" spans="1:12" ht="15.75" thickBot="1" x14ac:dyDescent="0.3">
      <c r="A3806" s="19"/>
      <c r="B3806" s="20"/>
      <c r="C3806" s="20"/>
      <c r="D3806" s="20"/>
      <c r="E3806" s="21" t="s">
        <v>13</v>
      </c>
      <c r="F3806" s="5"/>
      <c r="G3806" s="19"/>
      <c r="H3806" s="20"/>
      <c r="I3806" s="20"/>
      <c r="J3806" s="20"/>
      <c r="K3806" s="21" t="s">
        <v>13</v>
      </c>
      <c r="L3806" s="5"/>
    </row>
    <row r="3807" spans="1:12" x14ac:dyDescent="0.25">
      <c r="A3807" s="22" t="s">
        <v>31</v>
      </c>
      <c r="B3807" s="115">
        <v>19091</v>
      </c>
      <c r="C3807" s="116"/>
      <c r="D3807" s="116"/>
      <c r="E3807" s="117"/>
      <c r="F3807" s="5"/>
      <c r="G3807" s="22" t="s">
        <v>32</v>
      </c>
      <c r="H3807" s="115">
        <v>43258</v>
      </c>
      <c r="I3807" s="116"/>
      <c r="J3807" s="116"/>
      <c r="K3807" s="117"/>
      <c r="L3807" s="5"/>
    </row>
    <row r="3808" spans="1:12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</row>
    <row r="3809" spans="1:12" x14ac:dyDescent="0.25">
      <c r="A3809" s="7" t="s">
        <v>16</v>
      </c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</row>
    <row r="3810" spans="1:12" x14ac:dyDescent="0.25">
      <c r="A3810" s="9" t="s">
        <v>17</v>
      </c>
      <c r="B3810" s="23">
        <f>L3787-C3782</f>
        <v>3037</v>
      </c>
      <c r="C3810" s="5"/>
      <c r="D3810" s="106" t="s">
        <v>18</v>
      </c>
      <c r="E3810" s="107"/>
      <c r="F3810" s="24" t="s">
        <v>19</v>
      </c>
      <c r="G3810" s="9" t="s">
        <v>20</v>
      </c>
      <c r="H3810" s="118">
        <f>B3807+H3807</f>
        <v>62349</v>
      </c>
      <c r="I3810" s="119"/>
      <c r="J3810" s="60"/>
      <c r="K3810" s="5"/>
      <c r="L3810" s="5"/>
    </row>
    <row r="3811" spans="1:12" x14ac:dyDescent="0.25">
      <c r="A3811" s="9" t="s">
        <v>41</v>
      </c>
      <c r="B3811" s="40">
        <f>B3810/D3803</f>
        <v>2.1718081142813008</v>
      </c>
      <c r="C3811" s="5"/>
      <c r="D3811" s="102">
        <f>E3803</f>
        <v>28255.490000000005</v>
      </c>
      <c r="E3811" s="103"/>
      <c r="F3811" s="25">
        <f>H3811/B3810</f>
        <v>10.265949950609155</v>
      </c>
      <c r="G3811" s="9" t="s">
        <v>21</v>
      </c>
      <c r="H3811" s="104">
        <f>L3804+D3811+D3813+D3815+D3817+A3814</f>
        <v>31177.690000000006</v>
      </c>
      <c r="I3811" s="105"/>
      <c r="J3811" s="5"/>
      <c r="K3811" s="5"/>
      <c r="L3811" s="5"/>
    </row>
    <row r="3812" spans="1:12" x14ac:dyDescent="0.25">
      <c r="A3812" s="9" t="s">
        <v>43</v>
      </c>
      <c r="B3812" s="23">
        <f>D3803/B3810*100</f>
        <v>46.044583470530128</v>
      </c>
      <c r="C3812" s="5"/>
      <c r="D3812" s="106" t="s">
        <v>33</v>
      </c>
      <c r="E3812" s="107"/>
      <c r="F3812" s="5"/>
      <c r="G3812" s="13" t="s">
        <v>22</v>
      </c>
      <c r="H3812" s="6"/>
      <c r="I3812" s="26">
        <f>H3810-H3811</f>
        <v>31171.309999999994</v>
      </c>
      <c r="J3812" s="5"/>
      <c r="K3812" s="5"/>
      <c r="L3812" s="5"/>
    </row>
    <row r="3813" spans="1:12" x14ac:dyDescent="0.25">
      <c r="A3813" s="106" t="s">
        <v>40</v>
      </c>
      <c r="B3813" s="107"/>
      <c r="C3813" s="5"/>
      <c r="D3813" s="149">
        <v>1100</v>
      </c>
      <c r="E3813" s="150"/>
      <c r="F3813" s="5"/>
      <c r="G3813" s="5"/>
      <c r="H3813" s="5"/>
      <c r="I3813" s="5"/>
      <c r="J3813" s="5"/>
      <c r="K3813" s="5"/>
      <c r="L3813" s="5"/>
    </row>
    <row r="3814" spans="1:12" x14ac:dyDescent="0.25">
      <c r="A3814" s="108">
        <f>B3810*0.6</f>
        <v>1822.2</v>
      </c>
      <c r="B3814" s="109"/>
      <c r="C3814" s="5"/>
      <c r="D3814" s="106" t="s">
        <v>34</v>
      </c>
      <c r="E3814" s="107"/>
      <c r="F3814" s="5"/>
      <c r="G3814" s="145" t="s">
        <v>292</v>
      </c>
      <c r="H3814" s="146"/>
      <c r="I3814" s="23">
        <f>B3810/2.3</f>
        <v>1320.4347826086957</v>
      </c>
      <c r="J3814" s="60"/>
      <c r="K3814" s="5"/>
      <c r="L3814" s="5"/>
    </row>
    <row r="3815" spans="1:12" x14ac:dyDescent="0.25">
      <c r="A3815" s="5"/>
      <c r="B3815" s="5"/>
      <c r="C3815" s="5"/>
      <c r="D3815" s="108">
        <v>0</v>
      </c>
      <c r="E3815" s="109"/>
      <c r="F3815" s="5"/>
      <c r="G3815" s="145" t="s">
        <v>294</v>
      </c>
      <c r="H3815" s="146"/>
      <c r="I3815" s="23">
        <f>I3814-D3803</f>
        <v>-77.939217391304283</v>
      </c>
      <c r="J3815" s="5"/>
      <c r="K3815" s="5"/>
      <c r="L3815" s="5"/>
    </row>
    <row r="3816" spans="1:12" x14ac:dyDescent="0.25">
      <c r="A3816" s="5"/>
      <c r="B3816" s="5"/>
      <c r="C3816" s="5"/>
      <c r="D3816" s="106" t="s">
        <v>37</v>
      </c>
      <c r="E3816" s="107"/>
      <c r="F3816" s="5"/>
      <c r="G3816" s="147" t="s">
        <v>295</v>
      </c>
      <c r="H3816" s="148"/>
      <c r="I3816" s="86">
        <f>I3815*F3803</f>
        <v>-1575.4127187211325</v>
      </c>
      <c r="J3816" s="87">
        <f>I3812-I3816</f>
        <v>32746.722718721125</v>
      </c>
      <c r="K3816" s="5"/>
      <c r="L3816" s="5"/>
    </row>
    <row r="3817" spans="1:12" x14ac:dyDescent="0.25">
      <c r="A3817" s="5"/>
      <c r="B3817" s="5"/>
      <c r="C3817" s="5"/>
      <c r="D3817" s="108">
        <v>0</v>
      </c>
      <c r="E3817" s="109"/>
      <c r="F3817" s="5" t="s">
        <v>78</v>
      </c>
      <c r="G3817" s="5"/>
      <c r="H3817" s="5"/>
      <c r="I3817" s="5"/>
      <c r="J3817" s="88" t="s">
        <v>293</v>
      </c>
      <c r="K3817" s="44"/>
      <c r="L3817" s="5"/>
    </row>
    <row r="3819" spans="1:12" s="49" customFormat="1" x14ac:dyDescent="0.25"/>
    <row r="3822" spans="1:12" x14ac:dyDescent="0.25">
      <c r="A3822" s="120" t="s">
        <v>24</v>
      </c>
      <c r="B3822" s="120"/>
      <c r="C3822" s="120"/>
      <c r="D3822" s="120"/>
      <c r="E3822" s="120"/>
      <c r="F3822" s="120"/>
      <c r="G3822" s="120"/>
      <c r="H3822" s="120"/>
      <c r="I3822" s="120"/>
      <c r="J3822" s="120"/>
      <c r="K3822" s="120"/>
      <c r="L3822" s="120"/>
    </row>
    <row r="3823" spans="1:12" x14ac:dyDescent="0.25">
      <c r="A3823" s="120"/>
      <c r="B3823" s="120"/>
      <c r="C3823" s="120"/>
      <c r="D3823" s="120"/>
      <c r="E3823" s="120"/>
      <c r="F3823" s="120"/>
      <c r="G3823" s="120"/>
      <c r="H3823" s="120"/>
      <c r="I3823" s="120"/>
      <c r="J3823" s="120"/>
      <c r="K3823" s="120"/>
      <c r="L3823" s="120"/>
    </row>
    <row r="3824" spans="1:12" x14ac:dyDescent="0.25">
      <c r="A3824" s="1" t="s">
        <v>4</v>
      </c>
      <c r="B3824" s="2"/>
      <c r="C3824" s="90"/>
      <c r="D3824" s="2"/>
      <c r="E3824" s="2"/>
      <c r="F3824" s="2"/>
      <c r="G3824" s="3" t="s">
        <v>5</v>
      </c>
      <c r="H3824" s="3" t="s">
        <v>6</v>
      </c>
      <c r="I3824" s="4" t="s">
        <v>7</v>
      </c>
      <c r="J3824" s="5"/>
      <c r="K3824" s="5"/>
      <c r="L3824" s="5"/>
    </row>
    <row r="3825" spans="1:12" x14ac:dyDescent="0.25">
      <c r="A3825" s="91" t="s">
        <v>549</v>
      </c>
      <c r="B3825" s="92" t="s">
        <v>42</v>
      </c>
      <c r="C3825" s="64"/>
      <c r="D3825" s="66"/>
      <c r="E3825" s="2"/>
      <c r="F3825" s="2"/>
      <c r="G3825" s="91" t="s">
        <v>299</v>
      </c>
      <c r="H3825" s="66"/>
      <c r="I3825" s="33"/>
      <c r="J3825" s="6"/>
      <c r="K3825" s="33"/>
      <c r="L3825" s="6"/>
    </row>
    <row r="3826" spans="1:12" x14ac:dyDescent="0.25">
      <c r="A3826" s="7" t="s">
        <v>2</v>
      </c>
      <c r="B3826" s="5"/>
      <c r="C3826" s="5"/>
      <c r="D3826" s="5"/>
      <c r="E3826" s="5"/>
      <c r="F3826" s="5"/>
      <c r="G3826" s="8" t="s">
        <v>8</v>
      </c>
      <c r="H3826" s="93">
        <v>3</v>
      </c>
      <c r="I3826" s="5"/>
      <c r="J3826" s="5"/>
      <c r="K3826" s="5"/>
      <c r="L3826" s="5"/>
    </row>
    <row r="3827" spans="1:12" x14ac:dyDescent="0.25">
      <c r="A3827" s="7" t="s">
        <v>25</v>
      </c>
      <c r="B3827" s="5"/>
      <c r="C3827" s="7" t="s">
        <v>0</v>
      </c>
      <c r="D3827" s="5"/>
      <c r="E3827" s="5"/>
      <c r="F3827" s="5"/>
      <c r="G3827" s="7" t="s">
        <v>25</v>
      </c>
      <c r="H3827" s="5"/>
      <c r="I3827" s="7" t="s">
        <v>0</v>
      </c>
      <c r="J3827" s="5"/>
      <c r="K3827" s="5"/>
      <c r="L3827" s="5"/>
    </row>
    <row r="3828" spans="1:12" x14ac:dyDescent="0.25">
      <c r="A3828" s="42">
        <v>46001</v>
      </c>
      <c r="B3828" s="6"/>
      <c r="C3828" s="31">
        <f>L3787</f>
        <v>1061663</v>
      </c>
      <c r="D3828" s="5"/>
      <c r="E3828" s="5"/>
      <c r="F3828" s="5"/>
      <c r="G3828" s="42"/>
      <c r="H3828" s="6"/>
      <c r="I3828" s="9"/>
      <c r="J3828" s="5"/>
      <c r="K3828" s="5"/>
      <c r="L3828" s="5"/>
    </row>
    <row r="3829" spans="1:12" ht="16.5" thickBot="1" x14ac:dyDescent="0.3">
      <c r="A3829" s="7"/>
      <c r="B3829" s="62"/>
      <c r="C3829" s="62"/>
      <c r="D3829" s="62"/>
      <c r="E3829" s="5"/>
      <c r="F3829" s="5"/>
      <c r="G3829" s="10"/>
      <c r="H3829" s="5"/>
      <c r="I3829" s="5"/>
      <c r="J3829" s="5"/>
      <c r="K3829" s="5"/>
      <c r="L3829" s="5"/>
    </row>
    <row r="3830" spans="1:12" ht="15.75" thickBot="1" x14ac:dyDescent="0.3">
      <c r="A3830" s="121" t="s">
        <v>9</v>
      </c>
      <c r="B3830" s="122"/>
      <c r="C3830" s="123"/>
      <c r="D3830" s="5"/>
      <c r="E3830" s="5"/>
      <c r="F3830" s="5"/>
      <c r="G3830" s="121" t="s">
        <v>26</v>
      </c>
      <c r="H3830" s="122"/>
      <c r="I3830" s="123"/>
      <c r="J3830" s="5"/>
      <c r="K3830" s="5"/>
      <c r="L3830" s="5"/>
    </row>
    <row r="3831" spans="1:12" x14ac:dyDescent="0.25">
      <c r="A3831" s="30" t="s">
        <v>38</v>
      </c>
      <c r="B3831" s="11"/>
      <c r="C3831" s="11"/>
      <c r="D3831" s="11"/>
      <c r="E3831" s="6"/>
      <c r="F3831" s="5"/>
      <c r="G3831" s="30" t="str">
        <f>A3834</f>
        <v>Walvis Bay</v>
      </c>
      <c r="H3831" s="11"/>
      <c r="I3831" s="11"/>
      <c r="J3831" s="11"/>
      <c r="K3831" s="11"/>
      <c r="L3831" s="6"/>
    </row>
    <row r="3832" spans="1:12" ht="15.75" thickBot="1" x14ac:dyDescent="0.3">
      <c r="A3832" s="7"/>
      <c r="B3832" s="7"/>
      <c r="C3832" s="7"/>
      <c r="D3832" s="5"/>
      <c r="E3832" s="5"/>
      <c r="F3832" s="5"/>
      <c r="G3832" s="7"/>
      <c r="H3832" s="7"/>
      <c r="I3832" s="7"/>
      <c r="J3832" s="5"/>
      <c r="K3832" s="5"/>
      <c r="L3832" s="5"/>
    </row>
    <row r="3833" spans="1:12" ht="15.75" thickBot="1" x14ac:dyDescent="0.3">
      <c r="A3833" s="121"/>
      <c r="B3833" s="122"/>
      <c r="C3833" s="124"/>
      <c r="D3833" s="12" t="s">
        <v>1</v>
      </c>
      <c r="E3833" s="32"/>
      <c r="F3833" s="5"/>
      <c r="G3833" s="121" t="s">
        <v>27</v>
      </c>
      <c r="H3833" s="122"/>
      <c r="I3833" s="123"/>
      <c r="J3833" s="5"/>
      <c r="K3833" s="12" t="s">
        <v>1</v>
      </c>
      <c r="L3833" s="32">
        <v>1062481</v>
      </c>
    </row>
    <row r="3834" spans="1:12" x14ac:dyDescent="0.25">
      <c r="A3834" s="30" t="s">
        <v>57</v>
      </c>
      <c r="B3834" s="11"/>
      <c r="C3834" s="11"/>
      <c r="D3834" s="11"/>
      <c r="E3834" s="6"/>
      <c r="F3834" s="5"/>
      <c r="G3834" s="30" t="s">
        <v>364</v>
      </c>
      <c r="H3834" s="11"/>
      <c r="I3834" s="11"/>
      <c r="J3834" s="11"/>
      <c r="K3834" s="11"/>
      <c r="L3834" s="6"/>
    </row>
    <row r="3835" spans="1:12" x14ac:dyDescent="0.25">
      <c r="A3835" s="76"/>
      <c r="B3835" s="11"/>
      <c r="C3835" s="11"/>
      <c r="D3835" s="11"/>
      <c r="E3835" s="6"/>
      <c r="F3835" s="5"/>
      <c r="G3835" s="34"/>
      <c r="H3835" s="11"/>
      <c r="I3835" s="11"/>
      <c r="J3835" s="11"/>
      <c r="K3835" s="11"/>
      <c r="L3835" s="6"/>
    </row>
    <row r="3836" spans="1:12" x14ac:dyDescent="0.25">
      <c r="A3836" s="13"/>
      <c r="B3836" s="11"/>
      <c r="C3836" s="11"/>
      <c r="D3836" s="11"/>
      <c r="E3836" s="6"/>
      <c r="F3836" s="5"/>
      <c r="G3836" s="13"/>
      <c r="H3836" s="11"/>
      <c r="I3836" s="11"/>
      <c r="J3836" s="11"/>
      <c r="K3836" s="11"/>
      <c r="L3836" s="6"/>
    </row>
    <row r="3837" spans="1:12" x14ac:dyDescent="0.25">
      <c r="A3837" s="13"/>
      <c r="B3837" s="11"/>
      <c r="C3837" s="11"/>
      <c r="D3837" s="11"/>
      <c r="E3837" s="6"/>
      <c r="F3837" s="5"/>
      <c r="G3837" s="13"/>
      <c r="H3837" s="11"/>
      <c r="I3837" s="11"/>
      <c r="J3837" s="11"/>
      <c r="K3837" s="11"/>
      <c r="L3837" s="6"/>
    </row>
    <row r="3838" spans="1:12" ht="15.75" thickBot="1" x14ac:dyDescent="0.3">
      <c r="A3838" s="13"/>
      <c r="B3838" s="11"/>
      <c r="C3838" s="11" t="s">
        <v>29</v>
      </c>
      <c r="D3838" s="43"/>
      <c r="E3838" s="6"/>
      <c r="F3838" s="5"/>
      <c r="G3838" s="13"/>
      <c r="H3838" s="11"/>
      <c r="I3838" s="14" t="s">
        <v>28</v>
      </c>
      <c r="J3838" s="43"/>
      <c r="K3838" s="59"/>
      <c r="L3838" s="6"/>
    </row>
    <row r="3839" spans="1:12" ht="15.75" thickBot="1" x14ac:dyDescent="0.3">
      <c r="A3839" s="15" t="s">
        <v>10</v>
      </c>
      <c r="B3839" s="5"/>
      <c r="C3839" s="5"/>
      <c r="D3839" s="5"/>
      <c r="E3839" s="5"/>
      <c r="F3839" s="5"/>
      <c r="G3839" s="15" t="s">
        <v>14</v>
      </c>
      <c r="H3839" s="5"/>
      <c r="I3839" s="5"/>
      <c r="J3839" s="5"/>
      <c r="K3839" s="5"/>
      <c r="L3839" s="5"/>
    </row>
    <row r="3840" spans="1:12" ht="15.75" thickBot="1" x14ac:dyDescent="0.3">
      <c r="A3840" s="121" t="s">
        <v>11</v>
      </c>
      <c r="B3840" s="122"/>
      <c r="C3840" s="123"/>
      <c r="D3840" s="16" t="s">
        <v>12</v>
      </c>
      <c r="E3840" s="16" t="s">
        <v>13</v>
      </c>
      <c r="F3840" s="5"/>
      <c r="G3840" s="121" t="s">
        <v>15</v>
      </c>
      <c r="H3840" s="122"/>
      <c r="I3840" s="123"/>
      <c r="J3840" s="121"/>
      <c r="K3840" s="123"/>
      <c r="L3840" s="5"/>
    </row>
    <row r="3841" spans="1:12" x14ac:dyDescent="0.25">
      <c r="A3841" s="94" t="s">
        <v>550</v>
      </c>
      <c r="B3841" s="46" t="s">
        <v>47</v>
      </c>
      <c r="C3841" s="47"/>
      <c r="D3841" s="56">
        <v>356.27</v>
      </c>
      <c r="E3841" s="57">
        <v>6476.99</v>
      </c>
      <c r="F3841" s="44">
        <f>E3841/D3841</f>
        <v>18.180003929603952</v>
      </c>
      <c r="G3841" s="125" t="s">
        <v>69</v>
      </c>
      <c r="H3841" s="126"/>
      <c r="I3841" s="127"/>
      <c r="J3841" s="128"/>
      <c r="K3841" s="129"/>
      <c r="L3841" s="5"/>
    </row>
    <row r="3842" spans="1:12" x14ac:dyDescent="0.25">
      <c r="A3842" s="94"/>
      <c r="B3842" s="46"/>
      <c r="C3842" s="47"/>
      <c r="D3842" s="56"/>
      <c r="E3842" s="57"/>
      <c r="F3842" s="44"/>
      <c r="G3842" s="110" t="s">
        <v>59</v>
      </c>
      <c r="H3842" s="111"/>
      <c r="I3842" s="112"/>
      <c r="J3842" s="113"/>
      <c r="K3842" s="114"/>
      <c r="L3842" s="5"/>
    </row>
    <row r="3843" spans="1:12" x14ac:dyDescent="0.25">
      <c r="A3843" s="94"/>
      <c r="B3843" s="46"/>
      <c r="C3843" s="47"/>
      <c r="D3843" s="56"/>
      <c r="E3843" s="57"/>
      <c r="F3843" s="44"/>
      <c r="G3843" s="110" t="s">
        <v>61</v>
      </c>
      <c r="H3843" s="111"/>
      <c r="I3843" s="112"/>
      <c r="J3843" s="113"/>
      <c r="K3843" s="114"/>
      <c r="L3843" s="5"/>
    </row>
    <row r="3844" spans="1:12" x14ac:dyDescent="0.25">
      <c r="A3844" s="94"/>
      <c r="B3844" s="46"/>
      <c r="C3844" s="47"/>
      <c r="D3844" s="56"/>
      <c r="E3844" s="57"/>
      <c r="F3844" s="44"/>
      <c r="G3844" s="110" t="s">
        <v>51</v>
      </c>
      <c r="H3844" s="111"/>
      <c r="I3844" s="112"/>
      <c r="J3844" s="113"/>
      <c r="K3844" s="114"/>
      <c r="L3844" s="5"/>
    </row>
    <row r="3845" spans="1:12" x14ac:dyDescent="0.25">
      <c r="A3845" s="48"/>
      <c r="B3845" s="46"/>
      <c r="C3845" s="39"/>
      <c r="D3845" s="52"/>
      <c r="E3845" s="53"/>
      <c r="F3845" s="44"/>
      <c r="G3845" s="110" t="s">
        <v>58</v>
      </c>
      <c r="H3845" s="111"/>
      <c r="I3845" s="112"/>
      <c r="J3845" s="113"/>
      <c r="K3845" s="114"/>
      <c r="L3845" s="5"/>
    </row>
    <row r="3846" spans="1:12" x14ac:dyDescent="0.25">
      <c r="A3846" s="48"/>
      <c r="B3846" s="35"/>
      <c r="C3846" s="39"/>
      <c r="D3846" s="52"/>
      <c r="E3846" s="53"/>
      <c r="F3846" s="44"/>
      <c r="G3846" s="110" t="s">
        <v>51</v>
      </c>
      <c r="H3846" s="111"/>
      <c r="I3846" s="112"/>
      <c r="J3846" s="113"/>
      <c r="K3846" s="114"/>
      <c r="L3846" s="5"/>
    </row>
    <row r="3847" spans="1:12" x14ac:dyDescent="0.25">
      <c r="A3847" s="48"/>
      <c r="B3847" s="35"/>
      <c r="C3847" s="39"/>
      <c r="D3847" s="52"/>
      <c r="E3847" s="53"/>
      <c r="F3847" s="44"/>
      <c r="G3847" s="77"/>
      <c r="H3847" s="78" t="s">
        <v>69</v>
      </c>
      <c r="I3847" s="79"/>
      <c r="J3847" s="113"/>
      <c r="K3847" s="114"/>
      <c r="L3847" s="5"/>
    </row>
    <row r="3848" spans="1:12" x14ac:dyDescent="0.25">
      <c r="A3848" s="38"/>
      <c r="B3848" s="35"/>
      <c r="C3848" s="39"/>
      <c r="D3848" s="52"/>
      <c r="E3848" s="53"/>
      <c r="F3848" s="44"/>
      <c r="G3848" s="77"/>
      <c r="H3848" s="78" t="s">
        <v>72</v>
      </c>
      <c r="I3848" s="79"/>
      <c r="J3848" s="113"/>
      <c r="K3848" s="114"/>
      <c r="L3848" s="5"/>
    </row>
    <row r="3849" spans="1:12" ht="15.75" thickBot="1" x14ac:dyDescent="0.3">
      <c r="A3849" s="5"/>
      <c r="B3849" s="5"/>
      <c r="C3849" s="7" t="s">
        <v>35</v>
      </c>
      <c r="D3849" s="17">
        <f>SUM(D3841:D3848)</f>
        <v>356.27</v>
      </c>
      <c r="E3849" s="17">
        <f>SUM(E3841:E3848)</f>
        <v>6476.99</v>
      </c>
      <c r="F3849" s="89">
        <f>AVERAGE(F3841:F3845)</f>
        <v>18.180003929603952</v>
      </c>
      <c r="G3849" s="110" t="s">
        <v>73</v>
      </c>
      <c r="H3849" s="111"/>
      <c r="I3849" s="112"/>
      <c r="J3849" s="113"/>
      <c r="K3849" s="114"/>
      <c r="L3849" s="7" t="s">
        <v>36</v>
      </c>
    </row>
    <row r="3850" spans="1:12" ht="15.75" thickBot="1" x14ac:dyDescent="0.3">
      <c r="A3850" s="5"/>
      <c r="B3850" s="5"/>
      <c r="C3850" s="5"/>
      <c r="D3850" s="5"/>
      <c r="E3850" s="5"/>
      <c r="F3850" s="5"/>
      <c r="G3850" s="130"/>
      <c r="H3850" s="131"/>
      <c r="I3850" s="132"/>
      <c r="J3850" s="133"/>
      <c r="K3850" s="134"/>
      <c r="L3850" s="18">
        <f>J3841+J3842+J3843+J3844+J3845+J3846+J3847+J3848+J3849</f>
        <v>0</v>
      </c>
    </row>
    <row r="3851" spans="1:12" ht="15.75" thickBot="1" x14ac:dyDescent="0.3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</row>
    <row r="3852" spans="1:12" ht="15.75" thickBot="1" x14ac:dyDescent="0.3">
      <c r="A3852" s="19"/>
      <c r="B3852" s="20"/>
      <c r="C3852" s="20"/>
      <c r="D3852" s="20"/>
      <c r="E3852" s="21" t="s">
        <v>13</v>
      </c>
      <c r="F3852" s="5"/>
      <c r="G3852" s="19"/>
      <c r="H3852" s="20"/>
      <c r="I3852" s="20"/>
      <c r="J3852" s="20"/>
      <c r="K3852" s="21" t="s">
        <v>13</v>
      </c>
      <c r="L3852" s="5"/>
    </row>
    <row r="3853" spans="1:12" x14ac:dyDescent="0.25">
      <c r="A3853" s="22" t="s">
        <v>31</v>
      </c>
      <c r="B3853" s="115">
        <v>14955</v>
      </c>
      <c r="C3853" s="116"/>
      <c r="D3853" s="116"/>
      <c r="E3853" s="117"/>
      <c r="F3853" s="5"/>
      <c r="G3853" s="22" t="s">
        <v>32</v>
      </c>
      <c r="H3853" s="115"/>
      <c r="I3853" s="116"/>
      <c r="J3853" s="116"/>
      <c r="K3853" s="117"/>
      <c r="L3853" s="5"/>
    </row>
    <row r="3854" spans="1:12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</row>
    <row r="3855" spans="1:12" x14ac:dyDescent="0.25">
      <c r="A3855" s="7" t="s">
        <v>16</v>
      </c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</row>
    <row r="3856" spans="1:12" x14ac:dyDescent="0.25">
      <c r="A3856" s="9" t="s">
        <v>17</v>
      </c>
      <c r="B3856" s="23">
        <f>L3833-C3828</f>
        <v>818</v>
      </c>
      <c r="C3856" s="5"/>
      <c r="D3856" s="106" t="s">
        <v>18</v>
      </c>
      <c r="E3856" s="107"/>
      <c r="F3856" s="24" t="s">
        <v>19</v>
      </c>
      <c r="G3856" s="9" t="s">
        <v>20</v>
      </c>
      <c r="H3856" s="118">
        <f>B3853+H3853</f>
        <v>14955</v>
      </c>
      <c r="I3856" s="119"/>
      <c r="J3856" s="60"/>
      <c r="K3856" s="5"/>
      <c r="L3856" s="5"/>
    </row>
    <row r="3857" spans="1:12" x14ac:dyDescent="0.25">
      <c r="A3857" s="9" t="s">
        <v>41</v>
      </c>
      <c r="B3857" s="40">
        <f>B3856/D3849</f>
        <v>2.2960114519886603</v>
      </c>
      <c r="C3857" s="5"/>
      <c r="D3857" s="102">
        <f>E3849</f>
        <v>6476.99</v>
      </c>
      <c r="E3857" s="103"/>
      <c r="F3857" s="25">
        <f>H3857/B3856</f>
        <v>9.4960757946210261</v>
      </c>
      <c r="G3857" s="9" t="s">
        <v>21</v>
      </c>
      <c r="H3857" s="104">
        <f>L3850+D3857+D3859+D3861+D3863+A3860</f>
        <v>7767.79</v>
      </c>
      <c r="I3857" s="105"/>
      <c r="J3857" s="5"/>
      <c r="K3857" s="5"/>
      <c r="L3857" s="5"/>
    </row>
    <row r="3858" spans="1:12" x14ac:dyDescent="0.25">
      <c r="A3858" s="9" t="s">
        <v>43</v>
      </c>
      <c r="B3858" s="23">
        <f>D3849/B3856*100</f>
        <v>43.553789731051339</v>
      </c>
      <c r="C3858" s="5"/>
      <c r="D3858" s="106" t="s">
        <v>33</v>
      </c>
      <c r="E3858" s="107"/>
      <c r="F3858" s="5"/>
      <c r="G3858" s="13" t="s">
        <v>22</v>
      </c>
      <c r="H3858" s="6"/>
      <c r="I3858" s="26">
        <f>H3856-H3857</f>
        <v>7187.21</v>
      </c>
      <c r="J3858" s="5"/>
      <c r="K3858" s="5"/>
      <c r="L3858" s="5"/>
    </row>
    <row r="3859" spans="1:12" x14ac:dyDescent="0.25">
      <c r="A3859" s="106" t="s">
        <v>40</v>
      </c>
      <c r="B3859" s="107"/>
      <c r="C3859" s="5"/>
      <c r="D3859" s="149">
        <v>500</v>
      </c>
      <c r="E3859" s="150"/>
      <c r="F3859" s="5"/>
      <c r="G3859" s="5"/>
      <c r="H3859" s="5"/>
      <c r="I3859" s="5"/>
      <c r="J3859" s="5"/>
      <c r="K3859" s="5"/>
      <c r="L3859" s="5"/>
    </row>
    <row r="3860" spans="1:12" x14ac:dyDescent="0.25">
      <c r="A3860" s="108">
        <f>B3856*0.6</f>
        <v>490.79999999999995</v>
      </c>
      <c r="B3860" s="109"/>
      <c r="C3860" s="5"/>
      <c r="D3860" s="106" t="s">
        <v>34</v>
      </c>
      <c r="E3860" s="107"/>
      <c r="F3860" s="5"/>
      <c r="G3860" s="145" t="s">
        <v>292</v>
      </c>
      <c r="H3860" s="146"/>
      <c r="I3860" s="23">
        <f>B3856/2.3</f>
        <v>355.6521739130435</v>
      </c>
      <c r="J3860" s="60"/>
      <c r="K3860" s="5"/>
      <c r="L3860" s="5"/>
    </row>
    <row r="3861" spans="1:12" x14ac:dyDescent="0.25">
      <c r="A3861" s="5"/>
      <c r="B3861" s="5"/>
      <c r="C3861" s="5"/>
      <c r="D3861" s="108">
        <v>300</v>
      </c>
      <c r="E3861" s="109"/>
      <c r="F3861" s="5"/>
      <c r="G3861" s="145" t="s">
        <v>294</v>
      </c>
      <c r="H3861" s="146"/>
      <c r="I3861" s="23">
        <f>I3860-D3849</f>
        <v>-0.61782608695648378</v>
      </c>
      <c r="J3861" s="5"/>
      <c r="K3861" s="5"/>
      <c r="L3861" s="5"/>
    </row>
    <row r="3862" spans="1:12" x14ac:dyDescent="0.25">
      <c r="A3862" s="5"/>
      <c r="B3862" s="5"/>
      <c r="C3862" s="5"/>
      <c r="D3862" s="106" t="s">
        <v>37</v>
      </c>
      <c r="E3862" s="107"/>
      <c r="F3862" s="5"/>
      <c r="G3862" s="147" t="s">
        <v>295</v>
      </c>
      <c r="H3862" s="148"/>
      <c r="I3862" s="86">
        <f>I3861*F3849</f>
        <v>-11.232080688680709</v>
      </c>
      <c r="J3862" s="87">
        <f>I3858-I3862</f>
        <v>7198.442080688681</v>
      </c>
      <c r="K3862" s="5"/>
      <c r="L3862" s="5"/>
    </row>
    <row r="3863" spans="1:12" x14ac:dyDescent="0.25">
      <c r="A3863" s="5"/>
      <c r="B3863" s="5"/>
      <c r="C3863" s="5"/>
      <c r="D3863" s="108">
        <v>0</v>
      </c>
      <c r="E3863" s="109"/>
      <c r="F3863" s="5" t="s">
        <v>78</v>
      </c>
      <c r="G3863" s="5"/>
      <c r="H3863" s="5"/>
      <c r="I3863" s="5"/>
      <c r="J3863" s="88" t="s">
        <v>293</v>
      </c>
      <c r="K3863" s="44"/>
      <c r="L3863" s="5"/>
    </row>
    <row r="3865" spans="1:12" s="49" customFormat="1" x14ac:dyDescent="0.25"/>
    <row r="3868" spans="1:12" x14ac:dyDescent="0.25">
      <c r="A3868" s="120" t="s">
        <v>24</v>
      </c>
      <c r="B3868" s="120"/>
      <c r="C3868" s="120"/>
      <c r="D3868" s="120"/>
      <c r="E3868" s="120"/>
      <c r="F3868" s="120"/>
      <c r="G3868" s="120"/>
      <c r="H3868" s="120"/>
      <c r="I3868" s="120"/>
      <c r="J3868" s="120"/>
      <c r="K3868" s="120"/>
      <c r="L3868" s="120"/>
    </row>
    <row r="3869" spans="1:12" x14ac:dyDescent="0.25">
      <c r="A3869" s="120"/>
      <c r="B3869" s="120"/>
      <c r="C3869" s="120"/>
      <c r="D3869" s="120"/>
      <c r="E3869" s="120"/>
      <c r="F3869" s="120"/>
      <c r="G3869" s="120"/>
      <c r="H3869" s="120"/>
      <c r="I3869" s="120"/>
      <c r="J3869" s="120"/>
      <c r="K3869" s="120"/>
      <c r="L3869" s="120"/>
    </row>
    <row r="3870" spans="1:12" x14ac:dyDescent="0.25">
      <c r="A3870" s="1" t="s">
        <v>4</v>
      </c>
      <c r="B3870" s="2"/>
      <c r="C3870" s="90"/>
      <c r="D3870" s="2"/>
      <c r="E3870" s="2"/>
      <c r="F3870" s="2"/>
      <c r="G3870" s="3" t="s">
        <v>5</v>
      </c>
      <c r="H3870" s="3" t="s">
        <v>6</v>
      </c>
      <c r="I3870" s="4" t="s">
        <v>7</v>
      </c>
      <c r="J3870" s="5"/>
      <c r="K3870" s="5"/>
      <c r="L3870" s="5"/>
    </row>
    <row r="3871" spans="1:12" x14ac:dyDescent="0.25">
      <c r="A3871" s="91" t="s">
        <v>549</v>
      </c>
      <c r="B3871" s="92" t="s">
        <v>42</v>
      </c>
      <c r="C3871" s="64"/>
      <c r="D3871" s="66"/>
      <c r="E3871" s="2"/>
      <c r="F3871" s="2"/>
      <c r="G3871" s="91" t="s">
        <v>299</v>
      </c>
      <c r="H3871" s="66"/>
      <c r="I3871" s="33"/>
      <c r="J3871" s="6"/>
      <c r="K3871" s="33"/>
      <c r="L3871" s="6"/>
    </row>
    <row r="3872" spans="1:12" x14ac:dyDescent="0.25">
      <c r="A3872" s="7" t="s">
        <v>2</v>
      </c>
      <c r="B3872" s="5"/>
      <c r="C3872" s="5"/>
      <c r="D3872" s="5"/>
      <c r="E3872" s="5"/>
      <c r="F3872" s="5"/>
      <c r="G3872" s="8" t="s">
        <v>8</v>
      </c>
      <c r="H3872" s="93">
        <v>3</v>
      </c>
      <c r="I3872" s="5"/>
      <c r="J3872" s="5"/>
      <c r="K3872" s="5"/>
      <c r="L3872" s="5"/>
    </row>
    <row r="3873" spans="1:12" x14ac:dyDescent="0.25">
      <c r="A3873" s="7" t="s">
        <v>25</v>
      </c>
      <c r="B3873" s="5"/>
      <c r="C3873" s="7" t="s">
        <v>0</v>
      </c>
      <c r="D3873" s="5"/>
      <c r="E3873" s="5"/>
      <c r="F3873" s="5"/>
      <c r="G3873" s="7" t="s">
        <v>25</v>
      </c>
      <c r="H3873" s="5"/>
      <c r="I3873" s="7" t="s">
        <v>0</v>
      </c>
      <c r="J3873" s="5"/>
      <c r="K3873" s="5"/>
      <c r="L3873" s="5"/>
    </row>
    <row r="3874" spans="1:12" x14ac:dyDescent="0.25">
      <c r="A3874" s="42" t="s">
        <v>550</v>
      </c>
      <c r="B3874" s="6"/>
      <c r="C3874" s="31">
        <f>L3833</f>
        <v>1062481</v>
      </c>
      <c r="D3874" s="5"/>
      <c r="E3874" s="5"/>
      <c r="F3874" s="5"/>
      <c r="G3874" s="42"/>
      <c r="H3874" s="6"/>
      <c r="I3874" s="9"/>
      <c r="J3874" s="5"/>
      <c r="K3874" s="5"/>
      <c r="L3874" s="5"/>
    </row>
    <row r="3875" spans="1:12" ht="16.5" thickBot="1" x14ac:dyDescent="0.3">
      <c r="A3875" s="7"/>
      <c r="B3875" s="62"/>
      <c r="C3875" s="62"/>
      <c r="D3875" s="62"/>
      <c r="E3875" s="5"/>
      <c r="F3875" s="5"/>
      <c r="G3875" s="10"/>
      <c r="H3875" s="5"/>
      <c r="I3875" s="5"/>
      <c r="J3875" s="5"/>
      <c r="K3875" s="5"/>
      <c r="L3875" s="5"/>
    </row>
    <row r="3876" spans="1:12" ht="15.75" thickBot="1" x14ac:dyDescent="0.3">
      <c r="A3876" s="121" t="s">
        <v>9</v>
      </c>
      <c r="B3876" s="122"/>
      <c r="C3876" s="123"/>
      <c r="D3876" s="5"/>
      <c r="E3876" s="5"/>
      <c r="F3876" s="5"/>
      <c r="G3876" s="121" t="s">
        <v>26</v>
      </c>
      <c r="H3876" s="122"/>
      <c r="I3876" s="123"/>
      <c r="J3876" s="5"/>
      <c r="K3876" s="5"/>
      <c r="L3876" s="5"/>
    </row>
    <row r="3877" spans="1:12" x14ac:dyDescent="0.25">
      <c r="A3877" s="30" t="s">
        <v>38</v>
      </c>
      <c r="B3877" s="11"/>
      <c r="C3877" s="11"/>
      <c r="D3877" s="11"/>
      <c r="E3877" s="6"/>
      <c r="F3877" s="5"/>
      <c r="G3877" s="30" t="str">
        <f>A3880</f>
        <v>Johannesburg</v>
      </c>
      <c r="H3877" s="11"/>
      <c r="I3877" s="11"/>
      <c r="J3877" s="11"/>
      <c r="K3877" s="11"/>
      <c r="L3877" s="6"/>
    </row>
    <row r="3878" spans="1:12" ht="15.75" thickBot="1" x14ac:dyDescent="0.3">
      <c r="A3878" s="7"/>
      <c r="B3878" s="7"/>
      <c r="C3878" s="7"/>
      <c r="D3878" s="5"/>
      <c r="E3878" s="5"/>
      <c r="F3878" s="5"/>
      <c r="G3878" s="7"/>
      <c r="H3878" s="7"/>
      <c r="I3878" s="7"/>
      <c r="J3878" s="5"/>
      <c r="K3878" s="5"/>
      <c r="L3878" s="5"/>
    </row>
    <row r="3879" spans="1:12" ht="15.75" thickBot="1" x14ac:dyDescent="0.3">
      <c r="A3879" s="121"/>
      <c r="B3879" s="122"/>
      <c r="C3879" s="124"/>
      <c r="D3879" s="12" t="s">
        <v>1</v>
      </c>
      <c r="E3879" s="32"/>
      <c r="F3879" s="5"/>
      <c r="G3879" s="121" t="s">
        <v>27</v>
      </c>
      <c r="H3879" s="122"/>
      <c r="I3879" s="123"/>
      <c r="J3879" s="5"/>
      <c r="K3879" s="12" t="s">
        <v>1</v>
      </c>
      <c r="L3879" s="32">
        <v>1065424</v>
      </c>
    </row>
    <row r="3880" spans="1:12" x14ac:dyDescent="0.25">
      <c r="A3880" s="30" t="s">
        <v>68</v>
      </c>
      <c r="B3880" s="11"/>
      <c r="C3880" s="11"/>
      <c r="D3880" s="11"/>
      <c r="E3880" s="6"/>
      <c r="F3880" s="5"/>
      <c r="G3880" s="30" t="s">
        <v>364</v>
      </c>
      <c r="H3880" s="11"/>
      <c r="I3880" s="11"/>
      <c r="J3880" s="11"/>
      <c r="K3880" s="11"/>
      <c r="L3880" s="6"/>
    </row>
    <row r="3881" spans="1:12" x14ac:dyDescent="0.25">
      <c r="A3881" s="76"/>
      <c r="B3881" s="11"/>
      <c r="C3881" s="11"/>
      <c r="D3881" s="11"/>
      <c r="E3881" s="6"/>
      <c r="F3881" s="5"/>
      <c r="G3881" s="34"/>
      <c r="H3881" s="11"/>
      <c r="I3881" s="11"/>
      <c r="J3881" s="11"/>
      <c r="K3881" s="11"/>
      <c r="L3881" s="6"/>
    </row>
    <row r="3882" spans="1:12" x14ac:dyDescent="0.25">
      <c r="A3882" s="13"/>
      <c r="B3882" s="11"/>
      <c r="C3882" s="11"/>
      <c r="D3882" s="11"/>
      <c r="E3882" s="6"/>
      <c r="F3882" s="5"/>
      <c r="G3882" s="13"/>
      <c r="H3882" s="11"/>
      <c r="I3882" s="11"/>
      <c r="J3882" s="11"/>
      <c r="K3882" s="11"/>
      <c r="L3882" s="6"/>
    </row>
    <row r="3883" spans="1:12" x14ac:dyDescent="0.25">
      <c r="A3883" s="13"/>
      <c r="B3883" s="11"/>
      <c r="C3883" s="11"/>
      <c r="D3883" s="11"/>
      <c r="E3883" s="6"/>
      <c r="F3883" s="5"/>
      <c r="G3883" s="13"/>
      <c r="H3883" s="11"/>
      <c r="I3883" s="11"/>
      <c r="J3883" s="11"/>
      <c r="K3883" s="11"/>
      <c r="L3883" s="6"/>
    </row>
    <row r="3884" spans="1:12" ht="15.75" thickBot="1" x14ac:dyDescent="0.3">
      <c r="A3884" s="13"/>
      <c r="B3884" s="11"/>
      <c r="C3884" s="11" t="s">
        <v>29</v>
      </c>
      <c r="D3884" s="43"/>
      <c r="E3884" s="6"/>
      <c r="F3884" s="5"/>
      <c r="G3884" s="13"/>
      <c r="H3884" s="11"/>
      <c r="I3884" s="14" t="s">
        <v>28</v>
      </c>
      <c r="J3884" s="43"/>
      <c r="K3884" s="59"/>
      <c r="L3884" s="6"/>
    </row>
    <row r="3885" spans="1:12" ht="15.75" thickBot="1" x14ac:dyDescent="0.3">
      <c r="A3885" s="15" t="s">
        <v>10</v>
      </c>
      <c r="B3885" s="5"/>
      <c r="C3885" s="5"/>
      <c r="D3885" s="5"/>
      <c r="E3885" s="5"/>
      <c r="F3885" s="5"/>
      <c r="G3885" s="15" t="s">
        <v>14</v>
      </c>
      <c r="H3885" s="5"/>
      <c r="I3885" s="5"/>
      <c r="J3885" s="5"/>
      <c r="K3885" s="5"/>
      <c r="L3885" s="5"/>
    </row>
    <row r="3886" spans="1:12" ht="15.75" thickBot="1" x14ac:dyDescent="0.3">
      <c r="A3886" s="121" t="s">
        <v>11</v>
      </c>
      <c r="B3886" s="122"/>
      <c r="C3886" s="123"/>
      <c r="D3886" s="16" t="s">
        <v>12</v>
      </c>
      <c r="E3886" s="16" t="s">
        <v>13</v>
      </c>
      <c r="F3886" s="5"/>
      <c r="G3886" s="121" t="s">
        <v>15</v>
      </c>
      <c r="H3886" s="122"/>
      <c r="I3886" s="123"/>
      <c r="J3886" s="121"/>
      <c r="K3886" s="123"/>
      <c r="L3886" s="5"/>
    </row>
    <row r="3887" spans="1:12" x14ac:dyDescent="0.25">
      <c r="A3887" s="94" t="s">
        <v>551</v>
      </c>
      <c r="B3887" s="46" t="s">
        <v>534</v>
      </c>
      <c r="C3887" s="47"/>
      <c r="D3887" s="56">
        <v>665.64</v>
      </c>
      <c r="E3887" s="57">
        <v>14664.05</v>
      </c>
      <c r="F3887" s="44">
        <f>E3887/D3887</f>
        <v>22.030001201850851</v>
      </c>
      <c r="G3887" s="125" t="s">
        <v>69</v>
      </c>
      <c r="H3887" s="126"/>
      <c r="I3887" s="127"/>
      <c r="J3887" s="128">
        <f>355+355</f>
        <v>710</v>
      </c>
      <c r="K3887" s="129"/>
      <c r="L3887" s="5"/>
    </row>
    <row r="3888" spans="1:12" x14ac:dyDescent="0.25">
      <c r="A3888" s="94" t="s">
        <v>552</v>
      </c>
      <c r="B3888" s="46" t="s">
        <v>47</v>
      </c>
      <c r="C3888" s="47"/>
      <c r="D3888" s="56">
        <v>670.96</v>
      </c>
      <c r="E3888" s="57">
        <v>12198.05</v>
      </c>
      <c r="F3888" s="44">
        <f>E3888/D3888</f>
        <v>18.179995826874922</v>
      </c>
      <c r="G3888" s="110" t="s">
        <v>59</v>
      </c>
      <c r="H3888" s="111"/>
      <c r="I3888" s="112"/>
      <c r="J3888" s="113"/>
      <c r="K3888" s="114"/>
      <c r="L3888" s="5"/>
    </row>
    <row r="3889" spans="1:12" x14ac:dyDescent="0.25">
      <c r="A3889" s="94"/>
      <c r="B3889" s="46"/>
      <c r="C3889" s="47"/>
      <c r="D3889" s="56"/>
      <c r="E3889" s="57"/>
      <c r="F3889" s="44"/>
      <c r="G3889" s="110" t="s">
        <v>61</v>
      </c>
      <c r="H3889" s="111"/>
      <c r="I3889" s="112"/>
      <c r="J3889" s="113"/>
      <c r="K3889" s="114"/>
      <c r="L3889" s="5"/>
    </row>
    <row r="3890" spans="1:12" x14ac:dyDescent="0.25">
      <c r="A3890" s="94"/>
      <c r="B3890" s="46"/>
      <c r="C3890" s="47"/>
      <c r="D3890" s="56"/>
      <c r="E3890" s="57"/>
      <c r="F3890" s="44"/>
      <c r="G3890" s="110" t="s">
        <v>51</v>
      </c>
      <c r="H3890" s="111"/>
      <c r="I3890" s="112"/>
      <c r="J3890" s="113"/>
      <c r="K3890" s="114"/>
      <c r="L3890" s="5"/>
    </row>
    <row r="3891" spans="1:12" x14ac:dyDescent="0.25">
      <c r="A3891" s="48"/>
      <c r="B3891" s="46"/>
      <c r="C3891" s="39"/>
      <c r="D3891" s="52"/>
      <c r="E3891" s="53"/>
      <c r="F3891" s="44"/>
      <c r="G3891" s="110" t="s">
        <v>58</v>
      </c>
      <c r="H3891" s="111"/>
      <c r="I3891" s="112"/>
      <c r="J3891" s="113"/>
      <c r="K3891" s="114"/>
      <c r="L3891" s="5"/>
    </row>
    <row r="3892" spans="1:12" x14ac:dyDescent="0.25">
      <c r="A3892" s="48"/>
      <c r="B3892" s="35"/>
      <c r="C3892" s="39"/>
      <c r="D3892" s="52"/>
      <c r="E3892" s="53"/>
      <c r="F3892" s="44"/>
      <c r="G3892" s="110" t="s">
        <v>51</v>
      </c>
      <c r="H3892" s="111"/>
      <c r="I3892" s="112"/>
      <c r="J3892" s="113"/>
      <c r="K3892" s="114"/>
      <c r="L3892" s="5"/>
    </row>
    <row r="3893" spans="1:12" x14ac:dyDescent="0.25">
      <c r="A3893" s="48"/>
      <c r="B3893" s="35"/>
      <c r="C3893" s="39"/>
      <c r="D3893" s="52"/>
      <c r="E3893" s="53"/>
      <c r="F3893" s="44"/>
      <c r="G3893" s="77"/>
      <c r="H3893" s="78" t="s">
        <v>69</v>
      </c>
      <c r="I3893" s="79"/>
      <c r="J3893" s="113"/>
      <c r="K3893" s="114"/>
      <c r="L3893" s="5"/>
    </row>
    <row r="3894" spans="1:12" x14ac:dyDescent="0.25">
      <c r="A3894" s="38"/>
      <c r="B3894" s="35"/>
      <c r="C3894" s="39"/>
      <c r="D3894" s="52"/>
      <c r="E3894" s="53"/>
      <c r="F3894" s="44"/>
      <c r="G3894" s="77"/>
      <c r="H3894" s="78" t="s">
        <v>72</v>
      </c>
      <c r="I3894" s="79"/>
      <c r="J3894" s="113"/>
      <c r="K3894" s="114"/>
      <c r="L3894" s="5"/>
    </row>
    <row r="3895" spans="1:12" ht="15.75" thickBot="1" x14ac:dyDescent="0.3">
      <c r="A3895" s="5"/>
      <c r="B3895" s="5"/>
      <c r="C3895" s="7" t="s">
        <v>35</v>
      </c>
      <c r="D3895" s="17">
        <f>SUM(D3887:D3894)</f>
        <v>1336.6</v>
      </c>
      <c r="E3895" s="17">
        <f>SUM(E3887:E3894)</f>
        <v>26862.1</v>
      </c>
      <c r="F3895" s="89">
        <f>AVERAGE(F3887:F3891)</f>
        <v>20.104998514362887</v>
      </c>
      <c r="G3895" s="110" t="s">
        <v>73</v>
      </c>
      <c r="H3895" s="111"/>
      <c r="I3895" s="112"/>
      <c r="J3895" s="113"/>
      <c r="K3895" s="114"/>
      <c r="L3895" s="7" t="s">
        <v>36</v>
      </c>
    </row>
    <row r="3896" spans="1:12" ht="15.75" thickBot="1" x14ac:dyDescent="0.3">
      <c r="A3896" s="5"/>
      <c r="B3896" s="5"/>
      <c r="C3896" s="5"/>
      <c r="D3896" s="5"/>
      <c r="E3896" s="5"/>
      <c r="F3896" s="5"/>
      <c r="G3896" s="130"/>
      <c r="H3896" s="131"/>
      <c r="I3896" s="132"/>
      <c r="J3896" s="133"/>
      <c r="K3896" s="134"/>
      <c r="L3896" s="18">
        <f>J3887+J3888+J3889+J3890+J3891+J3892+J3893+J3894+J3895</f>
        <v>710</v>
      </c>
    </row>
    <row r="3897" spans="1:12" ht="15.75" thickBot="1" x14ac:dyDescent="0.3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</row>
    <row r="3898" spans="1:12" ht="15.75" thickBot="1" x14ac:dyDescent="0.3">
      <c r="A3898" s="19"/>
      <c r="B3898" s="20"/>
      <c r="C3898" s="20"/>
      <c r="D3898" s="20"/>
      <c r="E3898" s="21" t="s">
        <v>13</v>
      </c>
      <c r="F3898" s="5"/>
      <c r="G3898" s="19"/>
      <c r="H3898" s="20"/>
      <c r="I3898" s="20"/>
      <c r="J3898" s="20"/>
      <c r="K3898" s="21" t="s">
        <v>13</v>
      </c>
      <c r="L3898" s="5"/>
    </row>
    <row r="3899" spans="1:12" x14ac:dyDescent="0.25">
      <c r="A3899" s="22" t="s">
        <v>31</v>
      </c>
      <c r="B3899" s="115">
        <v>18078</v>
      </c>
      <c r="C3899" s="116"/>
      <c r="D3899" s="116"/>
      <c r="E3899" s="117"/>
      <c r="F3899" s="5"/>
      <c r="G3899" s="22" t="s">
        <v>32</v>
      </c>
      <c r="H3899" s="115">
        <v>43000</v>
      </c>
      <c r="I3899" s="116"/>
      <c r="J3899" s="116"/>
      <c r="K3899" s="117"/>
      <c r="L3899" s="5"/>
    </row>
    <row r="3900" spans="1:12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</row>
    <row r="3901" spans="1:12" x14ac:dyDescent="0.25">
      <c r="A3901" s="7" t="s">
        <v>16</v>
      </c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</row>
    <row r="3902" spans="1:12" x14ac:dyDescent="0.25">
      <c r="A3902" s="9" t="s">
        <v>17</v>
      </c>
      <c r="B3902" s="23">
        <f>L3879-C3874</f>
        <v>2943</v>
      </c>
      <c r="C3902" s="5"/>
      <c r="D3902" s="106" t="s">
        <v>18</v>
      </c>
      <c r="E3902" s="107"/>
      <c r="F3902" s="24" t="s">
        <v>19</v>
      </c>
      <c r="G3902" s="9" t="s">
        <v>20</v>
      </c>
      <c r="H3902" s="118">
        <f>B3899+H3899</f>
        <v>61078</v>
      </c>
      <c r="I3902" s="119"/>
      <c r="J3902" s="60"/>
      <c r="K3902" s="5"/>
      <c r="L3902" s="5"/>
    </row>
    <row r="3903" spans="1:12" x14ac:dyDescent="0.25">
      <c r="A3903" s="9" t="s">
        <v>41</v>
      </c>
      <c r="B3903" s="40">
        <f>B3902/D3895</f>
        <v>2.2018554541373634</v>
      </c>
      <c r="C3903" s="5"/>
      <c r="D3903" s="102">
        <f>E3895</f>
        <v>26862.1</v>
      </c>
      <c r="E3903" s="103"/>
      <c r="F3903" s="25">
        <f>H3903/B3902</f>
        <v>11.871525654094462</v>
      </c>
      <c r="G3903" s="9" t="s">
        <v>21</v>
      </c>
      <c r="H3903" s="104">
        <f>L3896+D3903+D3905+D3907+D3909+A3906</f>
        <v>34937.9</v>
      </c>
      <c r="I3903" s="105"/>
      <c r="J3903" s="5"/>
      <c r="K3903" s="5"/>
      <c r="L3903" s="5"/>
    </row>
    <row r="3904" spans="1:12" x14ac:dyDescent="0.25">
      <c r="A3904" s="9" t="s">
        <v>43</v>
      </c>
      <c r="B3904" s="23">
        <f>D3895/B3902*100</f>
        <v>45.416241930003395</v>
      </c>
      <c r="C3904" s="5"/>
      <c r="D3904" s="106" t="s">
        <v>33</v>
      </c>
      <c r="E3904" s="107"/>
      <c r="F3904" s="5"/>
      <c r="G3904" s="13" t="s">
        <v>22</v>
      </c>
      <c r="H3904" s="6"/>
      <c r="I3904" s="26">
        <f>H3902-H3903</f>
        <v>26140.1</v>
      </c>
      <c r="J3904" s="5"/>
      <c r="K3904" s="5"/>
      <c r="L3904" s="5"/>
    </row>
    <row r="3905" spans="1:12" x14ac:dyDescent="0.25">
      <c r="A3905" s="106" t="s">
        <v>40</v>
      </c>
      <c r="B3905" s="107"/>
      <c r="C3905" s="5"/>
      <c r="D3905" s="149">
        <v>1100</v>
      </c>
      <c r="E3905" s="150"/>
      <c r="F3905" s="5"/>
      <c r="G3905" s="5"/>
      <c r="H3905" s="5"/>
      <c r="I3905" s="5"/>
      <c r="J3905" s="5"/>
      <c r="K3905" s="5"/>
      <c r="L3905" s="5"/>
    </row>
    <row r="3906" spans="1:12" x14ac:dyDescent="0.25">
      <c r="A3906" s="108">
        <f>B3902*0.6</f>
        <v>1765.8</v>
      </c>
      <c r="B3906" s="109"/>
      <c r="C3906" s="5"/>
      <c r="D3906" s="106" t="s">
        <v>34</v>
      </c>
      <c r="E3906" s="107"/>
      <c r="F3906" s="5"/>
      <c r="G3906" s="145" t="s">
        <v>292</v>
      </c>
      <c r="H3906" s="146"/>
      <c r="I3906" s="23">
        <f>B3902/2.3</f>
        <v>1279.5652173913045</v>
      </c>
      <c r="J3906" s="60"/>
      <c r="K3906" s="5"/>
      <c r="L3906" s="5"/>
    </row>
    <row r="3907" spans="1:12" x14ac:dyDescent="0.25">
      <c r="A3907" s="5"/>
      <c r="B3907" s="5"/>
      <c r="C3907" s="5"/>
      <c r="D3907" s="108">
        <v>0</v>
      </c>
      <c r="E3907" s="109"/>
      <c r="F3907" s="5"/>
      <c r="G3907" s="145" t="s">
        <v>294</v>
      </c>
      <c r="H3907" s="146"/>
      <c r="I3907" s="23">
        <f>I3906-D3895</f>
        <v>-57.034782608695423</v>
      </c>
      <c r="J3907" s="5"/>
      <c r="K3907" s="5"/>
      <c r="L3907" s="5"/>
    </row>
    <row r="3908" spans="1:12" x14ac:dyDescent="0.25">
      <c r="A3908" s="5"/>
      <c r="B3908" s="5"/>
      <c r="C3908" s="5"/>
      <c r="D3908" s="106" t="s">
        <v>37</v>
      </c>
      <c r="E3908" s="107"/>
      <c r="F3908" s="5"/>
      <c r="G3908" s="147" t="s">
        <v>295</v>
      </c>
      <c r="H3908" s="148"/>
      <c r="I3908" s="86">
        <f>I3907*F3895</f>
        <v>-1146.6842196148316</v>
      </c>
      <c r="J3908" s="87">
        <f>I3904-I3908</f>
        <v>27286.78421961483</v>
      </c>
      <c r="K3908" s="5"/>
      <c r="L3908" s="5"/>
    </row>
    <row r="3909" spans="1:12" x14ac:dyDescent="0.25">
      <c r="A3909" s="5"/>
      <c r="B3909" s="5"/>
      <c r="C3909" s="5"/>
      <c r="D3909" s="108">
        <v>4500</v>
      </c>
      <c r="E3909" s="109"/>
      <c r="F3909" s="5" t="s">
        <v>78</v>
      </c>
      <c r="G3909" s="5"/>
      <c r="H3909" s="5"/>
      <c r="I3909" s="5"/>
      <c r="J3909" s="88" t="s">
        <v>293</v>
      </c>
      <c r="K3909" s="44"/>
      <c r="L3909" s="5"/>
    </row>
    <row r="3911" spans="1:12" s="49" customFormat="1" x14ac:dyDescent="0.25"/>
    <row r="3914" spans="1:12" x14ac:dyDescent="0.25">
      <c r="A3914" s="120" t="s">
        <v>24</v>
      </c>
      <c r="B3914" s="120"/>
      <c r="C3914" s="120"/>
      <c r="D3914" s="120"/>
      <c r="E3914" s="120"/>
      <c r="F3914" s="120"/>
      <c r="G3914" s="120"/>
      <c r="H3914" s="120"/>
      <c r="I3914" s="120"/>
      <c r="J3914" s="120"/>
      <c r="K3914" s="120"/>
      <c r="L3914" s="120"/>
    </row>
    <row r="3915" spans="1:12" x14ac:dyDescent="0.25">
      <c r="A3915" s="120"/>
      <c r="B3915" s="120"/>
      <c r="C3915" s="120"/>
      <c r="D3915" s="120"/>
      <c r="E3915" s="120"/>
      <c r="F3915" s="120"/>
      <c r="G3915" s="120"/>
      <c r="H3915" s="120"/>
      <c r="I3915" s="120"/>
      <c r="J3915" s="120"/>
      <c r="K3915" s="120"/>
      <c r="L3915" s="120"/>
    </row>
    <row r="3916" spans="1:12" x14ac:dyDescent="0.25">
      <c r="A3916" s="1" t="s">
        <v>4</v>
      </c>
      <c r="B3916" s="2"/>
      <c r="C3916" s="90"/>
      <c r="D3916" s="2"/>
      <c r="E3916" s="2"/>
      <c r="F3916" s="2"/>
      <c r="G3916" s="3" t="s">
        <v>5</v>
      </c>
      <c r="H3916" s="3" t="s">
        <v>6</v>
      </c>
      <c r="I3916" s="4" t="s">
        <v>7</v>
      </c>
      <c r="J3916" s="5"/>
      <c r="K3916" s="5"/>
      <c r="L3916" s="5"/>
    </row>
    <row r="3917" spans="1:12" x14ac:dyDescent="0.25">
      <c r="A3917" s="91" t="s">
        <v>549</v>
      </c>
      <c r="B3917" s="92" t="s">
        <v>42</v>
      </c>
      <c r="C3917" s="64"/>
      <c r="D3917" s="66"/>
      <c r="E3917" s="2"/>
      <c r="F3917" s="2"/>
      <c r="G3917" s="91" t="s">
        <v>299</v>
      </c>
      <c r="H3917" s="66"/>
      <c r="I3917" s="33"/>
      <c r="J3917" s="6"/>
      <c r="K3917" s="33"/>
      <c r="L3917" s="6"/>
    </row>
    <row r="3918" spans="1:12" x14ac:dyDescent="0.25">
      <c r="A3918" s="7" t="s">
        <v>2</v>
      </c>
      <c r="B3918" s="5"/>
      <c r="C3918" s="5"/>
      <c r="D3918" s="5"/>
      <c r="E3918" s="5"/>
      <c r="F3918" s="5"/>
      <c r="G3918" s="8" t="s">
        <v>8</v>
      </c>
      <c r="H3918" s="93">
        <v>3</v>
      </c>
      <c r="I3918" s="5"/>
      <c r="J3918" s="5"/>
      <c r="K3918" s="5"/>
      <c r="L3918" s="5"/>
    </row>
    <row r="3919" spans="1:12" x14ac:dyDescent="0.25">
      <c r="A3919" s="7" t="s">
        <v>25</v>
      </c>
      <c r="B3919" s="5"/>
      <c r="C3919" s="7" t="s">
        <v>0</v>
      </c>
      <c r="D3919" s="5"/>
      <c r="E3919" s="5"/>
      <c r="F3919" s="5"/>
      <c r="G3919" s="7" t="s">
        <v>25</v>
      </c>
      <c r="H3919" s="5"/>
      <c r="I3919" s="7" t="s">
        <v>0</v>
      </c>
      <c r="J3919" s="5"/>
      <c r="K3919" s="5"/>
      <c r="L3919" s="5"/>
    </row>
    <row r="3920" spans="1:12" x14ac:dyDescent="0.25">
      <c r="A3920" s="42" t="s">
        <v>552</v>
      </c>
      <c r="B3920" s="6"/>
      <c r="C3920" s="31">
        <f>L3879</f>
        <v>1065424</v>
      </c>
      <c r="D3920" s="5"/>
      <c r="E3920" s="5"/>
      <c r="F3920" s="5"/>
      <c r="G3920" s="42"/>
      <c r="H3920" s="6"/>
      <c r="I3920" s="9"/>
      <c r="J3920" s="5"/>
      <c r="K3920" s="5"/>
      <c r="L3920" s="5"/>
    </row>
    <row r="3921" spans="1:12" ht="16.5" thickBot="1" x14ac:dyDescent="0.3">
      <c r="A3921" s="7"/>
      <c r="B3921" s="62"/>
      <c r="C3921" s="62"/>
      <c r="D3921" s="62"/>
      <c r="E3921" s="5"/>
      <c r="F3921" s="5"/>
      <c r="G3921" s="10"/>
      <c r="H3921" s="5"/>
      <c r="I3921" s="5"/>
      <c r="J3921" s="5"/>
      <c r="K3921" s="5"/>
      <c r="L3921" s="5"/>
    </row>
    <row r="3922" spans="1:12" ht="15.75" thickBot="1" x14ac:dyDescent="0.3">
      <c r="A3922" s="121" t="s">
        <v>9</v>
      </c>
      <c r="B3922" s="122"/>
      <c r="C3922" s="123"/>
      <c r="D3922" s="5"/>
      <c r="E3922" s="5"/>
      <c r="F3922" s="5"/>
      <c r="G3922" s="121" t="s">
        <v>26</v>
      </c>
      <c r="H3922" s="122"/>
      <c r="I3922" s="123"/>
      <c r="J3922" s="5"/>
      <c r="K3922" s="5"/>
      <c r="L3922" s="5"/>
    </row>
    <row r="3923" spans="1:12" x14ac:dyDescent="0.25">
      <c r="A3923" s="30" t="s">
        <v>38</v>
      </c>
      <c r="B3923" s="11"/>
      <c r="C3923" s="11"/>
      <c r="D3923" s="11"/>
      <c r="E3923" s="6"/>
      <c r="F3923" s="5"/>
      <c r="G3923" s="30" t="str">
        <f>A3926</f>
        <v>Johannesburg</v>
      </c>
      <c r="H3923" s="11"/>
      <c r="I3923" s="11"/>
      <c r="J3923" s="11"/>
      <c r="K3923" s="11"/>
      <c r="L3923" s="6"/>
    </row>
    <row r="3924" spans="1:12" ht="15.75" thickBot="1" x14ac:dyDescent="0.3">
      <c r="A3924" s="7"/>
      <c r="B3924" s="7"/>
      <c r="C3924" s="7"/>
      <c r="D3924" s="5"/>
      <c r="E3924" s="5"/>
      <c r="F3924" s="5"/>
      <c r="G3924" s="7"/>
      <c r="H3924" s="7"/>
      <c r="I3924" s="7"/>
      <c r="J3924" s="5"/>
      <c r="K3924" s="5"/>
      <c r="L3924" s="5"/>
    </row>
    <row r="3925" spans="1:12" ht="15.75" thickBot="1" x14ac:dyDescent="0.3">
      <c r="A3925" s="121"/>
      <c r="B3925" s="122"/>
      <c r="C3925" s="124"/>
      <c r="D3925" s="12" t="s">
        <v>1</v>
      </c>
      <c r="E3925" s="32"/>
      <c r="F3925" s="5"/>
      <c r="G3925" s="121" t="s">
        <v>27</v>
      </c>
      <c r="H3925" s="122"/>
      <c r="I3925" s="123"/>
      <c r="J3925" s="5"/>
      <c r="K3925" s="12" t="s">
        <v>1</v>
      </c>
      <c r="L3925" s="32">
        <v>1068380</v>
      </c>
    </row>
    <row r="3926" spans="1:12" x14ac:dyDescent="0.25">
      <c r="A3926" s="30" t="s">
        <v>68</v>
      </c>
      <c r="B3926" s="11"/>
      <c r="C3926" s="11"/>
      <c r="D3926" s="11"/>
      <c r="E3926" s="6"/>
      <c r="F3926" s="5"/>
      <c r="G3926" s="30" t="s">
        <v>364</v>
      </c>
      <c r="H3926" s="11"/>
      <c r="I3926" s="11"/>
      <c r="J3926" s="11"/>
      <c r="K3926" s="11"/>
      <c r="L3926" s="6"/>
    </row>
    <row r="3927" spans="1:12" x14ac:dyDescent="0.25">
      <c r="A3927" s="76"/>
      <c r="B3927" s="11"/>
      <c r="C3927" s="11"/>
      <c r="D3927" s="11"/>
      <c r="E3927" s="6"/>
      <c r="F3927" s="5"/>
      <c r="G3927" s="34"/>
      <c r="H3927" s="11"/>
      <c r="I3927" s="11"/>
      <c r="J3927" s="11"/>
      <c r="K3927" s="11"/>
      <c r="L3927" s="6"/>
    </row>
    <row r="3928" spans="1:12" x14ac:dyDescent="0.25">
      <c r="A3928" s="13"/>
      <c r="B3928" s="11"/>
      <c r="C3928" s="11"/>
      <c r="D3928" s="11"/>
      <c r="E3928" s="6"/>
      <c r="F3928" s="5"/>
      <c r="G3928" s="13"/>
      <c r="H3928" s="11"/>
      <c r="I3928" s="11"/>
      <c r="J3928" s="11"/>
      <c r="K3928" s="11"/>
      <c r="L3928" s="6"/>
    </row>
    <row r="3929" spans="1:12" x14ac:dyDescent="0.25">
      <c r="A3929" s="13"/>
      <c r="B3929" s="11"/>
      <c r="C3929" s="11"/>
      <c r="D3929" s="11"/>
      <c r="E3929" s="6"/>
      <c r="F3929" s="5"/>
      <c r="G3929" s="13"/>
      <c r="H3929" s="11"/>
      <c r="I3929" s="11"/>
      <c r="J3929" s="11"/>
      <c r="K3929" s="11"/>
      <c r="L3929" s="6"/>
    </row>
    <row r="3930" spans="1:12" ht="15.75" thickBot="1" x14ac:dyDescent="0.3">
      <c r="A3930" s="13"/>
      <c r="B3930" s="11"/>
      <c r="C3930" s="11" t="s">
        <v>29</v>
      </c>
      <c r="D3930" s="43"/>
      <c r="E3930" s="6"/>
      <c r="F3930" s="5"/>
      <c r="G3930" s="13"/>
      <c r="H3930" s="11"/>
      <c r="I3930" s="14" t="s">
        <v>28</v>
      </c>
      <c r="J3930" s="43"/>
      <c r="K3930" s="59"/>
      <c r="L3930" s="6"/>
    </row>
    <row r="3931" spans="1:12" ht="15.75" thickBot="1" x14ac:dyDescent="0.3">
      <c r="A3931" s="15" t="s">
        <v>10</v>
      </c>
      <c r="B3931" s="5"/>
      <c r="C3931" s="5"/>
      <c r="D3931" s="5">
        <v>665.64</v>
      </c>
      <c r="E3931" s="5"/>
      <c r="F3931" s="5"/>
      <c r="G3931" s="15" t="s">
        <v>14</v>
      </c>
      <c r="H3931" s="5"/>
      <c r="I3931" s="5"/>
      <c r="J3931" s="5"/>
      <c r="K3931" s="5"/>
      <c r="L3931" s="5"/>
    </row>
    <row r="3932" spans="1:12" ht="15.75" thickBot="1" x14ac:dyDescent="0.3">
      <c r="A3932" s="121" t="s">
        <v>11</v>
      </c>
      <c r="B3932" s="122"/>
      <c r="C3932" s="123"/>
      <c r="D3932" s="16" t="s">
        <v>12</v>
      </c>
      <c r="E3932" s="16" t="s">
        <v>13</v>
      </c>
      <c r="F3932" s="5"/>
      <c r="G3932" s="121" t="s">
        <v>15</v>
      </c>
      <c r="H3932" s="122"/>
      <c r="I3932" s="123"/>
      <c r="J3932" s="121"/>
      <c r="K3932" s="123"/>
      <c r="L3932" s="5"/>
    </row>
    <row r="3933" spans="1:12" x14ac:dyDescent="0.25">
      <c r="A3933" s="94" t="s">
        <v>553</v>
      </c>
      <c r="B3933" s="46" t="s">
        <v>534</v>
      </c>
      <c r="C3933" s="47"/>
      <c r="D3933" s="56">
        <f>408.53+303.32</f>
        <v>711.84999999999991</v>
      </c>
      <c r="E3933" s="57">
        <v>15660</v>
      </c>
      <c r="F3933" s="44">
        <f>E3933/D3933</f>
        <v>21.999016646765472</v>
      </c>
      <c r="G3933" s="125" t="s">
        <v>69</v>
      </c>
      <c r="H3933" s="126"/>
      <c r="I3933" s="127"/>
      <c r="J3933" s="128">
        <f>355+355</f>
        <v>710</v>
      </c>
      <c r="K3933" s="129"/>
      <c r="L3933" s="5"/>
    </row>
    <row r="3934" spans="1:12" x14ac:dyDescent="0.25">
      <c r="A3934" s="94" t="s">
        <v>554</v>
      </c>
      <c r="B3934" s="46" t="s">
        <v>47</v>
      </c>
      <c r="C3934" s="47"/>
      <c r="D3934" s="56">
        <f>118.012+550.002</f>
        <v>668.0139999999999</v>
      </c>
      <c r="E3934" s="57">
        <v>12144.42</v>
      </c>
      <c r="F3934" s="44">
        <f>E3934/D3934</f>
        <v>18.179888445451745</v>
      </c>
      <c r="G3934" s="110" t="s">
        <v>59</v>
      </c>
      <c r="H3934" s="111"/>
      <c r="I3934" s="112"/>
      <c r="J3934" s="113"/>
      <c r="K3934" s="114"/>
      <c r="L3934" s="5"/>
    </row>
    <row r="3935" spans="1:12" x14ac:dyDescent="0.25">
      <c r="A3935" s="94"/>
      <c r="B3935" s="46"/>
      <c r="C3935" s="47"/>
      <c r="D3935" s="56"/>
      <c r="E3935" s="57"/>
      <c r="F3935" s="44"/>
      <c r="G3935" s="110" t="s">
        <v>61</v>
      </c>
      <c r="H3935" s="111"/>
      <c r="I3935" s="112"/>
      <c r="J3935" s="113"/>
      <c r="K3935" s="114"/>
      <c r="L3935" s="5"/>
    </row>
    <row r="3936" spans="1:12" x14ac:dyDescent="0.25">
      <c r="A3936" s="94"/>
      <c r="B3936" s="46"/>
      <c r="C3936" s="47"/>
      <c r="D3936" s="56"/>
      <c r="E3936" s="57"/>
      <c r="F3936" s="44"/>
      <c r="G3936" s="110" t="s">
        <v>51</v>
      </c>
      <c r="H3936" s="111"/>
      <c r="I3936" s="112"/>
      <c r="J3936" s="113"/>
      <c r="K3936" s="114"/>
      <c r="L3936" s="5"/>
    </row>
    <row r="3937" spans="1:12" x14ac:dyDescent="0.25">
      <c r="A3937" s="48"/>
      <c r="B3937" s="46"/>
      <c r="C3937" s="39"/>
      <c r="D3937" s="52"/>
      <c r="E3937" s="53"/>
      <c r="F3937" s="44"/>
      <c r="G3937" s="110" t="s">
        <v>58</v>
      </c>
      <c r="H3937" s="111"/>
      <c r="I3937" s="112"/>
      <c r="J3937" s="113"/>
      <c r="K3937" s="114"/>
      <c r="L3937" s="5"/>
    </row>
    <row r="3938" spans="1:12" x14ac:dyDescent="0.25">
      <c r="A3938" s="48"/>
      <c r="B3938" s="35"/>
      <c r="C3938" s="39"/>
      <c r="D3938" s="52"/>
      <c r="E3938" s="53"/>
      <c r="F3938" s="44"/>
      <c r="G3938" s="110" t="s">
        <v>51</v>
      </c>
      <c r="H3938" s="111"/>
      <c r="I3938" s="112"/>
      <c r="J3938" s="113"/>
      <c r="K3938" s="114"/>
      <c r="L3938" s="5"/>
    </row>
    <row r="3939" spans="1:12" x14ac:dyDescent="0.25">
      <c r="A3939" s="48"/>
      <c r="B3939" s="35"/>
      <c r="C3939" s="39"/>
      <c r="D3939" s="52"/>
      <c r="E3939" s="53"/>
      <c r="F3939" s="44"/>
      <c r="G3939" s="77"/>
      <c r="H3939" s="78" t="s">
        <v>69</v>
      </c>
      <c r="I3939" s="79"/>
      <c r="J3939" s="113"/>
      <c r="K3939" s="114"/>
      <c r="L3939" s="5"/>
    </row>
    <row r="3940" spans="1:12" x14ac:dyDescent="0.25">
      <c r="A3940" s="38"/>
      <c r="B3940" s="35"/>
      <c r="C3940" s="39"/>
      <c r="D3940" s="52"/>
      <c r="E3940" s="53"/>
      <c r="F3940" s="44"/>
      <c r="G3940" s="77"/>
      <c r="H3940" s="78" t="s">
        <v>72</v>
      </c>
      <c r="I3940" s="79"/>
      <c r="J3940" s="113"/>
      <c r="K3940" s="114"/>
      <c r="L3940" s="5"/>
    </row>
    <row r="3941" spans="1:12" ht="15.75" thickBot="1" x14ac:dyDescent="0.3">
      <c r="A3941" s="5"/>
      <c r="B3941" s="5"/>
      <c r="C3941" s="7" t="s">
        <v>35</v>
      </c>
      <c r="D3941" s="17">
        <f>SUM(D3933:D3940)</f>
        <v>1379.8639999999998</v>
      </c>
      <c r="E3941" s="17">
        <f>SUM(E3933:E3940)</f>
        <v>27804.42</v>
      </c>
      <c r="F3941" s="89">
        <f>AVERAGE(F3933:F3937)</f>
        <v>20.08945254610861</v>
      </c>
      <c r="G3941" s="110" t="s">
        <v>73</v>
      </c>
      <c r="H3941" s="111"/>
      <c r="I3941" s="112"/>
      <c r="J3941" s="113"/>
      <c r="K3941" s="114"/>
      <c r="L3941" s="7" t="s">
        <v>36</v>
      </c>
    </row>
    <row r="3942" spans="1:12" ht="15.75" thickBot="1" x14ac:dyDescent="0.3">
      <c r="A3942" s="5"/>
      <c r="B3942" s="5"/>
      <c r="C3942" s="5"/>
      <c r="D3942" s="5"/>
      <c r="E3942" s="5"/>
      <c r="F3942" s="5"/>
      <c r="G3942" s="130"/>
      <c r="H3942" s="131"/>
      <c r="I3942" s="132"/>
      <c r="J3942" s="133"/>
      <c r="K3942" s="134"/>
      <c r="L3942" s="18">
        <f>J3933+J3934+J3935+J3936+J3937+J3938+J3939+J3940+J3941</f>
        <v>710</v>
      </c>
    </row>
    <row r="3943" spans="1:12" ht="15.75" thickBot="1" x14ac:dyDescent="0.3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</row>
    <row r="3944" spans="1:12" ht="15.75" thickBot="1" x14ac:dyDescent="0.3">
      <c r="A3944" s="19"/>
      <c r="B3944" s="20"/>
      <c r="C3944" s="20"/>
      <c r="D3944" s="20"/>
      <c r="E3944" s="21" t="s">
        <v>13</v>
      </c>
      <c r="F3944" s="5"/>
      <c r="G3944" s="19"/>
      <c r="H3944" s="20"/>
      <c r="I3944" s="20"/>
      <c r="J3944" s="20"/>
      <c r="K3944" s="21" t="s">
        <v>13</v>
      </c>
      <c r="L3944" s="5"/>
    </row>
    <row r="3945" spans="1:12" x14ac:dyDescent="0.25">
      <c r="A3945" s="22" t="s">
        <v>31</v>
      </c>
      <c r="B3945" s="115">
        <v>18078</v>
      </c>
      <c r="C3945" s="116"/>
      <c r="D3945" s="116"/>
      <c r="E3945" s="117"/>
      <c r="F3945" s="5"/>
      <c r="G3945" s="22" t="s">
        <v>32</v>
      </c>
      <c r="H3945" s="115">
        <v>43000</v>
      </c>
      <c r="I3945" s="116"/>
      <c r="J3945" s="116"/>
      <c r="K3945" s="117"/>
      <c r="L3945" s="5"/>
    </row>
    <row r="3946" spans="1:12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</row>
    <row r="3947" spans="1:12" x14ac:dyDescent="0.25">
      <c r="A3947" s="7" t="s">
        <v>16</v>
      </c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</row>
    <row r="3948" spans="1:12" x14ac:dyDescent="0.25">
      <c r="A3948" s="9" t="s">
        <v>17</v>
      </c>
      <c r="B3948" s="23">
        <f>L3925-C3920</f>
        <v>2956</v>
      </c>
      <c r="C3948" s="5"/>
      <c r="D3948" s="106" t="s">
        <v>18</v>
      </c>
      <c r="E3948" s="107"/>
      <c r="F3948" s="24" t="s">
        <v>19</v>
      </c>
      <c r="G3948" s="9" t="s">
        <v>20</v>
      </c>
      <c r="H3948" s="118">
        <f>B3945+H3945</f>
        <v>61078</v>
      </c>
      <c r="I3948" s="119"/>
      <c r="J3948" s="60"/>
      <c r="K3948" s="5"/>
      <c r="L3948" s="5"/>
    </row>
    <row r="3949" spans="1:12" x14ac:dyDescent="0.25">
      <c r="A3949" s="9" t="s">
        <v>41</v>
      </c>
      <c r="B3949" s="40">
        <f>B3948/D3941</f>
        <v>2.1422401048219246</v>
      </c>
      <c r="C3949" s="5"/>
      <c r="D3949" s="102">
        <f>E3941</f>
        <v>27804.42</v>
      </c>
      <c r="E3949" s="103"/>
      <c r="F3949" s="25">
        <f>H3949/B3948</f>
        <v>12.14073748308525</v>
      </c>
      <c r="G3949" s="9" t="s">
        <v>21</v>
      </c>
      <c r="H3949" s="104">
        <f>L3942+D3949+D3951+D3953+D3955+A3952</f>
        <v>35888.019999999997</v>
      </c>
      <c r="I3949" s="105"/>
      <c r="J3949" s="5"/>
      <c r="K3949" s="5"/>
      <c r="L3949" s="5"/>
    </row>
    <row r="3950" spans="1:12" x14ac:dyDescent="0.25">
      <c r="A3950" s="9" t="s">
        <v>43</v>
      </c>
      <c r="B3950" s="23">
        <f>D3941/B3948*100</f>
        <v>46.68010825439783</v>
      </c>
      <c r="C3950" s="5"/>
      <c r="D3950" s="106" t="s">
        <v>33</v>
      </c>
      <c r="E3950" s="107"/>
      <c r="F3950" s="5"/>
      <c r="G3950" s="13" t="s">
        <v>22</v>
      </c>
      <c r="H3950" s="6"/>
      <c r="I3950" s="26">
        <f>H3948-H3949</f>
        <v>25189.980000000003</v>
      </c>
      <c r="J3950" s="5"/>
      <c r="K3950" s="5"/>
      <c r="L3950" s="5"/>
    </row>
    <row r="3951" spans="1:12" x14ac:dyDescent="0.25">
      <c r="A3951" s="106" t="s">
        <v>40</v>
      </c>
      <c r="B3951" s="107"/>
      <c r="C3951" s="5"/>
      <c r="D3951" s="149">
        <v>1100</v>
      </c>
      <c r="E3951" s="150"/>
      <c r="F3951" s="5"/>
      <c r="G3951" s="5"/>
      <c r="H3951" s="5"/>
      <c r="I3951" s="5"/>
      <c r="J3951" s="5"/>
      <c r="K3951" s="5"/>
      <c r="L3951" s="5"/>
    </row>
    <row r="3952" spans="1:12" x14ac:dyDescent="0.25">
      <c r="A3952" s="108">
        <f>B3948*0.6</f>
        <v>1773.6</v>
      </c>
      <c r="B3952" s="109"/>
      <c r="C3952" s="5"/>
      <c r="D3952" s="106" t="s">
        <v>34</v>
      </c>
      <c r="E3952" s="107"/>
      <c r="F3952" s="5"/>
      <c r="G3952" s="145" t="s">
        <v>292</v>
      </c>
      <c r="H3952" s="146"/>
      <c r="I3952" s="23">
        <f>B3948/2.3</f>
        <v>1285.217391304348</v>
      </c>
      <c r="J3952" s="60"/>
      <c r="K3952" s="5"/>
      <c r="L3952" s="5"/>
    </row>
    <row r="3953" spans="1:12" x14ac:dyDescent="0.25">
      <c r="A3953" s="5"/>
      <c r="B3953" s="5"/>
      <c r="C3953" s="5"/>
      <c r="D3953" s="108">
        <v>0</v>
      </c>
      <c r="E3953" s="109"/>
      <c r="F3953" s="5"/>
      <c r="G3953" s="145" t="s">
        <v>294</v>
      </c>
      <c r="H3953" s="146"/>
      <c r="I3953" s="23">
        <f>I3952-D3941</f>
        <v>-94.646608695651821</v>
      </c>
      <c r="J3953" s="5"/>
      <c r="K3953" s="5"/>
      <c r="L3953" s="5"/>
    </row>
    <row r="3954" spans="1:12" x14ac:dyDescent="0.25">
      <c r="A3954" s="5"/>
      <c r="B3954" s="5"/>
      <c r="C3954" s="5"/>
      <c r="D3954" s="106" t="s">
        <v>37</v>
      </c>
      <c r="E3954" s="107"/>
      <c r="F3954" s="5"/>
      <c r="G3954" s="147" t="s">
        <v>295</v>
      </c>
      <c r="H3954" s="148"/>
      <c r="I3954" s="86">
        <f>I3953*F3941</f>
        <v>-1901.3985540414078</v>
      </c>
      <c r="J3954" s="87">
        <f>I3950-I3954</f>
        <v>27091.37855404141</v>
      </c>
      <c r="K3954" s="5"/>
      <c r="L3954" s="5"/>
    </row>
    <row r="3955" spans="1:12" x14ac:dyDescent="0.25">
      <c r="A3955" s="5"/>
      <c r="B3955" s="5"/>
      <c r="C3955" s="5"/>
      <c r="D3955" s="108">
        <v>4500</v>
      </c>
      <c r="E3955" s="109"/>
      <c r="F3955" s="5" t="s">
        <v>78</v>
      </c>
      <c r="G3955" s="5"/>
      <c r="H3955" s="5"/>
      <c r="I3955" s="5"/>
      <c r="J3955" s="88" t="s">
        <v>293</v>
      </c>
      <c r="K3955" s="44"/>
      <c r="L3955" s="5"/>
    </row>
    <row r="3957" spans="1:12" s="49" customFormat="1" x14ac:dyDescent="0.25"/>
    <row r="3960" spans="1:12" x14ac:dyDescent="0.25">
      <c r="A3960" s="120" t="s">
        <v>24</v>
      </c>
      <c r="B3960" s="120"/>
      <c r="C3960" s="120"/>
      <c r="D3960" s="120"/>
      <c r="E3960" s="120"/>
      <c r="F3960" s="120"/>
      <c r="G3960" s="120"/>
      <c r="H3960" s="120"/>
      <c r="I3960" s="120"/>
      <c r="J3960" s="120"/>
      <c r="K3960" s="120"/>
      <c r="L3960" s="120"/>
    </row>
    <row r="3961" spans="1:12" x14ac:dyDescent="0.25">
      <c r="A3961" s="120"/>
      <c r="B3961" s="120"/>
      <c r="C3961" s="120"/>
      <c r="D3961" s="120"/>
      <c r="E3961" s="120"/>
      <c r="F3961" s="120"/>
      <c r="G3961" s="120"/>
      <c r="H3961" s="120"/>
      <c r="I3961" s="120"/>
      <c r="J3961" s="120"/>
      <c r="K3961" s="120"/>
      <c r="L3961" s="120"/>
    </row>
    <row r="3962" spans="1:12" x14ac:dyDescent="0.25">
      <c r="A3962" s="1" t="s">
        <v>4</v>
      </c>
      <c r="B3962" s="2"/>
      <c r="C3962" s="90"/>
      <c r="D3962" s="2"/>
      <c r="E3962" s="2"/>
      <c r="F3962" s="2"/>
      <c r="G3962" s="3" t="s">
        <v>5</v>
      </c>
      <c r="H3962" s="3" t="s">
        <v>6</v>
      </c>
      <c r="I3962" s="4" t="s">
        <v>7</v>
      </c>
      <c r="J3962" s="5"/>
      <c r="K3962" s="5"/>
      <c r="L3962" s="5"/>
    </row>
    <row r="3963" spans="1:12" x14ac:dyDescent="0.25">
      <c r="A3963" s="91" t="s">
        <v>549</v>
      </c>
      <c r="B3963" s="92" t="s">
        <v>42</v>
      </c>
      <c r="C3963" s="64"/>
      <c r="D3963" s="66"/>
      <c r="E3963" s="2"/>
      <c r="F3963" s="2"/>
      <c r="G3963" s="91" t="s">
        <v>299</v>
      </c>
      <c r="H3963" s="66"/>
      <c r="I3963" s="33"/>
      <c r="J3963" s="6"/>
      <c r="K3963" s="33"/>
      <c r="L3963" s="6"/>
    </row>
    <row r="3964" spans="1:12" x14ac:dyDescent="0.25">
      <c r="A3964" s="7" t="s">
        <v>2</v>
      </c>
      <c r="B3964" s="5"/>
      <c r="C3964" s="5"/>
      <c r="D3964" s="5"/>
      <c r="E3964" s="5"/>
      <c r="F3964" s="5"/>
      <c r="G3964" s="8" t="s">
        <v>8</v>
      </c>
      <c r="H3964" s="93">
        <v>3</v>
      </c>
      <c r="I3964" s="5"/>
      <c r="J3964" s="5"/>
      <c r="K3964" s="5"/>
      <c r="L3964" s="5"/>
    </row>
    <row r="3965" spans="1:12" x14ac:dyDescent="0.25">
      <c r="A3965" s="7" t="s">
        <v>25</v>
      </c>
      <c r="B3965" s="5"/>
      <c r="C3965" s="7" t="s">
        <v>0</v>
      </c>
      <c r="D3965" s="5"/>
      <c r="E3965" s="5"/>
      <c r="F3965" s="5"/>
      <c r="G3965" s="7" t="s">
        <v>25</v>
      </c>
      <c r="H3965" s="5"/>
      <c r="I3965" s="7" t="s">
        <v>0</v>
      </c>
      <c r="J3965" s="5"/>
      <c r="K3965" s="5"/>
      <c r="L3965" s="5"/>
    </row>
    <row r="3966" spans="1:12" x14ac:dyDescent="0.25">
      <c r="A3966" s="42" t="s">
        <v>554</v>
      </c>
      <c r="B3966" s="6"/>
      <c r="C3966" s="31">
        <f>L3925</f>
        <v>1068380</v>
      </c>
      <c r="D3966" s="5"/>
      <c r="E3966" s="5"/>
      <c r="F3966" s="5"/>
      <c r="G3966" s="42"/>
      <c r="H3966" s="6"/>
      <c r="I3966" s="9"/>
      <c r="J3966" s="5"/>
      <c r="K3966" s="5"/>
      <c r="L3966" s="5"/>
    </row>
    <row r="3967" spans="1:12" ht="16.5" thickBot="1" x14ac:dyDescent="0.3">
      <c r="A3967" s="7"/>
      <c r="B3967" s="62"/>
      <c r="C3967" s="62"/>
      <c r="D3967" s="62"/>
      <c r="E3967" s="5"/>
      <c r="F3967" s="5"/>
      <c r="G3967" s="10"/>
      <c r="H3967" s="5"/>
      <c r="I3967" s="5"/>
      <c r="J3967" s="5"/>
      <c r="K3967" s="5"/>
      <c r="L3967" s="5"/>
    </row>
    <row r="3968" spans="1:12" ht="15.75" thickBot="1" x14ac:dyDescent="0.3">
      <c r="A3968" s="121" t="s">
        <v>9</v>
      </c>
      <c r="B3968" s="122"/>
      <c r="C3968" s="123"/>
      <c r="D3968" s="5"/>
      <c r="E3968" s="5"/>
      <c r="F3968" s="5"/>
      <c r="G3968" s="121" t="s">
        <v>26</v>
      </c>
      <c r="H3968" s="122"/>
      <c r="I3968" s="123"/>
      <c r="J3968" s="5"/>
      <c r="K3968" s="5"/>
      <c r="L3968" s="5"/>
    </row>
    <row r="3969" spans="1:12" x14ac:dyDescent="0.25">
      <c r="A3969" s="30" t="s">
        <v>38</v>
      </c>
      <c r="B3969" s="11"/>
      <c r="C3969" s="11"/>
      <c r="D3969" s="11"/>
      <c r="E3969" s="6"/>
      <c r="F3969" s="5"/>
      <c r="G3969" s="30" t="str">
        <f>A3972</f>
        <v>Johannesburg</v>
      </c>
      <c r="H3969" s="11"/>
      <c r="I3969" s="11"/>
      <c r="J3969" s="11"/>
      <c r="K3969" s="11"/>
      <c r="L3969" s="6"/>
    </row>
    <row r="3970" spans="1:12" ht="15.75" thickBot="1" x14ac:dyDescent="0.3">
      <c r="A3970" s="7"/>
      <c r="B3970" s="7"/>
      <c r="C3970" s="7"/>
      <c r="D3970" s="5"/>
      <c r="E3970" s="5"/>
      <c r="F3970" s="5"/>
      <c r="G3970" s="7"/>
      <c r="H3970" s="7"/>
      <c r="I3970" s="7"/>
      <c r="J3970" s="5"/>
      <c r="K3970" s="5"/>
      <c r="L3970" s="5"/>
    </row>
    <row r="3971" spans="1:12" ht="15.75" thickBot="1" x14ac:dyDescent="0.3">
      <c r="A3971" s="121"/>
      <c r="B3971" s="122"/>
      <c r="C3971" s="124"/>
      <c r="D3971" s="12" t="s">
        <v>1</v>
      </c>
      <c r="E3971" s="32"/>
      <c r="F3971" s="5"/>
      <c r="G3971" s="121" t="s">
        <v>27</v>
      </c>
      <c r="H3971" s="122"/>
      <c r="I3971" s="123"/>
      <c r="J3971" s="5"/>
      <c r="K3971" s="12" t="s">
        <v>1</v>
      </c>
      <c r="L3971" s="32">
        <v>1071334</v>
      </c>
    </row>
    <row r="3972" spans="1:12" x14ac:dyDescent="0.25">
      <c r="A3972" s="30" t="s">
        <v>68</v>
      </c>
      <c r="B3972" s="11"/>
      <c r="C3972" s="11"/>
      <c r="D3972" s="11"/>
      <c r="E3972" s="6"/>
      <c r="F3972" s="5"/>
      <c r="G3972" s="30" t="s">
        <v>364</v>
      </c>
      <c r="H3972" s="11"/>
      <c r="I3972" s="11"/>
      <c r="J3972" s="11"/>
      <c r="K3972" s="11"/>
      <c r="L3972" s="6"/>
    </row>
    <row r="3973" spans="1:12" x14ac:dyDescent="0.25">
      <c r="A3973" s="76"/>
      <c r="B3973" s="11"/>
      <c r="C3973" s="11"/>
      <c r="D3973" s="11"/>
      <c r="E3973" s="6"/>
      <c r="F3973" s="5"/>
      <c r="G3973" s="34"/>
      <c r="H3973" s="11"/>
      <c r="I3973" s="11"/>
      <c r="J3973" s="11"/>
      <c r="K3973" s="11"/>
      <c r="L3973" s="6"/>
    </row>
    <row r="3974" spans="1:12" x14ac:dyDescent="0.25">
      <c r="A3974" s="13"/>
      <c r="B3974" s="11"/>
      <c r="C3974" s="11"/>
      <c r="D3974" s="11"/>
      <c r="E3974" s="6"/>
      <c r="F3974" s="5"/>
      <c r="G3974" s="13"/>
      <c r="H3974" s="11"/>
      <c r="I3974" s="11"/>
      <c r="J3974" s="11"/>
      <c r="K3974" s="11"/>
      <c r="L3974" s="6"/>
    </row>
    <row r="3975" spans="1:12" x14ac:dyDescent="0.25">
      <c r="A3975" s="13"/>
      <c r="B3975" s="11"/>
      <c r="C3975" s="11"/>
      <c r="D3975" s="11"/>
      <c r="E3975" s="6"/>
      <c r="F3975" s="5"/>
      <c r="G3975" s="13"/>
      <c r="H3975" s="11"/>
      <c r="I3975" s="11"/>
      <c r="J3975" s="11"/>
      <c r="K3975" s="11"/>
      <c r="L3975" s="6"/>
    </row>
    <row r="3976" spans="1:12" ht="15.75" thickBot="1" x14ac:dyDescent="0.3">
      <c r="A3976" s="13"/>
      <c r="B3976" s="11"/>
      <c r="C3976" s="11" t="s">
        <v>29</v>
      </c>
      <c r="D3976" s="43"/>
      <c r="E3976" s="6"/>
      <c r="F3976" s="5"/>
      <c r="G3976" s="13"/>
      <c r="H3976" s="11"/>
      <c r="I3976" s="14" t="s">
        <v>28</v>
      </c>
      <c r="J3976" s="43"/>
      <c r="K3976" s="59"/>
      <c r="L3976" s="6"/>
    </row>
    <row r="3977" spans="1:12" ht="15.75" thickBot="1" x14ac:dyDescent="0.3">
      <c r="A3977" s="15" t="s">
        <v>10</v>
      </c>
      <c r="B3977" s="5"/>
      <c r="C3977" s="5"/>
      <c r="D3977" s="5">
        <v>665.64</v>
      </c>
      <c r="E3977" s="5"/>
      <c r="F3977" s="5"/>
      <c r="G3977" s="15" t="s">
        <v>14</v>
      </c>
      <c r="H3977" s="5"/>
      <c r="I3977" s="5"/>
      <c r="J3977" s="5"/>
      <c r="K3977" s="5"/>
      <c r="L3977" s="5"/>
    </row>
    <row r="3978" spans="1:12" ht="15.75" thickBot="1" x14ac:dyDescent="0.3">
      <c r="A3978" s="121" t="s">
        <v>11</v>
      </c>
      <c r="B3978" s="122"/>
      <c r="C3978" s="123"/>
      <c r="D3978" s="16" t="s">
        <v>12</v>
      </c>
      <c r="E3978" s="16" t="s">
        <v>13</v>
      </c>
      <c r="F3978" s="5"/>
      <c r="G3978" s="121" t="s">
        <v>15</v>
      </c>
      <c r="H3978" s="122"/>
      <c r="I3978" s="123"/>
      <c r="J3978" s="121"/>
      <c r="K3978" s="123"/>
      <c r="L3978" s="5"/>
    </row>
    <row r="3979" spans="1:12" x14ac:dyDescent="0.25">
      <c r="A3979" s="94" t="s">
        <v>555</v>
      </c>
      <c r="B3979" s="46" t="s">
        <v>556</v>
      </c>
      <c r="C3979" s="47"/>
      <c r="D3979" s="56">
        <v>701.96500000000003</v>
      </c>
      <c r="E3979" s="57">
        <v>15717</v>
      </c>
      <c r="F3979" s="44">
        <f>E3979/D3979</f>
        <v>22.39000519968944</v>
      </c>
      <c r="G3979" s="125" t="s">
        <v>69</v>
      </c>
      <c r="H3979" s="126"/>
      <c r="I3979" s="127"/>
      <c r="J3979" s="128">
        <f>355+355</f>
        <v>710</v>
      </c>
      <c r="K3979" s="129"/>
      <c r="L3979" s="5"/>
    </row>
    <row r="3980" spans="1:12" x14ac:dyDescent="0.25">
      <c r="A3980" s="94">
        <v>45699</v>
      </c>
      <c r="B3980" s="46" t="s">
        <v>47</v>
      </c>
      <c r="C3980" s="47"/>
      <c r="D3980" s="56">
        <v>524.58000000000004</v>
      </c>
      <c r="E3980" s="57">
        <v>9536.86</v>
      </c>
      <c r="F3980" s="44">
        <f>E3980/D3980</f>
        <v>18.179991612337489</v>
      </c>
      <c r="G3980" s="110" t="s">
        <v>59</v>
      </c>
      <c r="H3980" s="111"/>
      <c r="I3980" s="112"/>
      <c r="J3980" s="113"/>
      <c r="K3980" s="114"/>
      <c r="L3980" s="5"/>
    </row>
    <row r="3981" spans="1:12" x14ac:dyDescent="0.25">
      <c r="A3981" s="94"/>
      <c r="B3981" s="46"/>
      <c r="C3981" s="47"/>
      <c r="D3981" s="56"/>
      <c r="E3981" s="57"/>
      <c r="F3981" s="44"/>
      <c r="G3981" s="110" t="s">
        <v>61</v>
      </c>
      <c r="H3981" s="111"/>
      <c r="I3981" s="112"/>
      <c r="J3981" s="113"/>
      <c r="K3981" s="114"/>
      <c r="L3981" s="5"/>
    </row>
    <row r="3982" spans="1:12" x14ac:dyDescent="0.25">
      <c r="A3982" s="94"/>
      <c r="B3982" s="46"/>
      <c r="C3982" s="47"/>
      <c r="D3982" s="56"/>
      <c r="E3982" s="57"/>
      <c r="F3982" s="44"/>
      <c r="G3982" s="110" t="s">
        <v>51</v>
      </c>
      <c r="H3982" s="111"/>
      <c r="I3982" s="112"/>
      <c r="J3982" s="113"/>
      <c r="K3982" s="114"/>
      <c r="L3982" s="5"/>
    </row>
    <row r="3983" spans="1:12" x14ac:dyDescent="0.25">
      <c r="A3983" s="48"/>
      <c r="B3983" s="46"/>
      <c r="C3983" s="39"/>
      <c r="D3983" s="52"/>
      <c r="E3983" s="53"/>
      <c r="F3983" s="44"/>
      <c r="G3983" s="110" t="s">
        <v>58</v>
      </c>
      <c r="H3983" s="111"/>
      <c r="I3983" s="112"/>
      <c r="J3983" s="113"/>
      <c r="K3983" s="114"/>
      <c r="L3983" s="5"/>
    </row>
    <row r="3984" spans="1:12" x14ac:dyDescent="0.25">
      <c r="A3984" s="48"/>
      <c r="B3984" s="35"/>
      <c r="C3984" s="39"/>
      <c r="D3984" s="52"/>
      <c r="E3984" s="53"/>
      <c r="F3984" s="44"/>
      <c r="G3984" s="110" t="s">
        <v>51</v>
      </c>
      <c r="H3984" s="111"/>
      <c r="I3984" s="112"/>
      <c r="J3984" s="113"/>
      <c r="K3984" s="114"/>
      <c r="L3984" s="5"/>
    </row>
    <row r="3985" spans="1:12" x14ac:dyDescent="0.25">
      <c r="A3985" s="48"/>
      <c r="B3985" s="35"/>
      <c r="C3985" s="39"/>
      <c r="D3985" s="52"/>
      <c r="E3985" s="53"/>
      <c r="F3985" s="44"/>
      <c r="G3985" s="77"/>
      <c r="H3985" s="78" t="s">
        <v>69</v>
      </c>
      <c r="I3985" s="79"/>
      <c r="J3985" s="113"/>
      <c r="K3985" s="114"/>
      <c r="L3985" s="5"/>
    </row>
    <row r="3986" spans="1:12" x14ac:dyDescent="0.25">
      <c r="A3986" s="38"/>
      <c r="B3986" s="35"/>
      <c r="C3986" s="39"/>
      <c r="D3986" s="52"/>
      <c r="E3986" s="53"/>
      <c r="F3986" s="44"/>
      <c r="G3986" s="77"/>
      <c r="H3986" s="78" t="s">
        <v>72</v>
      </c>
      <c r="I3986" s="79"/>
      <c r="J3986" s="113"/>
      <c r="K3986" s="114"/>
      <c r="L3986" s="5"/>
    </row>
    <row r="3987" spans="1:12" ht="15.75" thickBot="1" x14ac:dyDescent="0.3">
      <c r="A3987" s="5"/>
      <c r="B3987" s="5"/>
      <c r="C3987" s="7" t="s">
        <v>35</v>
      </c>
      <c r="D3987" s="17">
        <f>SUM(D3979:D3986)</f>
        <v>1226.5450000000001</v>
      </c>
      <c r="E3987" s="17">
        <f>SUM(E3979:E3986)</f>
        <v>25253.86</v>
      </c>
      <c r="F3987" s="89">
        <f>AVERAGE(F3979:F3983)</f>
        <v>20.284998406013464</v>
      </c>
      <c r="G3987" s="110" t="s">
        <v>73</v>
      </c>
      <c r="H3987" s="111"/>
      <c r="I3987" s="112"/>
      <c r="J3987" s="113"/>
      <c r="K3987" s="114"/>
      <c r="L3987" s="7" t="s">
        <v>36</v>
      </c>
    </row>
    <row r="3988" spans="1:12" ht="15.75" thickBot="1" x14ac:dyDescent="0.3">
      <c r="A3988" s="5"/>
      <c r="B3988" s="5"/>
      <c r="C3988" s="5"/>
      <c r="D3988" s="5"/>
      <c r="E3988" s="5"/>
      <c r="F3988" s="5"/>
      <c r="G3988" s="130"/>
      <c r="H3988" s="131"/>
      <c r="I3988" s="132"/>
      <c r="J3988" s="133"/>
      <c r="K3988" s="134"/>
      <c r="L3988" s="18">
        <f>J3979+J3980+J3981+J3982+J3983+J3984+J3985+J3986+J3987</f>
        <v>710</v>
      </c>
    </row>
    <row r="3989" spans="1:12" ht="15.75" thickBot="1" x14ac:dyDescent="0.3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</row>
    <row r="3990" spans="1:12" ht="15.75" thickBot="1" x14ac:dyDescent="0.3">
      <c r="A3990" s="19"/>
      <c r="B3990" s="20"/>
      <c r="C3990" s="20"/>
      <c r="D3990" s="20"/>
      <c r="E3990" s="21" t="s">
        <v>13</v>
      </c>
      <c r="F3990" s="5"/>
      <c r="G3990" s="19"/>
      <c r="H3990" s="20"/>
      <c r="I3990" s="20"/>
      <c r="J3990" s="20"/>
      <c r="K3990" s="21" t="s">
        <v>13</v>
      </c>
      <c r="L3990" s="5"/>
    </row>
    <row r="3991" spans="1:12" x14ac:dyDescent="0.25">
      <c r="A3991" s="22" t="s">
        <v>31</v>
      </c>
      <c r="B3991" s="115">
        <v>18078</v>
      </c>
      <c r="C3991" s="116"/>
      <c r="D3991" s="116"/>
      <c r="E3991" s="117"/>
      <c r="F3991" s="5"/>
      <c r="G3991" s="22" t="s">
        <v>32</v>
      </c>
      <c r="H3991" s="115">
        <v>43000</v>
      </c>
      <c r="I3991" s="116"/>
      <c r="J3991" s="116"/>
      <c r="K3991" s="117"/>
      <c r="L3991" s="5"/>
    </row>
    <row r="3992" spans="1:12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</row>
    <row r="3993" spans="1:12" x14ac:dyDescent="0.25">
      <c r="A3993" s="7" t="s">
        <v>16</v>
      </c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</row>
    <row r="3994" spans="1:12" x14ac:dyDescent="0.25">
      <c r="A3994" s="9" t="s">
        <v>17</v>
      </c>
      <c r="B3994" s="23">
        <f>L3971-C3966</f>
        <v>2954</v>
      </c>
      <c r="C3994" s="5"/>
      <c r="D3994" s="106" t="s">
        <v>18</v>
      </c>
      <c r="E3994" s="107"/>
      <c r="F3994" s="24" t="s">
        <v>19</v>
      </c>
      <c r="G3994" s="9" t="s">
        <v>20</v>
      </c>
      <c r="H3994" s="118">
        <f>B3991+H3991</f>
        <v>61078</v>
      </c>
      <c r="I3994" s="119"/>
      <c r="J3994" s="60"/>
      <c r="K3994" s="5"/>
      <c r="L3994" s="5"/>
    </row>
    <row r="3995" spans="1:12" x14ac:dyDescent="0.25">
      <c r="A3995" s="9" t="s">
        <v>41</v>
      </c>
      <c r="B3995" s="40">
        <f>B3994/D3987</f>
        <v>2.4083910496557404</v>
      </c>
      <c r="C3995" s="5"/>
      <c r="D3995" s="102">
        <f>E3987</f>
        <v>25253.86</v>
      </c>
      <c r="E3995" s="103"/>
      <c r="F3995" s="25">
        <f>H3995/B3994</f>
        <v>11.285125253893026</v>
      </c>
      <c r="G3995" s="9" t="s">
        <v>21</v>
      </c>
      <c r="H3995" s="104">
        <f>L3988+D3995+D3997+D3999+D4001+A3998</f>
        <v>33336.26</v>
      </c>
      <c r="I3995" s="105"/>
      <c r="J3995" s="5"/>
      <c r="K3995" s="5"/>
      <c r="L3995" s="5"/>
    </row>
    <row r="3996" spans="1:12" x14ac:dyDescent="0.25">
      <c r="A3996" s="9" t="s">
        <v>43</v>
      </c>
      <c r="B3996" s="23">
        <f>D3987/B3994*100</f>
        <v>41.521496276235617</v>
      </c>
      <c r="C3996" s="5"/>
      <c r="D3996" s="106" t="s">
        <v>33</v>
      </c>
      <c r="E3996" s="107"/>
      <c r="F3996" s="5"/>
      <c r="G3996" s="13" t="s">
        <v>22</v>
      </c>
      <c r="H3996" s="6"/>
      <c r="I3996" s="26">
        <f>H3994-H3995</f>
        <v>27741.739999999998</v>
      </c>
      <c r="J3996" s="5"/>
      <c r="K3996" s="5"/>
      <c r="L3996" s="5"/>
    </row>
    <row r="3997" spans="1:12" x14ac:dyDescent="0.25">
      <c r="A3997" s="106" t="s">
        <v>40</v>
      </c>
      <c r="B3997" s="107"/>
      <c r="C3997" s="5"/>
      <c r="D3997" s="149">
        <v>1100</v>
      </c>
      <c r="E3997" s="150"/>
      <c r="F3997" s="5"/>
      <c r="G3997" s="5"/>
      <c r="H3997" s="5"/>
      <c r="I3997" s="5"/>
      <c r="J3997" s="5"/>
      <c r="K3997" s="5"/>
      <c r="L3997" s="5"/>
    </row>
    <row r="3998" spans="1:12" x14ac:dyDescent="0.25">
      <c r="A3998" s="108">
        <f>B3994*0.6</f>
        <v>1772.3999999999999</v>
      </c>
      <c r="B3998" s="109"/>
      <c r="C3998" s="5"/>
      <c r="D3998" s="106" t="s">
        <v>34</v>
      </c>
      <c r="E3998" s="107"/>
      <c r="F3998" s="5"/>
      <c r="G3998" s="145" t="s">
        <v>292</v>
      </c>
      <c r="H3998" s="146"/>
      <c r="I3998" s="23">
        <f>B3994/2.3</f>
        <v>1284.3478260869567</v>
      </c>
      <c r="J3998" s="60"/>
      <c r="K3998" s="5"/>
      <c r="L3998" s="5"/>
    </row>
    <row r="3999" spans="1:12" x14ac:dyDescent="0.25">
      <c r="A3999" s="5"/>
      <c r="B3999" s="5"/>
      <c r="C3999" s="5"/>
      <c r="D3999" s="108">
        <v>0</v>
      </c>
      <c r="E3999" s="109"/>
      <c r="F3999" s="5"/>
      <c r="G3999" s="145" t="s">
        <v>294</v>
      </c>
      <c r="H3999" s="146"/>
      <c r="I3999" s="23">
        <f>I3998-D3987</f>
        <v>57.802826086956657</v>
      </c>
      <c r="J3999" s="5"/>
      <c r="K3999" s="5"/>
      <c r="L3999" s="5"/>
    </row>
    <row r="4000" spans="1:12" x14ac:dyDescent="0.25">
      <c r="A4000" s="5"/>
      <c r="B4000" s="5"/>
      <c r="C4000" s="5"/>
      <c r="D4000" s="106" t="s">
        <v>37</v>
      </c>
      <c r="E4000" s="107"/>
      <c r="F4000" s="5"/>
      <c r="G4000" s="147" t="s">
        <v>295</v>
      </c>
      <c r="H4000" s="148"/>
      <c r="I4000" s="86">
        <f>I3999*F3987</f>
        <v>1172.5302350369893</v>
      </c>
      <c r="J4000" s="87">
        <f>I3996-I4000</f>
        <v>26569.209764963009</v>
      </c>
      <c r="K4000" s="5"/>
      <c r="L4000" s="5"/>
    </row>
    <row r="4001" spans="1:12" x14ac:dyDescent="0.25">
      <c r="A4001" s="5"/>
      <c r="B4001" s="5"/>
      <c r="C4001" s="5"/>
      <c r="D4001" s="108">
        <v>4500</v>
      </c>
      <c r="E4001" s="109"/>
      <c r="F4001" s="5" t="s">
        <v>78</v>
      </c>
      <c r="G4001" s="5"/>
      <c r="H4001" s="5"/>
      <c r="I4001" s="5"/>
      <c r="J4001" s="88" t="s">
        <v>293</v>
      </c>
      <c r="K4001" s="44"/>
      <c r="L4001" s="5"/>
    </row>
    <row r="4003" spans="1:12" s="49" customFormat="1" x14ac:dyDescent="0.25"/>
    <row r="4006" spans="1:12" x14ac:dyDescent="0.25">
      <c r="A4006" s="120" t="s">
        <v>24</v>
      </c>
      <c r="B4006" s="120"/>
      <c r="C4006" s="120"/>
      <c r="D4006" s="120"/>
      <c r="E4006" s="120"/>
      <c r="F4006" s="120"/>
      <c r="G4006" s="120"/>
      <c r="H4006" s="120"/>
      <c r="I4006" s="120"/>
      <c r="J4006" s="120"/>
      <c r="K4006" s="120"/>
      <c r="L4006" s="120"/>
    </row>
    <row r="4007" spans="1:12" x14ac:dyDescent="0.25">
      <c r="A4007" s="120"/>
      <c r="B4007" s="120"/>
      <c r="C4007" s="120"/>
      <c r="D4007" s="120"/>
      <c r="E4007" s="120"/>
      <c r="F4007" s="120"/>
      <c r="G4007" s="120"/>
      <c r="H4007" s="120"/>
      <c r="I4007" s="120"/>
      <c r="J4007" s="120"/>
      <c r="K4007" s="120"/>
      <c r="L4007" s="120"/>
    </row>
    <row r="4008" spans="1:12" x14ac:dyDescent="0.25">
      <c r="A4008" s="1" t="s">
        <v>4</v>
      </c>
      <c r="B4008" s="2"/>
      <c r="C4008" s="90"/>
      <c r="D4008" s="2"/>
      <c r="E4008" s="2"/>
      <c r="F4008" s="2"/>
      <c r="G4008" s="3" t="s">
        <v>5</v>
      </c>
      <c r="H4008" s="3" t="s">
        <v>6</v>
      </c>
      <c r="I4008" s="4" t="s">
        <v>7</v>
      </c>
      <c r="J4008" s="5"/>
      <c r="K4008" s="5"/>
      <c r="L4008" s="5"/>
    </row>
    <row r="4009" spans="1:12" x14ac:dyDescent="0.25">
      <c r="A4009" s="91" t="s">
        <v>549</v>
      </c>
      <c r="B4009" s="92" t="s">
        <v>42</v>
      </c>
      <c r="C4009" s="64"/>
      <c r="D4009" s="66"/>
      <c r="E4009" s="2"/>
      <c r="F4009" s="2"/>
      <c r="G4009" s="91" t="s">
        <v>299</v>
      </c>
      <c r="H4009" s="66"/>
      <c r="I4009" s="33"/>
      <c r="J4009" s="6"/>
      <c r="K4009" s="33"/>
      <c r="L4009" s="6"/>
    </row>
    <row r="4010" spans="1:12" x14ac:dyDescent="0.25">
      <c r="A4010" s="7" t="s">
        <v>2</v>
      </c>
      <c r="B4010" s="5"/>
      <c r="C4010" s="5"/>
      <c r="D4010" s="5"/>
      <c r="E4010" s="5"/>
      <c r="F4010" s="5"/>
      <c r="G4010" s="8" t="s">
        <v>8</v>
      </c>
      <c r="H4010" s="93">
        <v>3</v>
      </c>
      <c r="I4010" s="5"/>
      <c r="J4010" s="5"/>
      <c r="K4010" s="5"/>
      <c r="L4010" s="5"/>
    </row>
    <row r="4011" spans="1:12" x14ac:dyDescent="0.25">
      <c r="A4011" s="7" t="s">
        <v>25</v>
      </c>
      <c r="B4011" s="5"/>
      <c r="C4011" s="7" t="s">
        <v>0</v>
      </c>
      <c r="D4011" s="5"/>
      <c r="E4011" s="5"/>
      <c r="F4011" s="5"/>
      <c r="G4011" s="7" t="s">
        <v>25</v>
      </c>
      <c r="H4011" s="5"/>
      <c r="I4011" s="7" t="s">
        <v>0</v>
      </c>
      <c r="J4011" s="5"/>
      <c r="K4011" s="5"/>
      <c r="L4011" s="5"/>
    </row>
    <row r="4012" spans="1:12" x14ac:dyDescent="0.25">
      <c r="A4012" s="42">
        <v>45699</v>
      </c>
      <c r="B4012" s="6"/>
      <c r="C4012" s="31">
        <f>L3971</f>
        <v>1071334</v>
      </c>
      <c r="D4012" s="5"/>
      <c r="E4012" s="5"/>
      <c r="F4012" s="5"/>
      <c r="G4012" s="42"/>
      <c r="H4012" s="6"/>
      <c r="I4012" s="9"/>
      <c r="J4012" s="5"/>
      <c r="K4012" s="5"/>
      <c r="L4012" s="5"/>
    </row>
    <row r="4013" spans="1:12" ht="16.5" thickBot="1" x14ac:dyDescent="0.3">
      <c r="A4013" s="7"/>
      <c r="B4013" s="62"/>
      <c r="C4013" s="62"/>
      <c r="D4013" s="62"/>
      <c r="E4013" s="5"/>
      <c r="F4013" s="5"/>
      <c r="G4013" s="10"/>
      <c r="H4013" s="5"/>
      <c r="I4013" s="5"/>
      <c r="J4013" s="5"/>
      <c r="K4013" s="5"/>
      <c r="L4013" s="5"/>
    </row>
    <row r="4014" spans="1:12" ht="15.75" thickBot="1" x14ac:dyDescent="0.3">
      <c r="A4014" s="121" t="s">
        <v>9</v>
      </c>
      <c r="B4014" s="122"/>
      <c r="C4014" s="123"/>
      <c r="D4014" s="5"/>
      <c r="E4014" s="5"/>
      <c r="F4014" s="5"/>
      <c r="G4014" s="121" t="s">
        <v>26</v>
      </c>
      <c r="H4014" s="122"/>
      <c r="I4014" s="123"/>
      <c r="J4014" s="5"/>
      <c r="K4014" s="5"/>
      <c r="L4014" s="5"/>
    </row>
    <row r="4015" spans="1:12" x14ac:dyDescent="0.25">
      <c r="A4015" s="30" t="s">
        <v>38</v>
      </c>
      <c r="B4015" s="11"/>
      <c r="C4015" s="11"/>
      <c r="D4015" s="11"/>
      <c r="E4015" s="6"/>
      <c r="F4015" s="5"/>
      <c r="G4015" s="30" t="str">
        <f>A4018</f>
        <v>Cape Town</v>
      </c>
      <c r="H4015" s="11"/>
      <c r="I4015" s="11"/>
      <c r="J4015" s="11"/>
      <c r="K4015" s="11"/>
      <c r="L4015" s="6"/>
    </row>
    <row r="4016" spans="1:12" ht="15.75" thickBot="1" x14ac:dyDescent="0.3">
      <c r="A4016" s="7"/>
      <c r="B4016" s="7"/>
      <c r="C4016" s="7"/>
      <c r="D4016" s="5"/>
      <c r="E4016" s="5"/>
      <c r="F4016" s="5"/>
      <c r="G4016" s="7"/>
      <c r="H4016" s="7"/>
      <c r="I4016" s="7"/>
      <c r="J4016" s="5"/>
      <c r="K4016" s="5"/>
      <c r="L4016" s="5"/>
    </row>
    <row r="4017" spans="1:12" ht="15.75" thickBot="1" x14ac:dyDescent="0.3">
      <c r="A4017" s="121"/>
      <c r="B4017" s="122"/>
      <c r="C4017" s="124"/>
      <c r="D4017" s="12" t="s">
        <v>1</v>
      </c>
      <c r="E4017" s="32"/>
      <c r="F4017" s="5"/>
      <c r="G4017" s="121" t="s">
        <v>27</v>
      </c>
      <c r="H4017" s="122"/>
      <c r="I4017" s="123"/>
      <c r="J4017" s="5"/>
      <c r="K4017" s="12" t="s">
        <v>1</v>
      </c>
      <c r="L4017" s="32">
        <v>1074391</v>
      </c>
    </row>
    <row r="4018" spans="1:12" x14ac:dyDescent="0.25">
      <c r="A4018" s="30" t="s">
        <v>65</v>
      </c>
      <c r="B4018" s="11"/>
      <c r="C4018" s="11"/>
      <c r="D4018" s="11"/>
      <c r="E4018" s="6"/>
      <c r="F4018" s="5"/>
      <c r="G4018" s="30" t="s">
        <v>364</v>
      </c>
      <c r="H4018" s="11"/>
      <c r="I4018" s="11"/>
      <c r="J4018" s="11"/>
      <c r="K4018" s="11"/>
      <c r="L4018" s="6"/>
    </row>
    <row r="4019" spans="1:12" x14ac:dyDescent="0.25">
      <c r="A4019" s="76"/>
      <c r="B4019" s="11"/>
      <c r="C4019" s="11"/>
      <c r="D4019" s="11"/>
      <c r="E4019" s="6"/>
      <c r="F4019" s="5"/>
      <c r="G4019" s="34"/>
      <c r="H4019" s="11"/>
      <c r="I4019" s="11"/>
      <c r="J4019" s="11"/>
      <c r="K4019" s="11"/>
      <c r="L4019" s="6"/>
    </row>
    <row r="4020" spans="1:12" x14ac:dyDescent="0.25">
      <c r="A4020" s="13"/>
      <c r="B4020" s="11"/>
      <c r="C4020" s="11"/>
      <c r="D4020" s="11"/>
      <c r="E4020" s="6"/>
      <c r="F4020" s="5"/>
      <c r="G4020" s="13"/>
      <c r="H4020" s="11"/>
      <c r="I4020" s="11"/>
      <c r="J4020" s="11"/>
      <c r="K4020" s="11"/>
      <c r="L4020" s="6"/>
    </row>
    <row r="4021" spans="1:12" x14ac:dyDescent="0.25">
      <c r="A4021" s="13"/>
      <c r="B4021" s="11"/>
      <c r="C4021" s="11"/>
      <c r="D4021" s="11"/>
      <c r="E4021" s="6"/>
      <c r="F4021" s="5"/>
      <c r="G4021" s="13"/>
      <c r="H4021" s="11"/>
      <c r="I4021" s="11"/>
      <c r="J4021" s="11"/>
      <c r="K4021" s="11"/>
      <c r="L4021" s="6"/>
    </row>
    <row r="4022" spans="1:12" ht="15.75" thickBot="1" x14ac:dyDescent="0.3">
      <c r="A4022" s="13"/>
      <c r="B4022" s="11"/>
      <c r="C4022" s="11" t="s">
        <v>29</v>
      </c>
      <c r="D4022" s="43"/>
      <c r="E4022" s="6"/>
      <c r="F4022" s="5"/>
      <c r="G4022" s="13"/>
      <c r="H4022" s="11"/>
      <c r="I4022" s="14" t="s">
        <v>28</v>
      </c>
      <c r="J4022" s="43"/>
      <c r="K4022" s="59"/>
      <c r="L4022" s="6"/>
    </row>
    <row r="4023" spans="1:12" ht="15.75" thickBot="1" x14ac:dyDescent="0.3">
      <c r="A4023" s="15" t="s">
        <v>10</v>
      </c>
      <c r="B4023" s="5"/>
      <c r="C4023" s="5"/>
      <c r="D4023" s="5">
        <v>665.64</v>
      </c>
      <c r="E4023" s="5"/>
      <c r="F4023" s="5"/>
      <c r="G4023" s="15" t="s">
        <v>14</v>
      </c>
      <c r="H4023" s="5"/>
      <c r="I4023" s="5"/>
      <c r="J4023" s="5"/>
      <c r="K4023" s="5"/>
      <c r="L4023" s="5"/>
    </row>
    <row r="4024" spans="1:12" ht="15.75" thickBot="1" x14ac:dyDescent="0.3">
      <c r="A4024" s="121" t="s">
        <v>11</v>
      </c>
      <c r="B4024" s="122"/>
      <c r="C4024" s="123"/>
      <c r="D4024" s="16" t="s">
        <v>12</v>
      </c>
      <c r="E4024" s="16" t="s">
        <v>13</v>
      </c>
      <c r="F4024" s="5"/>
      <c r="G4024" s="121" t="s">
        <v>15</v>
      </c>
      <c r="H4024" s="122"/>
      <c r="I4024" s="123"/>
      <c r="J4024" s="121"/>
      <c r="K4024" s="123"/>
      <c r="L4024" s="5"/>
    </row>
    <row r="4025" spans="1:12" x14ac:dyDescent="0.25">
      <c r="A4025" s="94">
        <v>45727</v>
      </c>
      <c r="B4025" s="46" t="s">
        <v>305</v>
      </c>
      <c r="C4025" s="47"/>
      <c r="D4025" s="56">
        <v>422.69</v>
      </c>
      <c r="E4025" s="57">
        <v>8973.7000000000007</v>
      </c>
      <c r="F4025" s="44">
        <f>E4025/D4025</f>
        <v>21.229979417540044</v>
      </c>
      <c r="G4025" s="125" t="s">
        <v>69</v>
      </c>
      <c r="H4025" s="126"/>
      <c r="I4025" s="127"/>
      <c r="J4025" s="128"/>
      <c r="K4025" s="129"/>
      <c r="L4025" s="5"/>
    </row>
    <row r="4026" spans="1:12" x14ac:dyDescent="0.25">
      <c r="A4026" s="94">
        <v>45788</v>
      </c>
      <c r="B4026" s="46" t="s">
        <v>305</v>
      </c>
      <c r="C4026" s="47"/>
      <c r="D4026" s="56">
        <v>637.67200000000003</v>
      </c>
      <c r="E4026" s="57">
        <v>13448.5</v>
      </c>
      <c r="F4026" s="44">
        <f>E4026/D4026</f>
        <v>21.089996110853228</v>
      </c>
      <c r="G4026" s="110" t="s">
        <v>59</v>
      </c>
      <c r="H4026" s="111"/>
      <c r="I4026" s="112"/>
      <c r="J4026" s="113"/>
      <c r="K4026" s="114"/>
      <c r="L4026" s="5"/>
    </row>
    <row r="4027" spans="1:12" x14ac:dyDescent="0.25">
      <c r="A4027" s="94">
        <v>45819</v>
      </c>
      <c r="B4027" s="46" t="s">
        <v>47</v>
      </c>
      <c r="C4027" s="47"/>
      <c r="D4027" s="56">
        <v>462.73</v>
      </c>
      <c r="E4027" s="57">
        <v>8412.43</v>
      </c>
      <c r="F4027" s="44">
        <f>E4027/D4027</f>
        <v>18.179996974477557</v>
      </c>
      <c r="G4027" s="110" t="s">
        <v>61</v>
      </c>
      <c r="H4027" s="111"/>
      <c r="I4027" s="112"/>
      <c r="J4027" s="113"/>
      <c r="K4027" s="114"/>
      <c r="L4027" s="5"/>
    </row>
    <row r="4028" spans="1:12" x14ac:dyDescent="0.25">
      <c r="A4028" s="94"/>
      <c r="B4028" s="46"/>
      <c r="C4028" s="47"/>
      <c r="D4028" s="56"/>
      <c r="E4028" s="57"/>
      <c r="F4028" s="44"/>
      <c r="G4028" s="110" t="s">
        <v>51</v>
      </c>
      <c r="H4028" s="111"/>
      <c r="I4028" s="112"/>
      <c r="J4028" s="113"/>
      <c r="K4028" s="114"/>
      <c r="L4028" s="5"/>
    </row>
    <row r="4029" spans="1:12" x14ac:dyDescent="0.25">
      <c r="A4029" s="48"/>
      <c r="B4029" s="46"/>
      <c r="C4029" s="39"/>
      <c r="D4029" s="52"/>
      <c r="E4029" s="53"/>
      <c r="F4029" s="44"/>
      <c r="G4029" s="110" t="s">
        <v>58</v>
      </c>
      <c r="H4029" s="111"/>
      <c r="I4029" s="112"/>
      <c r="J4029" s="113"/>
      <c r="K4029" s="114"/>
      <c r="L4029" s="5"/>
    </row>
    <row r="4030" spans="1:12" x14ac:dyDescent="0.25">
      <c r="A4030" s="48"/>
      <c r="B4030" s="35"/>
      <c r="C4030" s="39"/>
      <c r="D4030" s="52"/>
      <c r="E4030" s="53"/>
      <c r="F4030" s="44"/>
      <c r="G4030" s="110" t="s">
        <v>51</v>
      </c>
      <c r="H4030" s="111"/>
      <c r="I4030" s="112"/>
      <c r="J4030" s="113"/>
      <c r="K4030" s="114"/>
      <c r="L4030" s="5"/>
    </row>
    <row r="4031" spans="1:12" x14ac:dyDescent="0.25">
      <c r="A4031" s="48"/>
      <c r="B4031" s="35"/>
      <c r="C4031" s="39"/>
      <c r="D4031" s="52"/>
      <c r="E4031" s="53"/>
      <c r="F4031" s="44"/>
      <c r="G4031" s="77"/>
      <c r="H4031" s="78" t="s">
        <v>69</v>
      </c>
      <c r="I4031" s="79"/>
      <c r="J4031" s="113"/>
      <c r="K4031" s="114"/>
      <c r="L4031" s="5"/>
    </row>
    <row r="4032" spans="1:12" x14ac:dyDescent="0.25">
      <c r="A4032" s="38"/>
      <c r="B4032" s="35"/>
      <c r="C4032" s="39"/>
      <c r="D4032" s="52"/>
      <c r="E4032" s="53"/>
      <c r="F4032" s="44"/>
      <c r="G4032" s="77"/>
      <c r="H4032" s="78" t="s">
        <v>72</v>
      </c>
      <c r="I4032" s="79"/>
      <c r="J4032" s="113"/>
      <c r="K4032" s="114"/>
      <c r="L4032" s="5"/>
    </row>
    <row r="4033" spans="1:12" ht="15.75" thickBot="1" x14ac:dyDescent="0.3">
      <c r="A4033" s="5"/>
      <c r="B4033" s="5"/>
      <c r="C4033" s="7" t="s">
        <v>35</v>
      </c>
      <c r="D4033" s="17">
        <f>SUM(D4025:D4032)</f>
        <v>1523.0920000000001</v>
      </c>
      <c r="E4033" s="17">
        <f>SUM(E4025:E4032)</f>
        <v>30834.63</v>
      </c>
      <c r="F4033" s="89">
        <f>AVERAGE(F4025:F4029)</f>
        <v>20.166657500956944</v>
      </c>
      <c r="G4033" s="110" t="s">
        <v>73</v>
      </c>
      <c r="H4033" s="111"/>
      <c r="I4033" s="112"/>
      <c r="J4033" s="113"/>
      <c r="K4033" s="114"/>
      <c r="L4033" s="7" t="s">
        <v>36</v>
      </c>
    </row>
    <row r="4034" spans="1:12" ht="15.75" thickBot="1" x14ac:dyDescent="0.3">
      <c r="A4034" s="5"/>
      <c r="B4034" s="5"/>
      <c r="C4034" s="5"/>
      <c r="D4034" s="5"/>
      <c r="E4034" s="5"/>
      <c r="F4034" s="5"/>
      <c r="G4034" s="130"/>
      <c r="H4034" s="131"/>
      <c r="I4034" s="132"/>
      <c r="J4034" s="133"/>
      <c r="K4034" s="134"/>
      <c r="L4034" s="18">
        <f>J4025+J4026+J4027+J4028+J4029+J4030+J4031+J4032+J4033</f>
        <v>0</v>
      </c>
    </row>
    <row r="4035" spans="1:12" ht="15.75" thickBot="1" x14ac:dyDescent="0.3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</row>
    <row r="4036" spans="1:12" ht="15.75" thickBot="1" x14ac:dyDescent="0.3">
      <c r="A4036" s="19"/>
      <c r="B4036" s="20"/>
      <c r="C4036" s="20"/>
      <c r="D4036" s="20"/>
      <c r="E4036" s="21" t="s">
        <v>13</v>
      </c>
      <c r="F4036" s="5"/>
      <c r="G4036" s="19"/>
      <c r="H4036" s="20"/>
      <c r="I4036" s="20"/>
      <c r="J4036" s="20"/>
      <c r="K4036" s="21" t="s">
        <v>13</v>
      </c>
      <c r="L4036" s="5"/>
    </row>
    <row r="4037" spans="1:12" x14ac:dyDescent="0.25">
      <c r="A4037" s="22" t="s">
        <v>31</v>
      </c>
      <c r="B4037" s="115">
        <v>19091</v>
      </c>
      <c r="C4037" s="116"/>
      <c r="D4037" s="116"/>
      <c r="E4037" s="117"/>
      <c r="F4037" s="5"/>
      <c r="G4037" s="22" t="s">
        <v>32</v>
      </c>
      <c r="H4037" s="115">
        <v>43258</v>
      </c>
      <c r="I4037" s="116"/>
      <c r="J4037" s="116"/>
      <c r="K4037" s="117"/>
      <c r="L4037" s="5"/>
    </row>
    <row r="4038" spans="1:12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</row>
    <row r="4039" spans="1:12" x14ac:dyDescent="0.25">
      <c r="A4039" s="7" t="s">
        <v>16</v>
      </c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</row>
    <row r="4040" spans="1:12" x14ac:dyDescent="0.25">
      <c r="A4040" s="9" t="s">
        <v>17</v>
      </c>
      <c r="B4040" s="23">
        <f>L4017-C4012</f>
        <v>3057</v>
      </c>
      <c r="C4040" s="5"/>
      <c r="D4040" s="106" t="s">
        <v>18</v>
      </c>
      <c r="E4040" s="107"/>
      <c r="F4040" s="24" t="s">
        <v>19</v>
      </c>
      <c r="G4040" s="9" t="s">
        <v>20</v>
      </c>
      <c r="H4040" s="118">
        <f>B4037+H4037</f>
        <v>62349</v>
      </c>
      <c r="I4040" s="119"/>
      <c r="J4040" s="60"/>
      <c r="K4040" s="5"/>
      <c r="L4040" s="5"/>
    </row>
    <row r="4041" spans="1:12" x14ac:dyDescent="0.25">
      <c r="A4041" s="9" t="s">
        <v>41</v>
      </c>
      <c r="B4041" s="40">
        <f>B4040/D4033</f>
        <v>2.0071013438452829</v>
      </c>
      <c r="C4041" s="5"/>
      <c r="D4041" s="102">
        <f>E4033</f>
        <v>30834.63</v>
      </c>
      <c r="E4041" s="103"/>
      <c r="F4041" s="25">
        <f>H4041/B4040</f>
        <v>11.07910696761531</v>
      </c>
      <c r="G4041" s="9" t="s">
        <v>21</v>
      </c>
      <c r="H4041" s="104">
        <f>L4034+D4041+D4043+D4045+D4047+A4044</f>
        <v>33868.83</v>
      </c>
      <c r="I4041" s="105"/>
      <c r="J4041" s="5"/>
      <c r="K4041" s="5"/>
      <c r="L4041" s="5"/>
    </row>
    <row r="4042" spans="1:12" x14ac:dyDescent="0.25">
      <c r="A4042" s="9" t="s">
        <v>43</v>
      </c>
      <c r="B4042" s="23">
        <f>D4033/B4040*100</f>
        <v>49.823094537127908</v>
      </c>
      <c r="C4042" s="5"/>
      <c r="D4042" s="106" t="s">
        <v>33</v>
      </c>
      <c r="E4042" s="107"/>
      <c r="F4042" s="5"/>
      <c r="G4042" s="13" t="s">
        <v>22</v>
      </c>
      <c r="H4042" s="6"/>
      <c r="I4042" s="26">
        <f>H4040-H4041</f>
        <v>28480.17</v>
      </c>
      <c r="J4042" s="5"/>
      <c r="K4042" s="5"/>
      <c r="L4042" s="5"/>
    </row>
    <row r="4043" spans="1:12" x14ac:dyDescent="0.25">
      <c r="A4043" s="106" t="s">
        <v>40</v>
      </c>
      <c r="B4043" s="107"/>
      <c r="C4043" s="5"/>
      <c r="D4043" s="149">
        <v>1200</v>
      </c>
      <c r="E4043" s="150"/>
      <c r="F4043" s="5"/>
      <c r="G4043" s="5"/>
      <c r="H4043" s="5"/>
      <c r="I4043" s="5"/>
      <c r="J4043" s="5"/>
      <c r="K4043" s="5"/>
      <c r="L4043" s="5"/>
    </row>
    <row r="4044" spans="1:12" x14ac:dyDescent="0.25">
      <c r="A4044" s="108">
        <f>B4040*0.6</f>
        <v>1834.2</v>
      </c>
      <c r="B4044" s="109"/>
      <c r="C4044" s="5"/>
      <c r="D4044" s="106" t="s">
        <v>34</v>
      </c>
      <c r="E4044" s="107"/>
      <c r="F4044" s="5"/>
      <c r="G4044" s="145" t="s">
        <v>292</v>
      </c>
      <c r="H4044" s="146"/>
      <c r="I4044" s="23">
        <f>B4040/2.3</f>
        <v>1329.1304347826087</v>
      </c>
      <c r="J4044" s="60"/>
      <c r="K4044" s="5"/>
      <c r="L4044" s="5"/>
    </row>
    <row r="4045" spans="1:12" x14ac:dyDescent="0.25">
      <c r="A4045" s="5"/>
      <c r="B4045" s="5"/>
      <c r="C4045" s="5"/>
      <c r="D4045" s="108">
        <v>0</v>
      </c>
      <c r="E4045" s="109"/>
      <c r="F4045" s="5"/>
      <c r="G4045" s="145" t="s">
        <v>294</v>
      </c>
      <c r="H4045" s="146"/>
      <c r="I4045" s="23">
        <f>I4044-D4033</f>
        <v>-193.96156521739135</v>
      </c>
      <c r="J4045" s="5"/>
      <c r="K4045" s="5"/>
      <c r="L4045" s="5"/>
    </row>
    <row r="4046" spans="1:12" x14ac:dyDescent="0.25">
      <c r="A4046" s="5"/>
      <c r="B4046" s="5"/>
      <c r="C4046" s="5"/>
      <c r="D4046" s="106" t="s">
        <v>37</v>
      </c>
      <c r="E4046" s="107"/>
      <c r="F4046" s="5"/>
      <c r="G4046" s="147" t="s">
        <v>295</v>
      </c>
      <c r="H4046" s="148"/>
      <c r="I4046" s="86">
        <f>I4045*F4033</f>
        <v>-3911.5564540886548</v>
      </c>
      <c r="J4046" s="87">
        <f>I4042-I4046</f>
        <v>32391.726454088654</v>
      </c>
      <c r="K4046" s="5"/>
      <c r="L4046" s="5"/>
    </row>
    <row r="4047" spans="1:12" x14ac:dyDescent="0.25">
      <c r="A4047" s="5"/>
      <c r="B4047" s="5"/>
      <c r="C4047" s="5"/>
      <c r="D4047" s="108">
        <v>0</v>
      </c>
      <c r="E4047" s="109"/>
      <c r="F4047" s="5" t="s">
        <v>78</v>
      </c>
      <c r="G4047" s="5"/>
      <c r="H4047" s="5"/>
      <c r="I4047" s="5"/>
      <c r="J4047" s="88" t="s">
        <v>293</v>
      </c>
      <c r="K4047" s="44"/>
      <c r="L4047" s="5"/>
    </row>
    <row r="4049" spans="1:12" s="49" customFormat="1" x14ac:dyDescent="0.25"/>
    <row r="4052" spans="1:12" x14ac:dyDescent="0.25">
      <c r="A4052" s="120" t="s">
        <v>24</v>
      </c>
      <c r="B4052" s="120"/>
      <c r="C4052" s="120"/>
      <c r="D4052" s="120"/>
      <c r="E4052" s="120"/>
      <c r="F4052" s="120"/>
      <c r="G4052" s="120"/>
      <c r="H4052" s="120"/>
      <c r="I4052" s="120"/>
      <c r="J4052" s="120"/>
      <c r="K4052" s="120"/>
      <c r="L4052" s="120"/>
    </row>
    <row r="4053" spans="1:12" x14ac:dyDescent="0.25">
      <c r="A4053" s="120"/>
      <c r="B4053" s="120"/>
      <c r="C4053" s="120"/>
      <c r="D4053" s="120"/>
      <c r="E4053" s="120"/>
      <c r="F4053" s="120"/>
      <c r="G4053" s="120"/>
      <c r="H4053" s="120"/>
      <c r="I4053" s="120"/>
      <c r="J4053" s="120"/>
      <c r="K4053" s="120"/>
      <c r="L4053" s="120"/>
    </row>
    <row r="4054" spans="1:12" x14ac:dyDescent="0.25">
      <c r="A4054" s="1" t="s">
        <v>4</v>
      </c>
      <c r="B4054" s="2"/>
      <c r="C4054" s="90"/>
      <c r="D4054" s="2"/>
      <c r="E4054" s="2"/>
      <c r="F4054" s="2"/>
      <c r="G4054" s="3" t="s">
        <v>5</v>
      </c>
      <c r="H4054" s="3" t="s">
        <v>6</v>
      </c>
      <c r="I4054" s="4" t="s">
        <v>7</v>
      </c>
      <c r="J4054" s="5"/>
      <c r="K4054" s="5"/>
      <c r="L4054" s="5"/>
    </row>
    <row r="4055" spans="1:12" x14ac:dyDescent="0.25">
      <c r="A4055" s="91" t="s">
        <v>549</v>
      </c>
      <c r="B4055" s="92" t="s">
        <v>42</v>
      </c>
      <c r="C4055" s="64"/>
      <c r="D4055" s="66"/>
      <c r="E4055" s="2"/>
      <c r="F4055" s="2"/>
      <c r="G4055" s="91" t="s">
        <v>299</v>
      </c>
      <c r="H4055" s="66"/>
      <c r="I4055" s="33"/>
      <c r="J4055" s="6"/>
      <c r="K4055" s="33"/>
      <c r="L4055" s="6"/>
    </row>
    <row r="4056" spans="1:12" x14ac:dyDescent="0.25">
      <c r="A4056" s="7" t="s">
        <v>2</v>
      </c>
      <c r="B4056" s="5"/>
      <c r="C4056" s="5"/>
      <c r="D4056" s="5"/>
      <c r="E4056" s="5"/>
      <c r="F4056" s="5"/>
      <c r="G4056" s="8" t="s">
        <v>8</v>
      </c>
      <c r="H4056" s="93">
        <v>3</v>
      </c>
      <c r="I4056" s="5"/>
      <c r="J4056" s="5"/>
      <c r="K4056" s="5"/>
      <c r="L4056" s="5"/>
    </row>
    <row r="4057" spans="1:12" x14ac:dyDescent="0.25">
      <c r="A4057" s="7" t="s">
        <v>25</v>
      </c>
      <c r="B4057" s="5"/>
      <c r="C4057" s="7" t="s">
        <v>0</v>
      </c>
      <c r="D4057" s="5"/>
      <c r="E4057" s="5"/>
      <c r="F4057" s="5"/>
      <c r="G4057" s="7" t="s">
        <v>25</v>
      </c>
      <c r="H4057" s="5"/>
      <c r="I4057" s="7" t="s">
        <v>0</v>
      </c>
      <c r="J4057" s="5"/>
      <c r="K4057" s="5"/>
      <c r="L4057" s="5"/>
    </row>
    <row r="4058" spans="1:12" x14ac:dyDescent="0.25">
      <c r="A4058" s="42">
        <v>45819</v>
      </c>
      <c r="B4058" s="6"/>
      <c r="C4058" s="31">
        <f>L4017</f>
        <v>1074391</v>
      </c>
      <c r="D4058" s="5"/>
      <c r="E4058" s="5"/>
      <c r="F4058" s="5"/>
      <c r="G4058" s="42"/>
      <c r="H4058" s="6"/>
      <c r="I4058" s="9"/>
      <c r="J4058" s="5"/>
      <c r="K4058" s="5"/>
      <c r="L4058" s="5"/>
    </row>
    <row r="4059" spans="1:12" ht="16.5" thickBot="1" x14ac:dyDescent="0.3">
      <c r="A4059" s="7"/>
      <c r="B4059" s="62"/>
      <c r="C4059" s="62"/>
      <c r="D4059" s="62"/>
      <c r="E4059" s="5"/>
      <c r="F4059" s="5"/>
      <c r="G4059" s="10"/>
      <c r="H4059" s="5"/>
      <c r="I4059" s="5"/>
      <c r="J4059" s="5"/>
      <c r="K4059" s="5"/>
      <c r="L4059" s="5"/>
    </row>
    <row r="4060" spans="1:12" ht="15.75" thickBot="1" x14ac:dyDescent="0.3">
      <c r="A4060" s="121" t="s">
        <v>9</v>
      </c>
      <c r="B4060" s="122"/>
      <c r="C4060" s="123"/>
      <c r="D4060" s="5"/>
      <c r="E4060" s="5"/>
      <c r="F4060" s="5"/>
      <c r="G4060" s="121" t="s">
        <v>26</v>
      </c>
      <c r="H4060" s="122"/>
      <c r="I4060" s="123"/>
      <c r="J4060" s="5"/>
      <c r="K4060" s="5"/>
      <c r="L4060" s="5"/>
    </row>
    <row r="4061" spans="1:12" x14ac:dyDescent="0.25">
      <c r="A4061" s="30" t="s">
        <v>38</v>
      </c>
      <c r="B4061" s="11"/>
      <c r="C4061" s="11"/>
      <c r="D4061" s="11"/>
      <c r="E4061" s="6"/>
      <c r="F4061" s="5"/>
      <c r="G4061" s="30" t="str">
        <f>A4064</f>
        <v>Johannesburg</v>
      </c>
      <c r="H4061" s="11"/>
      <c r="I4061" s="11"/>
      <c r="J4061" s="11"/>
      <c r="K4061" s="11"/>
      <c r="L4061" s="6"/>
    </row>
    <row r="4062" spans="1:12" ht="15.75" thickBot="1" x14ac:dyDescent="0.3">
      <c r="A4062" s="7"/>
      <c r="B4062" s="7"/>
      <c r="C4062" s="7"/>
      <c r="D4062" s="5"/>
      <c r="E4062" s="5"/>
      <c r="F4062" s="5"/>
      <c r="G4062" s="7"/>
      <c r="H4062" s="7"/>
      <c r="I4062" s="7"/>
      <c r="J4062" s="5"/>
      <c r="K4062" s="5"/>
      <c r="L4062" s="5"/>
    </row>
    <row r="4063" spans="1:12" ht="15.75" thickBot="1" x14ac:dyDescent="0.3">
      <c r="A4063" s="121"/>
      <c r="B4063" s="122"/>
      <c r="C4063" s="124"/>
      <c r="D4063" s="12" t="s">
        <v>1</v>
      </c>
      <c r="E4063" s="32"/>
      <c r="F4063" s="5"/>
      <c r="G4063" s="121" t="s">
        <v>27</v>
      </c>
      <c r="H4063" s="122"/>
      <c r="I4063" s="123"/>
      <c r="J4063" s="5"/>
      <c r="K4063" s="12" t="s">
        <v>1</v>
      </c>
      <c r="L4063" s="32">
        <v>1077441</v>
      </c>
    </row>
    <row r="4064" spans="1:12" x14ac:dyDescent="0.25">
      <c r="A4064" s="30" t="s">
        <v>68</v>
      </c>
      <c r="B4064" s="11"/>
      <c r="C4064" s="11"/>
      <c r="D4064" s="11"/>
      <c r="E4064" s="6"/>
      <c r="F4064" s="5"/>
      <c r="G4064" s="30" t="s">
        <v>364</v>
      </c>
      <c r="H4064" s="11"/>
      <c r="I4064" s="11"/>
      <c r="J4064" s="11"/>
      <c r="K4064" s="11"/>
      <c r="L4064" s="6"/>
    </row>
    <row r="4065" spans="1:12" x14ac:dyDescent="0.25">
      <c r="A4065" s="76" t="s">
        <v>559</v>
      </c>
      <c r="B4065" s="11"/>
      <c r="C4065" s="11"/>
      <c r="D4065" s="11"/>
      <c r="E4065" s="6"/>
      <c r="F4065" s="5"/>
      <c r="G4065" s="34"/>
      <c r="H4065" s="11"/>
      <c r="I4065" s="11"/>
      <c r="J4065" s="11"/>
      <c r="K4065" s="11"/>
      <c r="L4065" s="6"/>
    </row>
    <row r="4066" spans="1:12" x14ac:dyDescent="0.25">
      <c r="A4066" s="13"/>
      <c r="B4066" s="11"/>
      <c r="C4066" s="11"/>
      <c r="D4066" s="11"/>
      <c r="E4066" s="6"/>
      <c r="F4066" s="5"/>
      <c r="G4066" s="13"/>
      <c r="H4066" s="11"/>
      <c r="I4066" s="11"/>
      <c r="J4066" s="11"/>
      <c r="K4066" s="11"/>
      <c r="L4066" s="6"/>
    </row>
    <row r="4067" spans="1:12" x14ac:dyDescent="0.25">
      <c r="A4067" s="13"/>
      <c r="B4067" s="11"/>
      <c r="C4067" s="11"/>
      <c r="D4067" s="11"/>
      <c r="E4067" s="6"/>
      <c r="F4067" s="5"/>
      <c r="G4067" s="13"/>
      <c r="H4067" s="11"/>
      <c r="I4067" s="11"/>
      <c r="J4067" s="11"/>
      <c r="K4067" s="11"/>
      <c r="L4067" s="6"/>
    </row>
    <row r="4068" spans="1:12" ht="15.75" thickBot="1" x14ac:dyDescent="0.3">
      <c r="A4068" s="13"/>
      <c r="B4068" s="11"/>
      <c r="C4068" s="11" t="s">
        <v>29</v>
      </c>
      <c r="D4068" s="43"/>
      <c r="E4068" s="6"/>
      <c r="F4068" s="5"/>
      <c r="G4068" s="13"/>
      <c r="H4068" s="11"/>
      <c r="I4068" s="14" t="s">
        <v>28</v>
      </c>
      <c r="J4068" s="43"/>
      <c r="K4068" s="59"/>
      <c r="L4068" s="6"/>
    </row>
    <row r="4069" spans="1:12" ht="15.75" thickBot="1" x14ac:dyDescent="0.3">
      <c r="A4069" s="15" t="s">
        <v>10</v>
      </c>
      <c r="B4069" s="5"/>
      <c r="C4069" s="5"/>
      <c r="D4069" s="5">
        <v>665.64</v>
      </c>
      <c r="E4069" s="5"/>
      <c r="F4069" s="5"/>
      <c r="G4069" s="15" t="s">
        <v>14</v>
      </c>
      <c r="H4069" s="5"/>
      <c r="I4069" s="5"/>
      <c r="J4069" s="5"/>
      <c r="K4069" s="5"/>
      <c r="L4069" s="5"/>
    </row>
    <row r="4070" spans="1:12" ht="15.75" thickBot="1" x14ac:dyDescent="0.3">
      <c r="A4070" s="121" t="s">
        <v>11</v>
      </c>
      <c r="B4070" s="122"/>
      <c r="C4070" s="123"/>
      <c r="D4070" s="16" t="s">
        <v>12</v>
      </c>
      <c r="E4070" s="16" t="s">
        <v>13</v>
      </c>
      <c r="F4070" s="5"/>
      <c r="G4070" s="121" t="s">
        <v>15</v>
      </c>
      <c r="H4070" s="122"/>
      <c r="I4070" s="123"/>
      <c r="J4070" s="121"/>
      <c r="K4070" s="123"/>
      <c r="L4070" s="5"/>
    </row>
    <row r="4071" spans="1:12" x14ac:dyDescent="0.25">
      <c r="A4071" s="94">
        <v>45911</v>
      </c>
      <c r="B4071" s="46" t="s">
        <v>557</v>
      </c>
      <c r="C4071" s="47"/>
      <c r="D4071" s="56">
        <v>45.045000000000002</v>
      </c>
      <c r="E4071" s="57">
        <v>1000</v>
      </c>
      <c r="F4071" s="44">
        <f>E4071/D4071</f>
        <v>22.2000222000222</v>
      </c>
      <c r="G4071" s="125" t="s">
        <v>69</v>
      </c>
      <c r="H4071" s="126"/>
      <c r="I4071" s="127"/>
      <c r="J4071" s="128">
        <f>355+355</f>
        <v>710</v>
      </c>
      <c r="K4071" s="129"/>
      <c r="L4071" s="5"/>
    </row>
    <row r="4072" spans="1:12" x14ac:dyDescent="0.25">
      <c r="A4072" s="94">
        <v>45911</v>
      </c>
      <c r="B4072" s="46" t="s">
        <v>558</v>
      </c>
      <c r="C4072" s="47"/>
      <c r="D4072" s="56">
        <f>412.47+374.43</f>
        <v>786.90000000000009</v>
      </c>
      <c r="E4072" s="57">
        <v>17170.150000000001</v>
      </c>
      <c r="F4072" s="44">
        <f>E4072/D4072</f>
        <v>21.819989833523955</v>
      </c>
      <c r="G4072" s="110" t="s">
        <v>59</v>
      </c>
      <c r="H4072" s="111"/>
      <c r="I4072" s="112"/>
      <c r="J4072" s="113"/>
      <c r="K4072" s="114"/>
      <c r="L4072" s="5"/>
    </row>
    <row r="4073" spans="1:12" x14ac:dyDescent="0.25">
      <c r="A4073" s="94">
        <v>46002</v>
      </c>
      <c r="B4073" s="46" t="s">
        <v>47</v>
      </c>
      <c r="C4073" s="47"/>
      <c r="D4073" s="56">
        <v>626.88</v>
      </c>
      <c r="E4073" s="57">
        <v>11396.68</v>
      </c>
      <c r="F4073" s="44">
        <f>E4073/D4073</f>
        <v>18.180002552322613</v>
      </c>
      <c r="G4073" s="110" t="s">
        <v>61</v>
      </c>
      <c r="H4073" s="111"/>
      <c r="I4073" s="112"/>
      <c r="J4073" s="113"/>
      <c r="K4073" s="114"/>
      <c r="L4073" s="5"/>
    </row>
    <row r="4074" spans="1:12" x14ac:dyDescent="0.25">
      <c r="A4074" s="94"/>
      <c r="B4074" s="46"/>
      <c r="C4074" s="47"/>
      <c r="D4074" s="56"/>
      <c r="E4074" s="57"/>
      <c r="F4074" s="44"/>
      <c r="G4074" s="110" t="s">
        <v>51</v>
      </c>
      <c r="H4074" s="111"/>
      <c r="I4074" s="112"/>
      <c r="J4074" s="113"/>
      <c r="K4074" s="114"/>
      <c r="L4074" s="5"/>
    </row>
    <row r="4075" spans="1:12" x14ac:dyDescent="0.25">
      <c r="A4075" s="48"/>
      <c r="B4075" s="46"/>
      <c r="C4075" s="39"/>
      <c r="D4075" s="52"/>
      <c r="E4075" s="53"/>
      <c r="F4075" s="44"/>
      <c r="G4075" s="110" t="s">
        <v>58</v>
      </c>
      <c r="H4075" s="111"/>
      <c r="I4075" s="112"/>
      <c r="J4075" s="113"/>
      <c r="K4075" s="114"/>
      <c r="L4075" s="5"/>
    </row>
    <row r="4076" spans="1:12" x14ac:dyDescent="0.25">
      <c r="A4076" s="48"/>
      <c r="B4076" s="35"/>
      <c r="C4076" s="39"/>
      <c r="D4076" s="52"/>
      <c r="E4076" s="53"/>
      <c r="F4076" s="44"/>
      <c r="G4076" s="110" t="s">
        <v>51</v>
      </c>
      <c r="H4076" s="111"/>
      <c r="I4076" s="112"/>
      <c r="J4076" s="113"/>
      <c r="K4076" s="114"/>
      <c r="L4076" s="5"/>
    </row>
    <row r="4077" spans="1:12" x14ac:dyDescent="0.25">
      <c r="A4077" s="48"/>
      <c r="B4077" s="35"/>
      <c r="C4077" s="39"/>
      <c r="D4077" s="52"/>
      <c r="E4077" s="53"/>
      <c r="F4077" s="44"/>
      <c r="G4077" s="77"/>
      <c r="H4077" s="78" t="s">
        <v>69</v>
      </c>
      <c r="I4077" s="79"/>
      <c r="J4077" s="113"/>
      <c r="K4077" s="114"/>
      <c r="L4077" s="5"/>
    </row>
    <row r="4078" spans="1:12" x14ac:dyDescent="0.25">
      <c r="A4078" s="38"/>
      <c r="B4078" s="35"/>
      <c r="C4078" s="39"/>
      <c r="D4078" s="52"/>
      <c r="E4078" s="53"/>
      <c r="F4078" s="44"/>
      <c r="G4078" s="77"/>
      <c r="H4078" s="78" t="s">
        <v>72</v>
      </c>
      <c r="I4078" s="79"/>
      <c r="J4078" s="113"/>
      <c r="K4078" s="114"/>
      <c r="L4078" s="5"/>
    </row>
    <row r="4079" spans="1:12" ht="15.75" thickBot="1" x14ac:dyDescent="0.3">
      <c r="A4079" s="5"/>
      <c r="B4079" s="5"/>
      <c r="C4079" s="7" t="s">
        <v>35</v>
      </c>
      <c r="D4079" s="17">
        <f>SUM(D4071:D4078)</f>
        <v>1458.825</v>
      </c>
      <c r="E4079" s="17">
        <f>SUM(E4071:E4078)</f>
        <v>29566.83</v>
      </c>
      <c r="F4079" s="89">
        <f>AVERAGE(F4071:F4075)</f>
        <v>20.733338195289587</v>
      </c>
      <c r="G4079" s="110" t="s">
        <v>73</v>
      </c>
      <c r="H4079" s="111"/>
      <c r="I4079" s="112"/>
      <c r="J4079" s="113"/>
      <c r="K4079" s="114"/>
      <c r="L4079" s="7" t="s">
        <v>36</v>
      </c>
    </row>
    <row r="4080" spans="1:12" ht="15.75" thickBot="1" x14ac:dyDescent="0.3">
      <c r="A4080" s="5"/>
      <c r="B4080" s="5"/>
      <c r="C4080" s="5"/>
      <c r="D4080" s="5"/>
      <c r="E4080" s="5"/>
      <c r="F4080" s="5"/>
      <c r="G4080" s="130"/>
      <c r="H4080" s="131"/>
      <c r="I4080" s="132"/>
      <c r="J4080" s="133"/>
      <c r="K4080" s="134"/>
      <c r="L4080" s="18">
        <f>J4071+J4072+J4073+J4074+J4075+J4076+J4077+J4078+J4079</f>
        <v>710</v>
      </c>
    </row>
    <row r="4081" spans="1:12" ht="15.75" thickBot="1" x14ac:dyDescent="0.3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</row>
    <row r="4082" spans="1:12" ht="15.75" thickBot="1" x14ac:dyDescent="0.3">
      <c r="A4082" s="19"/>
      <c r="B4082" s="20"/>
      <c r="C4082" s="20"/>
      <c r="D4082" s="20"/>
      <c r="E4082" s="21" t="s">
        <v>13</v>
      </c>
      <c r="F4082" s="5"/>
      <c r="G4082" s="19"/>
      <c r="H4082" s="20"/>
      <c r="I4082" s="20"/>
      <c r="J4082" s="20"/>
      <c r="K4082" s="21" t="s">
        <v>13</v>
      </c>
      <c r="L4082" s="5"/>
    </row>
    <row r="4083" spans="1:12" x14ac:dyDescent="0.25">
      <c r="A4083" s="22" t="s">
        <v>31</v>
      </c>
      <c r="B4083" s="115">
        <v>18078</v>
      </c>
      <c r="C4083" s="116"/>
      <c r="D4083" s="116"/>
      <c r="E4083" s="117"/>
      <c r="F4083" s="5"/>
      <c r="G4083" s="22" t="s">
        <v>32</v>
      </c>
      <c r="H4083" s="115">
        <v>43258</v>
      </c>
      <c r="I4083" s="116"/>
      <c r="J4083" s="116"/>
      <c r="K4083" s="117"/>
      <c r="L4083" s="5"/>
    </row>
    <row r="4084" spans="1:12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</row>
    <row r="4085" spans="1:12" x14ac:dyDescent="0.25">
      <c r="A4085" s="7" t="s">
        <v>16</v>
      </c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</row>
    <row r="4086" spans="1:12" x14ac:dyDescent="0.25">
      <c r="A4086" s="9" t="s">
        <v>17</v>
      </c>
      <c r="B4086" s="23">
        <f>L4063-C4058</f>
        <v>3050</v>
      </c>
      <c r="C4086" s="5"/>
      <c r="D4086" s="106" t="s">
        <v>18</v>
      </c>
      <c r="E4086" s="107"/>
      <c r="F4086" s="24" t="s">
        <v>19</v>
      </c>
      <c r="G4086" s="9" t="s">
        <v>20</v>
      </c>
      <c r="H4086" s="118">
        <f>B4083+H4083</f>
        <v>61336</v>
      </c>
      <c r="I4086" s="119"/>
      <c r="J4086" s="60"/>
      <c r="K4086" s="5"/>
      <c r="L4086" s="5"/>
    </row>
    <row r="4087" spans="1:12" x14ac:dyDescent="0.25">
      <c r="A4087" s="9" t="s">
        <v>41</v>
      </c>
      <c r="B4087" s="40">
        <f>B4086/D4079</f>
        <v>2.0907236988672389</v>
      </c>
      <c r="C4087" s="5"/>
      <c r="D4087" s="102">
        <f>E4079</f>
        <v>29566.83</v>
      </c>
      <c r="E4087" s="103"/>
      <c r="F4087" s="25">
        <f>H4087/B4086</f>
        <v>12.395681967213115</v>
      </c>
      <c r="G4087" s="9" t="s">
        <v>21</v>
      </c>
      <c r="H4087" s="104">
        <f>L4080+D4087+D4089+D4091+D4093+A4090</f>
        <v>37806.83</v>
      </c>
      <c r="I4087" s="105"/>
      <c r="J4087" s="5"/>
      <c r="K4087" s="5"/>
      <c r="L4087" s="5"/>
    </row>
    <row r="4088" spans="1:12" x14ac:dyDescent="0.25">
      <c r="A4088" s="9" t="s">
        <v>43</v>
      </c>
      <c r="B4088" s="23">
        <f>D4079/B4086*100</f>
        <v>47.830327868852464</v>
      </c>
      <c r="C4088" s="5"/>
      <c r="D4088" s="106" t="s">
        <v>33</v>
      </c>
      <c r="E4088" s="107"/>
      <c r="F4088" s="5"/>
      <c r="G4088" s="13" t="s">
        <v>22</v>
      </c>
      <c r="H4088" s="6"/>
      <c r="I4088" s="26">
        <f>H4086-H4087</f>
        <v>23529.17</v>
      </c>
      <c r="J4088" s="5"/>
      <c r="K4088" s="5"/>
      <c r="L4088" s="5"/>
    </row>
    <row r="4089" spans="1:12" x14ac:dyDescent="0.25">
      <c r="A4089" s="106" t="s">
        <v>40</v>
      </c>
      <c r="B4089" s="107"/>
      <c r="C4089" s="5"/>
      <c r="D4089" s="149">
        <v>1200</v>
      </c>
      <c r="E4089" s="150"/>
      <c r="F4089" s="5"/>
      <c r="G4089" s="5"/>
      <c r="H4089" s="5"/>
      <c r="I4089" s="5"/>
      <c r="J4089" s="5"/>
      <c r="K4089" s="5"/>
      <c r="L4089" s="5"/>
    </row>
    <row r="4090" spans="1:12" x14ac:dyDescent="0.25">
      <c r="A4090" s="108">
        <f>B4086*0.6</f>
        <v>1830</v>
      </c>
      <c r="B4090" s="109"/>
      <c r="C4090" s="5"/>
      <c r="D4090" s="106" t="s">
        <v>34</v>
      </c>
      <c r="E4090" s="107"/>
      <c r="F4090" s="5"/>
      <c r="G4090" s="145" t="s">
        <v>292</v>
      </c>
      <c r="H4090" s="146"/>
      <c r="I4090" s="23">
        <f>B4086/2.3</f>
        <v>1326.0869565217392</v>
      </c>
      <c r="J4090" s="60"/>
      <c r="K4090" s="5"/>
      <c r="L4090" s="5"/>
    </row>
    <row r="4091" spans="1:12" x14ac:dyDescent="0.25">
      <c r="A4091" s="5"/>
      <c r="B4091" s="5"/>
      <c r="C4091" s="5"/>
      <c r="D4091" s="108">
        <v>0</v>
      </c>
      <c r="E4091" s="109"/>
      <c r="F4091" s="5"/>
      <c r="G4091" s="145" t="s">
        <v>294</v>
      </c>
      <c r="H4091" s="146"/>
      <c r="I4091" s="23">
        <f>I4090-D4079</f>
        <v>-132.73804347826081</v>
      </c>
      <c r="J4091" s="5"/>
      <c r="K4091" s="5"/>
      <c r="L4091" s="5"/>
    </row>
    <row r="4092" spans="1:12" x14ac:dyDescent="0.25">
      <c r="A4092" s="5"/>
      <c r="B4092" s="5"/>
      <c r="C4092" s="5"/>
      <c r="D4092" s="106" t="s">
        <v>37</v>
      </c>
      <c r="E4092" s="107"/>
      <c r="F4092" s="5"/>
      <c r="G4092" s="147" t="s">
        <v>295</v>
      </c>
      <c r="H4092" s="148"/>
      <c r="I4092" s="86">
        <f>I4091*F4079</f>
        <v>-2752.1027468158345</v>
      </c>
      <c r="J4092" s="87">
        <f>I4088-I4092</f>
        <v>26281.272746815834</v>
      </c>
      <c r="K4092" s="5"/>
      <c r="L4092" s="5"/>
    </row>
    <row r="4093" spans="1:12" x14ac:dyDescent="0.25">
      <c r="A4093" s="5"/>
      <c r="B4093" s="5"/>
      <c r="C4093" s="5"/>
      <c r="D4093" s="108">
        <v>4500</v>
      </c>
      <c r="E4093" s="109"/>
      <c r="F4093" s="5" t="s">
        <v>78</v>
      </c>
      <c r="G4093" s="5"/>
      <c r="H4093" s="5"/>
      <c r="I4093" s="5"/>
      <c r="J4093" s="88" t="s">
        <v>293</v>
      </c>
      <c r="K4093" s="44"/>
      <c r="L4093" s="5"/>
    </row>
    <row r="4095" spans="1:12" s="49" customFormat="1" x14ac:dyDescent="0.25"/>
    <row r="4098" spans="1:12" x14ac:dyDescent="0.25">
      <c r="A4098" s="120" t="s">
        <v>24</v>
      </c>
      <c r="B4098" s="120"/>
      <c r="C4098" s="120"/>
      <c r="D4098" s="120"/>
      <c r="E4098" s="120"/>
      <c r="F4098" s="120"/>
      <c r="G4098" s="120"/>
      <c r="H4098" s="120"/>
      <c r="I4098" s="120"/>
      <c r="J4098" s="120"/>
      <c r="K4098" s="120"/>
      <c r="L4098" s="120"/>
    </row>
    <row r="4099" spans="1:12" x14ac:dyDescent="0.25">
      <c r="A4099" s="120"/>
      <c r="B4099" s="120"/>
      <c r="C4099" s="120"/>
      <c r="D4099" s="120"/>
      <c r="E4099" s="120"/>
      <c r="F4099" s="120"/>
      <c r="G4099" s="120"/>
      <c r="H4099" s="120"/>
      <c r="I4099" s="120"/>
      <c r="J4099" s="120"/>
      <c r="K4099" s="120"/>
      <c r="L4099" s="120"/>
    </row>
    <row r="4100" spans="1:12" x14ac:dyDescent="0.25">
      <c r="A4100" s="1" t="s">
        <v>4</v>
      </c>
      <c r="B4100" s="2"/>
      <c r="C4100" s="90"/>
      <c r="D4100" s="2"/>
      <c r="E4100" s="2"/>
      <c r="F4100" s="2"/>
      <c r="G4100" s="3" t="s">
        <v>5</v>
      </c>
      <c r="H4100" s="3" t="s">
        <v>6</v>
      </c>
      <c r="I4100" s="4" t="s">
        <v>7</v>
      </c>
      <c r="J4100" s="5"/>
      <c r="K4100" s="5"/>
      <c r="L4100" s="5"/>
    </row>
    <row r="4101" spans="1:12" x14ac:dyDescent="0.25">
      <c r="A4101" s="91" t="s">
        <v>549</v>
      </c>
      <c r="B4101" s="92" t="s">
        <v>42</v>
      </c>
      <c r="C4101" s="64"/>
      <c r="D4101" s="66"/>
      <c r="E4101" s="2"/>
      <c r="F4101" s="2"/>
      <c r="G4101" s="91" t="s">
        <v>299</v>
      </c>
      <c r="H4101" s="66"/>
      <c r="I4101" s="33"/>
      <c r="J4101" s="6"/>
      <c r="K4101" s="33"/>
      <c r="L4101" s="6"/>
    </row>
    <row r="4102" spans="1:12" x14ac:dyDescent="0.25">
      <c r="A4102" s="7" t="s">
        <v>2</v>
      </c>
      <c r="B4102" s="5"/>
      <c r="C4102" s="5"/>
      <c r="D4102" s="5"/>
      <c r="E4102" s="5"/>
      <c r="F4102" s="5"/>
      <c r="G4102" s="8" t="s">
        <v>8</v>
      </c>
      <c r="H4102" s="93">
        <v>3</v>
      </c>
      <c r="I4102" s="5"/>
      <c r="J4102" s="5"/>
      <c r="K4102" s="5"/>
      <c r="L4102" s="5"/>
    </row>
    <row r="4103" spans="1:12" x14ac:dyDescent="0.25">
      <c r="A4103" s="7" t="s">
        <v>25</v>
      </c>
      <c r="B4103" s="5"/>
      <c r="C4103" s="7" t="s">
        <v>0</v>
      </c>
      <c r="D4103" s="5"/>
      <c r="E4103" s="5"/>
      <c r="F4103" s="5"/>
      <c r="G4103" s="7" t="s">
        <v>25</v>
      </c>
      <c r="H4103" s="5"/>
      <c r="I4103" s="7" t="s">
        <v>0</v>
      </c>
      <c r="J4103" s="5"/>
      <c r="K4103" s="5"/>
      <c r="L4103" s="5"/>
    </row>
    <row r="4104" spans="1:12" x14ac:dyDescent="0.25">
      <c r="A4104" s="42">
        <v>46002</v>
      </c>
      <c r="B4104" s="6"/>
      <c r="C4104" s="31">
        <f>L4063</f>
        <v>1077441</v>
      </c>
      <c r="D4104" s="5"/>
      <c r="E4104" s="5"/>
      <c r="F4104" s="5"/>
      <c r="G4104" s="42"/>
      <c r="H4104" s="6"/>
      <c r="I4104" s="9"/>
      <c r="J4104" s="5"/>
      <c r="K4104" s="5"/>
      <c r="L4104" s="5"/>
    </row>
    <row r="4105" spans="1:12" ht="16.5" thickBot="1" x14ac:dyDescent="0.3">
      <c r="A4105" s="7"/>
      <c r="B4105" s="62"/>
      <c r="C4105" s="62"/>
      <c r="D4105" s="62"/>
      <c r="E4105" s="5"/>
      <c r="F4105" s="5"/>
      <c r="G4105" s="10"/>
      <c r="H4105" s="5"/>
      <c r="I4105" s="5"/>
      <c r="J4105" s="5"/>
      <c r="K4105" s="5"/>
      <c r="L4105" s="5"/>
    </row>
    <row r="4106" spans="1:12" ht="15.75" thickBot="1" x14ac:dyDescent="0.3">
      <c r="A4106" s="121" t="s">
        <v>9</v>
      </c>
      <c r="B4106" s="122"/>
      <c r="C4106" s="123"/>
      <c r="D4106" s="5"/>
      <c r="E4106" s="5"/>
      <c r="F4106" s="5"/>
      <c r="G4106" s="121" t="s">
        <v>26</v>
      </c>
      <c r="H4106" s="122"/>
      <c r="I4106" s="123"/>
      <c r="J4106" s="5"/>
      <c r="K4106" s="5"/>
      <c r="L4106" s="5"/>
    </row>
    <row r="4107" spans="1:12" x14ac:dyDescent="0.25">
      <c r="A4107" s="30" t="s">
        <v>38</v>
      </c>
      <c r="B4107" s="11"/>
      <c r="C4107" s="11"/>
      <c r="D4107" s="11"/>
      <c r="E4107" s="6"/>
      <c r="F4107" s="5"/>
      <c r="G4107" s="30" t="str">
        <f>A4110</f>
        <v>Cape Town</v>
      </c>
      <c r="H4107" s="11"/>
      <c r="I4107" s="11"/>
      <c r="J4107" s="11"/>
      <c r="K4107" s="11"/>
      <c r="L4107" s="6"/>
    </row>
    <row r="4108" spans="1:12" ht="15.75" thickBot="1" x14ac:dyDescent="0.3">
      <c r="A4108" s="7"/>
      <c r="B4108" s="7"/>
      <c r="C4108" s="7"/>
      <c r="D4108" s="5"/>
      <c r="E4108" s="5"/>
      <c r="F4108" s="5"/>
      <c r="G4108" s="7"/>
      <c r="H4108" s="7"/>
      <c r="I4108" s="7"/>
      <c r="J4108" s="5"/>
      <c r="K4108" s="5"/>
      <c r="L4108" s="5"/>
    </row>
    <row r="4109" spans="1:12" ht="15.75" thickBot="1" x14ac:dyDescent="0.3">
      <c r="A4109" s="121"/>
      <c r="B4109" s="122"/>
      <c r="C4109" s="124"/>
      <c r="D4109" s="12" t="s">
        <v>1</v>
      </c>
      <c r="E4109" s="32"/>
      <c r="F4109" s="5"/>
      <c r="G4109" s="121" t="s">
        <v>27</v>
      </c>
      <c r="H4109" s="122"/>
      <c r="I4109" s="123"/>
      <c r="J4109" s="5"/>
      <c r="K4109" s="12" t="s">
        <v>1</v>
      </c>
      <c r="L4109" s="32">
        <v>1080483</v>
      </c>
    </row>
    <row r="4110" spans="1:12" x14ac:dyDescent="0.25">
      <c r="A4110" s="30" t="s">
        <v>65</v>
      </c>
      <c r="B4110" s="11"/>
      <c r="C4110" s="11"/>
      <c r="D4110" s="11"/>
      <c r="E4110" s="6"/>
      <c r="F4110" s="5"/>
      <c r="G4110" s="30" t="s">
        <v>364</v>
      </c>
      <c r="H4110" s="11"/>
      <c r="I4110" s="11"/>
      <c r="J4110" s="11"/>
      <c r="K4110" s="11"/>
      <c r="L4110" s="6"/>
    </row>
    <row r="4111" spans="1:12" x14ac:dyDescent="0.25">
      <c r="A4111" s="76"/>
      <c r="B4111" s="11"/>
      <c r="C4111" s="11"/>
      <c r="D4111" s="11"/>
      <c r="E4111" s="6"/>
      <c r="F4111" s="5"/>
      <c r="G4111" s="34"/>
      <c r="H4111" s="11"/>
      <c r="I4111" s="11"/>
      <c r="J4111" s="11"/>
      <c r="K4111" s="11"/>
      <c r="L4111" s="6"/>
    </row>
    <row r="4112" spans="1:12" x14ac:dyDescent="0.25">
      <c r="A4112" s="13"/>
      <c r="B4112" s="11"/>
      <c r="C4112" s="11"/>
      <c r="D4112" s="11"/>
      <c r="E4112" s="6"/>
      <c r="F4112" s="5"/>
      <c r="G4112" s="13"/>
      <c r="H4112" s="11"/>
      <c r="I4112" s="11"/>
      <c r="J4112" s="11"/>
      <c r="K4112" s="11"/>
      <c r="L4112" s="6"/>
    </row>
    <row r="4113" spans="1:12" x14ac:dyDescent="0.25">
      <c r="A4113" s="13"/>
      <c r="B4113" s="11"/>
      <c r="C4113" s="11"/>
      <c r="D4113" s="11"/>
      <c r="E4113" s="6"/>
      <c r="F4113" s="5"/>
      <c r="G4113" s="13"/>
      <c r="H4113" s="11"/>
      <c r="I4113" s="11"/>
      <c r="J4113" s="11"/>
      <c r="K4113" s="11"/>
      <c r="L4113" s="6"/>
    </row>
    <row r="4114" spans="1:12" ht="15.75" thickBot="1" x14ac:dyDescent="0.3">
      <c r="A4114" s="13"/>
      <c r="B4114" s="11"/>
      <c r="C4114" s="11" t="s">
        <v>29</v>
      </c>
      <c r="D4114" s="43"/>
      <c r="E4114" s="6"/>
      <c r="F4114" s="5"/>
      <c r="G4114" s="13"/>
      <c r="H4114" s="11"/>
      <c r="I4114" s="14" t="s">
        <v>28</v>
      </c>
      <c r="J4114" s="43"/>
      <c r="K4114" s="59"/>
      <c r="L4114" s="6"/>
    </row>
    <row r="4115" spans="1:12" ht="15.75" thickBot="1" x14ac:dyDescent="0.3">
      <c r="A4115" s="15" t="s">
        <v>10</v>
      </c>
      <c r="B4115" s="5"/>
      <c r="C4115" s="5"/>
      <c r="D4115" s="5">
        <v>665.64</v>
      </c>
      <c r="E4115" s="5"/>
      <c r="F4115" s="5"/>
      <c r="G4115" s="15" t="s">
        <v>14</v>
      </c>
      <c r="H4115" s="5"/>
      <c r="I4115" s="5"/>
      <c r="J4115" s="5"/>
      <c r="K4115" s="5"/>
      <c r="L4115" s="5"/>
    </row>
    <row r="4116" spans="1:12" ht="15.75" thickBot="1" x14ac:dyDescent="0.3">
      <c r="A4116" s="121" t="s">
        <v>11</v>
      </c>
      <c r="B4116" s="122"/>
      <c r="C4116" s="123"/>
      <c r="D4116" s="16" t="s">
        <v>12</v>
      </c>
      <c r="E4116" s="16" t="s">
        <v>13</v>
      </c>
      <c r="F4116" s="5"/>
      <c r="G4116" s="121" t="s">
        <v>15</v>
      </c>
      <c r="H4116" s="122"/>
      <c r="I4116" s="123"/>
      <c r="J4116" s="121"/>
      <c r="K4116" s="123"/>
      <c r="L4116" s="5"/>
    </row>
    <row r="4117" spans="1:12" x14ac:dyDescent="0.25">
      <c r="A4117" s="94" t="s">
        <v>560</v>
      </c>
      <c r="B4117" s="46" t="s">
        <v>66</v>
      </c>
      <c r="C4117" s="47"/>
      <c r="D4117" s="56">
        <v>289.49</v>
      </c>
      <c r="E4117" s="57">
        <v>5442.41</v>
      </c>
      <c r="F4117" s="44">
        <f>E4117/D4117</f>
        <v>18.799993091298489</v>
      </c>
      <c r="G4117" s="125" t="s">
        <v>69</v>
      </c>
      <c r="H4117" s="126"/>
      <c r="I4117" s="127"/>
      <c r="J4117" s="128"/>
      <c r="K4117" s="129"/>
      <c r="L4117" s="5"/>
    </row>
    <row r="4118" spans="1:12" x14ac:dyDescent="0.25">
      <c r="A4118" s="94" t="s">
        <v>561</v>
      </c>
      <c r="B4118" s="46" t="s">
        <v>66</v>
      </c>
      <c r="C4118" s="47"/>
      <c r="D4118" s="56">
        <v>728.16</v>
      </c>
      <c r="E4118" s="57">
        <v>13689.4</v>
      </c>
      <c r="F4118" s="44">
        <f>E4118/D4118</f>
        <v>18.799989013403646</v>
      </c>
      <c r="G4118" s="110" t="s">
        <v>59</v>
      </c>
      <c r="H4118" s="111"/>
      <c r="I4118" s="112"/>
      <c r="J4118" s="113"/>
      <c r="K4118" s="114"/>
      <c r="L4118" s="5"/>
    </row>
    <row r="4119" spans="1:12" x14ac:dyDescent="0.25">
      <c r="A4119" s="94" t="s">
        <v>562</v>
      </c>
      <c r="B4119" s="46" t="s">
        <v>563</v>
      </c>
      <c r="C4119" s="47"/>
      <c r="D4119" s="56">
        <v>400</v>
      </c>
      <c r="E4119" s="57">
        <v>7272</v>
      </c>
      <c r="F4119" s="44">
        <f>E4119/D4119</f>
        <v>18.18</v>
      </c>
      <c r="G4119" s="110" t="s">
        <v>61</v>
      </c>
      <c r="H4119" s="111"/>
      <c r="I4119" s="112"/>
      <c r="J4119" s="113"/>
      <c r="K4119" s="114"/>
      <c r="L4119" s="5"/>
    </row>
    <row r="4120" spans="1:12" x14ac:dyDescent="0.25">
      <c r="A4120" s="94"/>
      <c r="B4120" s="46"/>
      <c r="C4120" s="47"/>
      <c r="D4120" s="56"/>
      <c r="E4120" s="57"/>
      <c r="F4120" s="44"/>
      <c r="G4120" s="110" t="s">
        <v>51</v>
      </c>
      <c r="H4120" s="111"/>
      <c r="I4120" s="112"/>
      <c r="J4120" s="113"/>
      <c r="K4120" s="114"/>
      <c r="L4120" s="5"/>
    </row>
    <row r="4121" spans="1:12" x14ac:dyDescent="0.25">
      <c r="A4121" s="48"/>
      <c r="B4121" s="46"/>
      <c r="C4121" s="39"/>
      <c r="D4121" s="52"/>
      <c r="E4121" s="53"/>
      <c r="F4121" s="44"/>
      <c r="G4121" s="110" t="s">
        <v>58</v>
      </c>
      <c r="H4121" s="111"/>
      <c r="I4121" s="112"/>
      <c r="J4121" s="113"/>
      <c r="K4121" s="114"/>
      <c r="L4121" s="5"/>
    </row>
    <row r="4122" spans="1:12" x14ac:dyDescent="0.25">
      <c r="A4122" s="48"/>
      <c r="B4122" s="35"/>
      <c r="C4122" s="39"/>
      <c r="D4122" s="52"/>
      <c r="E4122" s="53"/>
      <c r="F4122" s="44"/>
      <c r="G4122" s="110" t="s">
        <v>51</v>
      </c>
      <c r="H4122" s="111"/>
      <c r="I4122" s="112"/>
      <c r="J4122" s="113"/>
      <c r="K4122" s="114"/>
      <c r="L4122" s="5"/>
    </row>
    <row r="4123" spans="1:12" x14ac:dyDescent="0.25">
      <c r="A4123" s="48"/>
      <c r="B4123" s="35"/>
      <c r="C4123" s="39"/>
      <c r="D4123" s="52"/>
      <c r="E4123" s="53"/>
      <c r="F4123" s="44"/>
      <c r="G4123" s="77"/>
      <c r="H4123" s="78" t="s">
        <v>69</v>
      </c>
      <c r="I4123" s="79"/>
      <c r="J4123" s="113"/>
      <c r="K4123" s="114"/>
      <c r="L4123" s="5"/>
    </row>
    <row r="4124" spans="1:12" x14ac:dyDescent="0.25">
      <c r="A4124" s="38"/>
      <c r="B4124" s="35"/>
      <c r="C4124" s="39"/>
      <c r="D4124" s="52"/>
      <c r="E4124" s="53"/>
      <c r="F4124" s="44"/>
      <c r="G4124" s="77"/>
      <c r="H4124" s="78" t="s">
        <v>72</v>
      </c>
      <c r="I4124" s="79"/>
      <c r="J4124" s="113"/>
      <c r="K4124" s="114"/>
      <c r="L4124" s="5"/>
    </row>
    <row r="4125" spans="1:12" ht="15.75" thickBot="1" x14ac:dyDescent="0.3">
      <c r="A4125" s="5"/>
      <c r="B4125" s="5"/>
      <c r="C4125" s="7" t="s">
        <v>35</v>
      </c>
      <c r="D4125" s="17">
        <f>SUM(D4117:D4124)</f>
        <v>1417.65</v>
      </c>
      <c r="E4125" s="17">
        <f>SUM(E4117:E4124)</f>
        <v>26403.809999999998</v>
      </c>
      <c r="F4125" s="89">
        <f>AVERAGE(F4117:F4121)</f>
        <v>18.593327368234046</v>
      </c>
      <c r="G4125" s="110" t="s">
        <v>73</v>
      </c>
      <c r="H4125" s="111"/>
      <c r="I4125" s="112"/>
      <c r="J4125" s="113"/>
      <c r="K4125" s="114"/>
      <c r="L4125" s="7" t="s">
        <v>36</v>
      </c>
    </row>
    <row r="4126" spans="1:12" ht="15.75" thickBot="1" x14ac:dyDescent="0.3">
      <c r="A4126" s="5"/>
      <c r="B4126" s="5"/>
      <c r="C4126" s="5"/>
      <c r="D4126" s="5"/>
      <c r="E4126" s="5"/>
      <c r="F4126" s="5"/>
      <c r="G4126" s="130"/>
      <c r="H4126" s="131"/>
      <c r="I4126" s="132"/>
      <c r="J4126" s="133"/>
      <c r="K4126" s="134"/>
      <c r="L4126" s="18">
        <f>J4117+J4118+J4119+J4120+J4121+J4122+J4123+J4124+J4125</f>
        <v>0</v>
      </c>
    </row>
    <row r="4127" spans="1:12" ht="15.75" thickBot="1" x14ac:dyDescent="0.3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</row>
    <row r="4128" spans="1:12" ht="15.75" thickBot="1" x14ac:dyDescent="0.3">
      <c r="A4128" s="19"/>
      <c r="B4128" s="20"/>
      <c r="C4128" s="20"/>
      <c r="D4128" s="20"/>
      <c r="E4128" s="21" t="s">
        <v>13</v>
      </c>
      <c r="F4128" s="5"/>
      <c r="G4128" s="19"/>
      <c r="H4128" s="20"/>
      <c r="I4128" s="20"/>
      <c r="J4128" s="20"/>
      <c r="K4128" s="21" t="s">
        <v>13</v>
      </c>
      <c r="L4128" s="5"/>
    </row>
    <row r="4129" spans="1:12" x14ac:dyDescent="0.25">
      <c r="A4129" s="22" t="s">
        <v>31</v>
      </c>
      <c r="B4129" s="115">
        <v>19091</v>
      </c>
      <c r="C4129" s="116"/>
      <c r="D4129" s="116"/>
      <c r="E4129" s="117"/>
      <c r="F4129" s="5"/>
      <c r="G4129" s="22" t="s">
        <v>32</v>
      </c>
      <c r="H4129" s="115">
        <v>43258</v>
      </c>
      <c r="I4129" s="116"/>
      <c r="J4129" s="116"/>
      <c r="K4129" s="117"/>
      <c r="L4129" s="5"/>
    </row>
    <row r="4130" spans="1:12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</row>
    <row r="4131" spans="1:12" x14ac:dyDescent="0.25">
      <c r="A4131" s="7" t="s">
        <v>16</v>
      </c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</row>
    <row r="4132" spans="1:12" x14ac:dyDescent="0.25">
      <c r="A4132" s="9" t="s">
        <v>17</v>
      </c>
      <c r="B4132" s="23">
        <f>L4109-C4104</f>
        <v>3042</v>
      </c>
      <c r="C4132" s="5"/>
      <c r="D4132" s="106" t="s">
        <v>18</v>
      </c>
      <c r="E4132" s="107"/>
      <c r="F4132" s="24" t="s">
        <v>19</v>
      </c>
      <c r="G4132" s="9" t="s">
        <v>20</v>
      </c>
      <c r="H4132" s="118">
        <f>B4129+H4129</f>
        <v>62349</v>
      </c>
      <c r="I4132" s="119"/>
      <c r="J4132" s="60"/>
      <c r="K4132" s="5"/>
      <c r="L4132" s="5"/>
    </row>
    <row r="4133" spans="1:12" x14ac:dyDescent="0.25">
      <c r="A4133" s="9" t="s">
        <v>41</v>
      </c>
      <c r="B4133" s="40">
        <f>B4132/D4125</f>
        <v>2.1458046767537824</v>
      </c>
      <c r="C4133" s="5"/>
      <c r="D4133" s="102">
        <f>E4125</f>
        <v>26403.809999999998</v>
      </c>
      <c r="E4133" s="103"/>
      <c r="F4133" s="25">
        <f>H4133/B4132</f>
        <v>9.6742307692307694</v>
      </c>
      <c r="G4133" s="9" t="s">
        <v>21</v>
      </c>
      <c r="H4133" s="104">
        <f>L4126+D4133+D4135+D4137+D4139+A4136</f>
        <v>29429.01</v>
      </c>
      <c r="I4133" s="105"/>
      <c r="J4133" s="5"/>
      <c r="K4133" s="5"/>
      <c r="L4133" s="5"/>
    </row>
    <row r="4134" spans="1:12" x14ac:dyDescent="0.25">
      <c r="A4134" s="9" t="s">
        <v>43</v>
      </c>
      <c r="B4134" s="23">
        <f>D4125/B4132*100</f>
        <v>46.602564102564102</v>
      </c>
      <c r="C4134" s="5"/>
      <c r="D4134" s="106" t="s">
        <v>33</v>
      </c>
      <c r="E4134" s="107"/>
      <c r="F4134" s="5"/>
      <c r="G4134" s="13" t="s">
        <v>22</v>
      </c>
      <c r="H4134" s="6"/>
      <c r="I4134" s="26">
        <f>H4132-H4133</f>
        <v>32919.990000000005</v>
      </c>
      <c r="J4134" s="5"/>
      <c r="K4134" s="5"/>
      <c r="L4134" s="5"/>
    </row>
    <row r="4135" spans="1:12" x14ac:dyDescent="0.25">
      <c r="A4135" s="106" t="s">
        <v>40</v>
      </c>
      <c r="B4135" s="107"/>
      <c r="C4135" s="5"/>
      <c r="D4135" s="149">
        <v>1200</v>
      </c>
      <c r="E4135" s="150"/>
      <c r="F4135" s="5"/>
      <c r="G4135" s="5"/>
      <c r="H4135" s="5"/>
      <c r="I4135" s="5"/>
      <c r="J4135" s="5"/>
      <c r="K4135" s="5"/>
      <c r="L4135" s="5"/>
    </row>
    <row r="4136" spans="1:12" x14ac:dyDescent="0.25">
      <c r="A4136" s="108">
        <f>B4132*0.6</f>
        <v>1825.2</v>
      </c>
      <c r="B4136" s="109"/>
      <c r="C4136" s="5"/>
      <c r="D4136" s="106" t="s">
        <v>34</v>
      </c>
      <c r="E4136" s="107"/>
      <c r="F4136" s="5"/>
      <c r="G4136" s="145" t="s">
        <v>292</v>
      </c>
      <c r="H4136" s="146"/>
      <c r="I4136" s="23">
        <f>B4132/2.3</f>
        <v>1322.608695652174</v>
      </c>
      <c r="J4136" s="60"/>
      <c r="K4136" s="5"/>
      <c r="L4136" s="5"/>
    </row>
    <row r="4137" spans="1:12" x14ac:dyDescent="0.25">
      <c r="A4137" s="5"/>
      <c r="B4137" s="5"/>
      <c r="C4137" s="5"/>
      <c r="D4137" s="108">
        <v>0</v>
      </c>
      <c r="E4137" s="109"/>
      <c r="F4137" s="5"/>
      <c r="G4137" s="145" t="s">
        <v>294</v>
      </c>
      <c r="H4137" s="146"/>
      <c r="I4137" s="23">
        <f>I4136-D4125</f>
        <v>-95.041304347826099</v>
      </c>
      <c r="J4137" s="5"/>
      <c r="K4137" s="5"/>
      <c r="L4137" s="5"/>
    </row>
    <row r="4138" spans="1:12" x14ac:dyDescent="0.25">
      <c r="A4138" s="5"/>
      <c r="B4138" s="5"/>
      <c r="C4138" s="5"/>
      <c r="D4138" s="106" t="s">
        <v>37</v>
      </c>
      <c r="E4138" s="107"/>
      <c r="F4138" s="5"/>
      <c r="G4138" s="147" t="s">
        <v>295</v>
      </c>
      <c r="H4138" s="148"/>
      <c r="I4138" s="86">
        <f>I4137*F4125</f>
        <v>-1767.1340852430965</v>
      </c>
      <c r="J4138" s="87">
        <f>I4134-I4138</f>
        <v>34687.1240852431</v>
      </c>
      <c r="K4138" s="5"/>
      <c r="L4138" s="5"/>
    </row>
    <row r="4139" spans="1:12" x14ac:dyDescent="0.25">
      <c r="A4139" s="5"/>
      <c r="B4139" s="5"/>
      <c r="C4139" s="5"/>
      <c r="D4139" s="108">
        <v>0</v>
      </c>
      <c r="E4139" s="109"/>
      <c r="F4139" s="5" t="s">
        <v>78</v>
      </c>
      <c r="G4139" s="5"/>
      <c r="H4139" s="5"/>
      <c r="I4139" s="5"/>
      <c r="J4139" s="88" t="s">
        <v>293</v>
      </c>
      <c r="K4139" s="44"/>
      <c r="L4139" s="5"/>
    </row>
    <row r="4141" spans="1:12" s="49" customFormat="1" x14ac:dyDescent="0.25"/>
    <row r="4144" spans="1:12" x14ac:dyDescent="0.25">
      <c r="A4144" s="120" t="s">
        <v>24</v>
      </c>
      <c r="B4144" s="120"/>
      <c r="C4144" s="120"/>
      <c r="D4144" s="120"/>
      <c r="E4144" s="120"/>
      <c r="F4144" s="120"/>
      <c r="G4144" s="120"/>
      <c r="H4144" s="120"/>
      <c r="I4144" s="120"/>
      <c r="J4144" s="120"/>
      <c r="K4144" s="120"/>
      <c r="L4144" s="120"/>
    </row>
    <row r="4145" spans="1:12" x14ac:dyDescent="0.25">
      <c r="A4145" s="120"/>
      <c r="B4145" s="120"/>
      <c r="C4145" s="120"/>
      <c r="D4145" s="120"/>
      <c r="E4145" s="120"/>
      <c r="F4145" s="120"/>
      <c r="G4145" s="120"/>
      <c r="H4145" s="120"/>
      <c r="I4145" s="120"/>
      <c r="J4145" s="120"/>
      <c r="K4145" s="120"/>
      <c r="L4145" s="120"/>
    </row>
    <row r="4146" spans="1:12" x14ac:dyDescent="0.25">
      <c r="A4146" s="1" t="s">
        <v>4</v>
      </c>
      <c r="B4146" s="2"/>
      <c r="C4146" s="90"/>
      <c r="D4146" s="2"/>
      <c r="E4146" s="2"/>
      <c r="F4146" s="2"/>
      <c r="G4146" s="3" t="s">
        <v>5</v>
      </c>
      <c r="H4146" s="3" t="s">
        <v>6</v>
      </c>
      <c r="I4146" s="4" t="s">
        <v>7</v>
      </c>
      <c r="J4146" s="5"/>
      <c r="K4146" s="5"/>
      <c r="L4146" s="5"/>
    </row>
    <row r="4147" spans="1:12" x14ac:dyDescent="0.25">
      <c r="A4147" s="91" t="s">
        <v>549</v>
      </c>
      <c r="B4147" s="92" t="s">
        <v>42</v>
      </c>
      <c r="C4147" s="64"/>
      <c r="D4147" s="66"/>
      <c r="E4147" s="2"/>
      <c r="F4147" s="2"/>
      <c r="G4147" s="91" t="s">
        <v>299</v>
      </c>
      <c r="H4147" s="66"/>
      <c r="I4147" s="33"/>
      <c r="J4147" s="6"/>
      <c r="K4147" s="33"/>
      <c r="L4147" s="6"/>
    </row>
    <row r="4148" spans="1:12" x14ac:dyDescent="0.25">
      <c r="A4148" s="7" t="s">
        <v>2</v>
      </c>
      <c r="B4148" s="5"/>
      <c r="C4148" s="5"/>
      <c r="D4148" s="5"/>
      <c r="E4148" s="5"/>
      <c r="F4148" s="5"/>
      <c r="G4148" s="8" t="s">
        <v>8</v>
      </c>
      <c r="H4148" s="93">
        <v>3</v>
      </c>
      <c r="I4148" s="5"/>
      <c r="J4148" s="5"/>
      <c r="K4148" s="5"/>
      <c r="L4148" s="5"/>
    </row>
    <row r="4149" spans="1:12" x14ac:dyDescent="0.25">
      <c r="A4149" s="7" t="s">
        <v>25</v>
      </c>
      <c r="B4149" s="5"/>
      <c r="C4149" s="7" t="s">
        <v>0</v>
      </c>
      <c r="D4149" s="5"/>
      <c r="E4149" s="5"/>
      <c r="F4149" s="5"/>
      <c r="G4149" s="7" t="s">
        <v>25</v>
      </c>
      <c r="H4149" s="5"/>
      <c r="I4149" s="7" t="s">
        <v>0</v>
      </c>
      <c r="J4149" s="5"/>
      <c r="K4149" s="5"/>
      <c r="L4149" s="5"/>
    </row>
    <row r="4150" spans="1:12" x14ac:dyDescent="0.25">
      <c r="A4150" s="42" t="s">
        <v>562</v>
      </c>
      <c r="B4150" s="6"/>
      <c r="C4150" s="31">
        <f>L4109</f>
        <v>1080483</v>
      </c>
      <c r="D4150" s="5"/>
      <c r="E4150" s="5"/>
      <c r="F4150" s="5"/>
      <c r="G4150" s="42"/>
      <c r="H4150" s="6"/>
      <c r="I4150" s="9"/>
      <c r="J4150" s="5"/>
      <c r="K4150" s="5"/>
      <c r="L4150" s="5"/>
    </row>
    <row r="4151" spans="1:12" ht="16.5" thickBot="1" x14ac:dyDescent="0.3">
      <c r="A4151" s="7"/>
      <c r="B4151" s="62"/>
      <c r="C4151" s="62"/>
      <c r="D4151" s="62"/>
      <c r="E4151" s="5"/>
      <c r="F4151" s="5"/>
      <c r="G4151" s="10"/>
      <c r="H4151" s="5"/>
      <c r="I4151" s="5"/>
      <c r="J4151" s="5"/>
      <c r="K4151" s="5"/>
      <c r="L4151" s="5"/>
    </row>
    <row r="4152" spans="1:12" ht="15.75" thickBot="1" x14ac:dyDescent="0.3">
      <c r="A4152" s="121" t="s">
        <v>9</v>
      </c>
      <c r="B4152" s="122"/>
      <c r="C4152" s="123"/>
      <c r="D4152" s="5"/>
      <c r="E4152" s="5"/>
      <c r="F4152" s="5"/>
      <c r="G4152" s="121" t="s">
        <v>26</v>
      </c>
      <c r="H4152" s="122"/>
      <c r="I4152" s="123"/>
      <c r="J4152" s="5"/>
      <c r="K4152" s="5"/>
      <c r="L4152" s="5"/>
    </row>
    <row r="4153" spans="1:12" x14ac:dyDescent="0.25">
      <c r="A4153" s="30" t="s">
        <v>38</v>
      </c>
      <c r="B4153" s="11"/>
      <c r="C4153" s="11"/>
      <c r="D4153" s="11"/>
      <c r="E4153" s="6"/>
      <c r="F4153" s="5"/>
      <c r="G4153" s="30" t="str">
        <f>A4156</f>
        <v>Johannesburg</v>
      </c>
      <c r="H4153" s="11"/>
      <c r="I4153" s="11"/>
      <c r="J4153" s="11"/>
      <c r="K4153" s="11"/>
      <c r="L4153" s="6"/>
    </row>
    <row r="4154" spans="1:12" ht="15.75" thickBot="1" x14ac:dyDescent="0.3">
      <c r="A4154" s="7"/>
      <c r="B4154" s="7"/>
      <c r="C4154" s="7"/>
      <c r="D4154" s="5"/>
      <c r="E4154" s="5"/>
      <c r="F4154" s="5"/>
      <c r="G4154" s="7"/>
      <c r="H4154" s="7"/>
      <c r="I4154" s="7"/>
      <c r="J4154" s="5"/>
      <c r="K4154" s="5"/>
      <c r="L4154" s="5"/>
    </row>
    <row r="4155" spans="1:12" ht="15.75" thickBot="1" x14ac:dyDescent="0.3">
      <c r="A4155" s="121"/>
      <c r="B4155" s="122"/>
      <c r="C4155" s="124"/>
      <c r="D4155" s="12" t="s">
        <v>1</v>
      </c>
      <c r="E4155" s="32"/>
      <c r="F4155" s="5"/>
      <c r="G4155" s="121" t="s">
        <v>27</v>
      </c>
      <c r="H4155" s="122"/>
      <c r="I4155" s="123"/>
      <c r="J4155" s="5"/>
      <c r="K4155" s="12" t="s">
        <v>1</v>
      </c>
      <c r="L4155" s="32">
        <v>1083470</v>
      </c>
    </row>
    <row r="4156" spans="1:12" x14ac:dyDescent="0.25">
      <c r="A4156" s="30" t="s">
        <v>68</v>
      </c>
      <c r="B4156" s="11"/>
      <c r="C4156" s="11"/>
      <c r="D4156" s="11"/>
      <c r="E4156" s="6"/>
      <c r="F4156" s="5"/>
      <c r="G4156" s="30" t="s">
        <v>364</v>
      </c>
      <c r="H4156" s="11"/>
      <c r="I4156" s="11"/>
      <c r="J4156" s="11"/>
      <c r="K4156" s="11"/>
      <c r="L4156" s="6"/>
    </row>
    <row r="4157" spans="1:12" x14ac:dyDescent="0.25">
      <c r="A4157" s="76"/>
      <c r="B4157" s="11"/>
      <c r="C4157" s="11"/>
      <c r="D4157" s="11"/>
      <c r="E4157" s="6"/>
      <c r="F4157" s="5"/>
      <c r="G4157" s="34"/>
      <c r="H4157" s="11"/>
      <c r="I4157" s="11"/>
      <c r="J4157" s="11"/>
      <c r="K4157" s="11"/>
      <c r="L4157" s="6"/>
    </row>
    <row r="4158" spans="1:12" x14ac:dyDescent="0.25">
      <c r="A4158" s="13"/>
      <c r="B4158" s="11"/>
      <c r="C4158" s="11"/>
      <c r="D4158" s="11"/>
      <c r="E4158" s="6"/>
      <c r="F4158" s="5"/>
      <c r="G4158" s="13"/>
      <c r="H4158" s="11"/>
      <c r="I4158" s="11"/>
      <c r="J4158" s="11"/>
      <c r="K4158" s="11"/>
      <c r="L4158" s="6"/>
    </row>
    <row r="4159" spans="1:12" x14ac:dyDescent="0.25">
      <c r="A4159" s="13"/>
      <c r="B4159" s="11"/>
      <c r="C4159" s="11"/>
      <c r="D4159" s="11"/>
      <c r="E4159" s="6"/>
      <c r="F4159" s="5"/>
      <c r="G4159" s="13"/>
      <c r="H4159" s="11"/>
      <c r="I4159" s="11"/>
      <c r="J4159" s="11"/>
      <c r="K4159" s="11"/>
      <c r="L4159" s="6"/>
    </row>
    <row r="4160" spans="1:12" ht="15.75" thickBot="1" x14ac:dyDescent="0.3">
      <c r="A4160" s="13"/>
      <c r="B4160" s="11"/>
      <c r="C4160" s="11" t="s">
        <v>29</v>
      </c>
      <c r="D4160" s="43"/>
      <c r="E4160" s="6"/>
      <c r="F4160" s="5"/>
      <c r="G4160" s="13"/>
      <c r="H4160" s="11"/>
      <c r="I4160" s="14" t="s">
        <v>28</v>
      </c>
      <c r="J4160" s="43"/>
      <c r="K4160" s="59"/>
      <c r="L4160" s="6"/>
    </row>
    <row r="4161" spans="1:12" ht="15.75" thickBot="1" x14ac:dyDescent="0.3">
      <c r="A4161" s="15" t="s">
        <v>10</v>
      </c>
      <c r="B4161" s="5"/>
      <c r="C4161" s="5"/>
      <c r="D4161" s="5">
        <v>665.64</v>
      </c>
      <c r="E4161" s="5"/>
      <c r="F4161" s="5"/>
      <c r="G4161" s="15" t="s">
        <v>14</v>
      </c>
      <c r="H4161" s="5"/>
      <c r="I4161" s="5"/>
      <c r="J4161" s="5"/>
      <c r="K4161" s="5"/>
      <c r="L4161" s="5"/>
    </row>
    <row r="4162" spans="1:12" ht="15.75" thickBot="1" x14ac:dyDescent="0.3">
      <c r="A4162" s="121" t="s">
        <v>11</v>
      </c>
      <c r="B4162" s="122"/>
      <c r="C4162" s="123"/>
      <c r="D4162" s="16" t="s">
        <v>12</v>
      </c>
      <c r="E4162" s="16" t="s">
        <v>13</v>
      </c>
      <c r="F4162" s="5"/>
      <c r="G4162" s="121" t="s">
        <v>15</v>
      </c>
      <c r="H4162" s="122"/>
      <c r="I4162" s="123"/>
      <c r="J4162" s="121"/>
      <c r="K4162" s="123"/>
      <c r="L4162" s="5"/>
    </row>
    <row r="4163" spans="1:12" x14ac:dyDescent="0.25">
      <c r="A4163" s="94" t="s">
        <v>564</v>
      </c>
      <c r="B4163" s="46" t="s">
        <v>565</v>
      </c>
      <c r="C4163" s="47"/>
      <c r="D4163" s="56">
        <f>412.49+333.41</f>
        <v>745.90000000000009</v>
      </c>
      <c r="E4163" s="57">
        <v>16275.55</v>
      </c>
      <c r="F4163" s="44">
        <f>E4163/D4163</f>
        <v>21.820016087947444</v>
      </c>
      <c r="G4163" s="125" t="s">
        <v>69</v>
      </c>
      <c r="H4163" s="126"/>
      <c r="I4163" s="127"/>
      <c r="J4163" s="128">
        <f>355+355</f>
        <v>710</v>
      </c>
      <c r="K4163" s="129"/>
      <c r="L4163" s="5"/>
    </row>
    <row r="4164" spans="1:12" x14ac:dyDescent="0.25">
      <c r="A4164" s="94" t="s">
        <v>566</v>
      </c>
      <c r="B4164" s="46" t="s">
        <v>47</v>
      </c>
      <c r="C4164" s="47"/>
      <c r="D4164" s="56">
        <v>713.02</v>
      </c>
      <c r="E4164" s="57">
        <v>12962.7</v>
      </c>
      <c r="F4164" s="44">
        <f>E4164/D4164</f>
        <v>18.179994951053267</v>
      </c>
      <c r="G4164" s="110" t="s">
        <v>59</v>
      </c>
      <c r="H4164" s="111"/>
      <c r="I4164" s="112"/>
      <c r="J4164" s="113"/>
      <c r="K4164" s="114"/>
      <c r="L4164" s="5"/>
    </row>
    <row r="4165" spans="1:12" x14ac:dyDescent="0.25">
      <c r="A4165" s="94"/>
      <c r="B4165" s="46"/>
      <c r="C4165" s="47"/>
      <c r="D4165" s="56"/>
      <c r="E4165" s="57"/>
      <c r="F4165" s="44"/>
      <c r="G4165" s="110" t="s">
        <v>61</v>
      </c>
      <c r="H4165" s="111"/>
      <c r="I4165" s="112"/>
      <c r="J4165" s="113"/>
      <c r="K4165" s="114"/>
      <c r="L4165" s="5"/>
    </row>
    <row r="4166" spans="1:12" x14ac:dyDescent="0.25">
      <c r="A4166" s="94"/>
      <c r="B4166" s="46"/>
      <c r="C4166" s="47"/>
      <c r="D4166" s="56"/>
      <c r="E4166" s="57"/>
      <c r="F4166" s="44"/>
      <c r="G4166" s="110" t="s">
        <v>51</v>
      </c>
      <c r="H4166" s="111"/>
      <c r="I4166" s="112"/>
      <c r="J4166" s="113"/>
      <c r="K4166" s="114"/>
      <c r="L4166" s="5"/>
    </row>
    <row r="4167" spans="1:12" x14ac:dyDescent="0.25">
      <c r="A4167" s="48"/>
      <c r="B4167" s="46"/>
      <c r="C4167" s="39"/>
      <c r="D4167" s="52"/>
      <c r="E4167" s="53"/>
      <c r="F4167" s="44"/>
      <c r="G4167" s="110" t="s">
        <v>58</v>
      </c>
      <c r="H4167" s="111"/>
      <c r="I4167" s="112"/>
      <c r="J4167" s="113"/>
      <c r="K4167" s="114"/>
      <c r="L4167" s="5"/>
    </row>
    <row r="4168" spans="1:12" x14ac:dyDescent="0.25">
      <c r="A4168" s="48"/>
      <c r="B4168" s="35"/>
      <c r="C4168" s="39"/>
      <c r="D4168" s="52"/>
      <c r="E4168" s="53"/>
      <c r="F4168" s="44"/>
      <c r="G4168" s="110" t="s">
        <v>51</v>
      </c>
      <c r="H4168" s="111"/>
      <c r="I4168" s="112"/>
      <c r="J4168" s="113"/>
      <c r="K4168" s="114"/>
      <c r="L4168" s="5"/>
    </row>
    <row r="4169" spans="1:12" x14ac:dyDescent="0.25">
      <c r="A4169" s="48"/>
      <c r="B4169" s="35"/>
      <c r="C4169" s="39"/>
      <c r="D4169" s="52"/>
      <c r="E4169" s="53"/>
      <c r="F4169" s="44"/>
      <c r="G4169" s="77"/>
      <c r="H4169" s="78" t="s">
        <v>69</v>
      </c>
      <c r="I4169" s="79"/>
      <c r="J4169" s="113"/>
      <c r="K4169" s="114"/>
      <c r="L4169" s="5"/>
    </row>
    <row r="4170" spans="1:12" x14ac:dyDescent="0.25">
      <c r="A4170" s="38"/>
      <c r="B4170" s="35"/>
      <c r="C4170" s="39"/>
      <c r="D4170" s="52"/>
      <c r="E4170" s="53"/>
      <c r="F4170" s="44"/>
      <c r="G4170" s="77"/>
      <c r="H4170" s="78" t="s">
        <v>72</v>
      </c>
      <c r="I4170" s="79"/>
      <c r="J4170" s="113"/>
      <c r="K4170" s="114"/>
      <c r="L4170" s="5"/>
    </row>
    <row r="4171" spans="1:12" ht="15.75" thickBot="1" x14ac:dyDescent="0.3">
      <c r="A4171" s="5"/>
      <c r="B4171" s="5"/>
      <c r="C4171" s="7" t="s">
        <v>35</v>
      </c>
      <c r="D4171" s="17">
        <f>SUM(D4163:D4170)</f>
        <v>1458.92</v>
      </c>
      <c r="E4171" s="17">
        <f>SUM(E4163:E4170)</f>
        <v>29238.25</v>
      </c>
      <c r="F4171" s="89">
        <f>AVERAGE(F4163:F4167)</f>
        <v>20.000005519500355</v>
      </c>
      <c r="G4171" s="110" t="s">
        <v>73</v>
      </c>
      <c r="H4171" s="111"/>
      <c r="I4171" s="112"/>
      <c r="J4171" s="113"/>
      <c r="K4171" s="114"/>
      <c r="L4171" s="7" t="s">
        <v>36</v>
      </c>
    </row>
    <row r="4172" spans="1:12" ht="15.75" thickBot="1" x14ac:dyDescent="0.3">
      <c r="A4172" s="5"/>
      <c r="B4172" s="5"/>
      <c r="C4172" s="5"/>
      <c r="D4172" s="5"/>
      <c r="E4172" s="5"/>
      <c r="F4172" s="5"/>
      <c r="G4172" s="130"/>
      <c r="H4172" s="131"/>
      <c r="I4172" s="132"/>
      <c r="J4172" s="133"/>
      <c r="K4172" s="134"/>
      <c r="L4172" s="18">
        <f>J4163+J4164+J4165+J4166+J4167+J4168+J4169+J4170+J4171</f>
        <v>710</v>
      </c>
    </row>
    <row r="4173" spans="1:12" ht="15.75" thickBot="1" x14ac:dyDescent="0.3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</row>
    <row r="4174" spans="1:12" ht="15.75" thickBot="1" x14ac:dyDescent="0.3">
      <c r="A4174" s="19"/>
      <c r="B4174" s="20"/>
      <c r="C4174" s="20"/>
      <c r="D4174" s="20"/>
      <c r="E4174" s="21" t="s">
        <v>13</v>
      </c>
      <c r="F4174" s="5"/>
      <c r="G4174" s="19"/>
      <c r="H4174" s="20"/>
      <c r="I4174" s="20"/>
      <c r="J4174" s="20"/>
      <c r="K4174" s="21" t="s">
        <v>13</v>
      </c>
      <c r="L4174" s="5"/>
    </row>
    <row r="4175" spans="1:12" x14ac:dyDescent="0.25">
      <c r="A4175" s="22" t="s">
        <v>31</v>
      </c>
      <c r="B4175" s="115">
        <v>18078</v>
      </c>
      <c r="C4175" s="116"/>
      <c r="D4175" s="116"/>
      <c r="E4175" s="117"/>
      <c r="F4175" s="5"/>
      <c r="G4175" s="22" t="s">
        <v>32</v>
      </c>
      <c r="H4175" s="115">
        <v>43258</v>
      </c>
      <c r="I4175" s="116"/>
      <c r="J4175" s="116"/>
      <c r="K4175" s="117"/>
      <c r="L4175" s="5"/>
    </row>
    <row r="4176" spans="1:12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</row>
    <row r="4177" spans="1:12" x14ac:dyDescent="0.25">
      <c r="A4177" s="7" t="s">
        <v>16</v>
      </c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</row>
    <row r="4178" spans="1:12" x14ac:dyDescent="0.25">
      <c r="A4178" s="9" t="s">
        <v>17</v>
      </c>
      <c r="B4178" s="23">
        <f>L4155-C4150</f>
        <v>2987</v>
      </c>
      <c r="C4178" s="5"/>
      <c r="D4178" s="106" t="s">
        <v>18</v>
      </c>
      <c r="E4178" s="107"/>
      <c r="F4178" s="24" t="s">
        <v>19</v>
      </c>
      <c r="G4178" s="9" t="s">
        <v>20</v>
      </c>
      <c r="H4178" s="118">
        <f>B4175+H4175</f>
        <v>61336</v>
      </c>
      <c r="I4178" s="119"/>
      <c r="J4178" s="60"/>
      <c r="K4178" s="5"/>
      <c r="L4178" s="5"/>
    </row>
    <row r="4179" spans="1:12" x14ac:dyDescent="0.25">
      <c r="A4179" s="9" t="s">
        <v>41</v>
      </c>
      <c r="B4179" s="40">
        <f>B4178/D4171</f>
        <v>2.0474049296740051</v>
      </c>
      <c r="C4179" s="5"/>
      <c r="D4179" s="102">
        <f>E4171</f>
        <v>29238.25</v>
      </c>
      <c r="E4179" s="103"/>
      <c r="F4179" s="25">
        <f>H4179/B4178</f>
        <v>12.534466019417474</v>
      </c>
      <c r="G4179" s="9" t="s">
        <v>21</v>
      </c>
      <c r="H4179" s="104">
        <f>L4172+D4179+D4181+D4183+D4185+A4182</f>
        <v>37440.449999999997</v>
      </c>
      <c r="I4179" s="105"/>
      <c r="J4179" s="5"/>
      <c r="K4179" s="5"/>
      <c r="L4179" s="5"/>
    </row>
    <row r="4180" spans="1:12" x14ac:dyDescent="0.25">
      <c r="A4180" s="9" t="s">
        <v>43</v>
      </c>
      <c r="B4180" s="23">
        <f>D4171/B4178*100</f>
        <v>48.842316705724812</v>
      </c>
      <c r="C4180" s="5"/>
      <c r="D4180" s="106" t="s">
        <v>33</v>
      </c>
      <c r="E4180" s="107"/>
      <c r="F4180" s="5"/>
      <c r="G4180" s="13" t="s">
        <v>22</v>
      </c>
      <c r="H4180" s="6"/>
      <c r="I4180" s="26">
        <f>H4178-H4179</f>
        <v>23895.550000000003</v>
      </c>
      <c r="J4180" s="5"/>
      <c r="K4180" s="5">
        <f>137000+23895</f>
        <v>160895</v>
      </c>
      <c r="L4180" s="5"/>
    </row>
    <row r="4181" spans="1:12" x14ac:dyDescent="0.25">
      <c r="A4181" s="106" t="s">
        <v>40</v>
      </c>
      <c r="B4181" s="107"/>
      <c r="C4181" s="5"/>
      <c r="D4181" s="149">
        <v>1200</v>
      </c>
      <c r="E4181" s="150"/>
      <c r="F4181" s="5"/>
      <c r="G4181" s="5"/>
      <c r="H4181" s="5"/>
      <c r="I4181" s="5"/>
      <c r="J4181" s="5"/>
      <c r="K4181" s="5"/>
      <c r="L4181" s="5"/>
    </row>
    <row r="4182" spans="1:12" x14ac:dyDescent="0.25">
      <c r="A4182" s="108">
        <f>B4178*0.6</f>
        <v>1792.2</v>
      </c>
      <c r="B4182" s="109"/>
      <c r="C4182" s="5"/>
      <c r="D4182" s="106" t="s">
        <v>34</v>
      </c>
      <c r="E4182" s="107"/>
      <c r="F4182" s="5"/>
      <c r="G4182" s="145" t="s">
        <v>292</v>
      </c>
      <c r="H4182" s="146"/>
      <c r="I4182" s="23">
        <f>B4178/2.3</f>
        <v>1298.6956521739132</v>
      </c>
      <c r="J4182" s="60"/>
      <c r="K4182" s="5"/>
      <c r="L4182" s="5"/>
    </row>
    <row r="4183" spans="1:12" x14ac:dyDescent="0.25">
      <c r="A4183" s="5"/>
      <c r="B4183" s="5"/>
      <c r="C4183" s="5"/>
      <c r="D4183" s="108">
        <v>0</v>
      </c>
      <c r="E4183" s="109"/>
      <c r="F4183" s="5"/>
      <c r="G4183" s="145" t="s">
        <v>294</v>
      </c>
      <c r="H4183" s="146"/>
      <c r="I4183" s="23">
        <f>I4182-D4171</f>
        <v>-160.22434782608684</v>
      </c>
      <c r="J4183" s="5"/>
      <c r="K4183" s="5"/>
      <c r="L4183" s="5"/>
    </row>
    <row r="4184" spans="1:12" x14ac:dyDescent="0.25">
      <c r="A4184" s="5"/>
      <c r="B4184" s="5"/>
      <c r="C4184" s="5"/>
      <c r="D4184" s="106" t="s">
        <v>37</v>
      </c>
      <c r="E4184" s="107"/>
      <c r="F4184" s="5"/>
      <c r="G4184" s="147" t="s">
        <v>295</v>
      </c>
      <c r="H4184" s="148"/>
      <c r="I4184" s="86">
        <f>I4183*F4171</f>
        <v>-3204.4878408800814</v>
      </c>
      <c r="J4184" s="87">
        <f>I4180-I4184</f>
        <v>27100.037840880083</v>
      </c>
      <c r="K4184" s="5"/>
      <c r="L4184" s="5"/>
    </row>
    <row r="4185" spans="1:12" x14ac:dyDescent="0.25">
      <c r="A4185" s="5"/>
      <c r="B4185" s="5"/>
      <c r="C4185" s="5"/>
      <c r="D4185" s="108">
        <v>4500</v>
      </c>
      <c r="E4185" s="109"/>
      <c r="F4185" s="5" t="s">
        <v>78</v>
      </c>
      <c r="G4185" s="5"/>
      <c r="H4185" s="5"/>
      <c r="I4185" s="5"/>
      <c r="J4185" s="88" t="s">
        <v>293</v>
      </c>
      <c r="K4185" s="44"/>
      <c r="L4185" s="5"/>
    </row>
    <row r="4187" spans="1:12" s="49" customFormat="1" x14ac:dyDescent="0.25"/>
    <row r="4190" spans="1:12" x14ac:dyDescent="0.25">
      <c r="A4190" s="120" t="s">
        <v>24</v>
      </c>
      <c r="B4190" s="120"/>
      <c r="C4190" s="120"/>
      <c r="D4190" s="120"/>
      <c r="E4190" s="120"/>
      <c r="F4190" s="120"/>
      <c r="G4190" s="120"/>
      <c r="H4190" s="120"/>
      <c r="I4190" s="120"/>
      <c r="J4190" s="120"/>
      <c r="K4190" s="120"/>
      <c r="L4190" s="120"/>
    </row>
    <row r="4191" spans="1:12" x14ac:dyDescent="0.25">
      <c r="A4191" s="120"/>
      <c r="B4191" s="120"/>
      <c r="C4191" s="120"/>
      <c r="D4191" s="120"/>
      <c r="E4191" s="120"/>
      <c r="F4191" s="120"/>
      <c r="G4191" s="120"/>
      <c r="H4191" s="120"/>
      <c r="I4191" s="120"/>
      <c r="J4191" s="120"/>
      <c r="K4191" s="120"/>
      <c r="L4191" s="120"/>
    </row>
    <row r="4192" spans="1:12" x14ac:dyDescent="0.25">
      <c r="A4192" s="1" t="s">
        <v>4</v>
      </c>
      <c r="B4192" s="2"/>
      <c r="C4192" s="90"/>
      <c r="D4192" s="2"/>
      <c r="E4192" s="2"/>
      <c r="F4192" s="2"/>
      <c r="G4192" s="3" t="s">
        <v>5</v>
      </c>
      <c r="H4192" s="3" t="s">
        <v>6</v>
      </c>
      <c r="I4192" s="4" t="s">
        <v>7</v>
      </c>
      <c r="J4192" s="5"/>
      <c r="K4192" s="5"/>
      <c r="L4192" s="5"/>
    </row>
    <row r="4193" spans="1:12" x14ac:dyDescent="0.25">
      <c r="A4193" s="91" t="s">
        <v>549</v>
      </c>
      <c r="B4193" s="92" t="s">
        <v>42</v>
      </c>
      <c r="C4193" s="64"/>
      <c r="D4193" s="66"/>
      <c r="E4193" s="2"/>
      <c r="F4193" s="2"/>
      <c r="G4193" s="91" t="s">
        <v>299</v>
      </c>
      <c r="H4193" s="66"/>
      <c r="I4193" s="33"/>
      <c r="J4193" s="6"/>
      <c r="K4193" s="33"/>
      <c r="L4193" s="6"/>
    </row>
    <row r="4194" spans="1:12" x14ac:dyDescent="0.25">
      <c r="A4194" s="7" t="s">
        <v>2</v>
      </c>
      <c r="B4194" s="5"/>
      <c r="C4194" s="5"/>
      <c r="D4194" s="5"/>
      <c r="E4194" s="5"/>
      <c r="F4194" s="5"/>
      <c r="G4194" s="8" t="s">
        <v>8</v>
      </c>
      <c r="H4194" s="93">
        <v>3</v>
      </c>
      <c r="I4194" s="5"/>
      <c r="J4194" s="5"/>
      <c r="K4194" s="5"/>
      <c r="L4194" s="5"/>
    </row>
    <row r="4195" spans="1:12" x14ac:dyDescent="0.25">
      <c r="A4195" s="7" t="s">
        <v>25</v>
      </c>
      <c r="B4195" s="5"/>
      <c r="C4195" s="7" t="s">
        <v>0</v>
      </c>
      <c r="D4195" s="5"/>
      <c r="E4195" s="5"/>
      <c r="F4195" s="5"/>
      <c r="G4195" s="7" t="s">
        <v>25</v>
      </c>
      <c r="H4195" s="5"/>
      <c r="I4195" s="7" t="s">
        <v>0</v>
      </c>
      <c r="J4195" s="5"/>
      <c r="K4195" s="5"/>
      <c r="L4195" s="5"/>
    </row>
    <row r="4196" spans="1:12" x14ac:dyDescent="0.25">
      <c r="A4196" s="42" t="s">
        <v>566</v>
      </c>
      <c r="B4196" s="6"/>
      <c r="C4196" s="31">
        <f>L4155</f>
        <v>1083470</v>
      </c>
      <c r="D4196" s="5"/>
      <c r="E4196" s="5"/>
      <c r="F4196" s="5"/>
      <c r="G4196" s="42"/>
      <c r="H4196" s="6"/>
      <c r="I4196" s="9"/>
      <c r="J4196" s="5"/>
      <c r="K4196" s="5"/>
      <c r="L4196" s="5"/>
    </row>
    <row r="4197" spans="1:12" ht="16.5" thickBot="1" x14ac:dyDescent="0.3">
      <c r="A4197" s="7"/>
      <c r="B4197" s="62"/>
      <c r="C4197" s="62"/>
      <c r="D4197" s="62"/>
      <c r="E4197" s="5"/>
      <c r="F4197" s="5"/>
      <c r="G4197" s="10"/>
      <c r="H4197" s="5"/>
      <c r="I4197" s="5"/>
      <c r="J4197" s="5"/>
      <c r="K4197" s="5"/>
      <c r="L4197" s="5"/>
    </row>
    <row r="4198" spans="1:12" ht="15.75" thickBot="1" x14ac:dyDescent="0.3">
      <c r="A4198" s="121" t="s">
        <v>9</v>
      </c>
      <c r="B4198" s="122"/>
      <c r="C4198" s="123"/>
      <c r="D4198" s="5"/>
      <c r="E4198" s="5"/>
      <c r="F4198" s="5"/>
      <c r="G4198" s="121" t="s">
        <v>26</v>
      </c>
      <c r="H4198" s="122"/>
      <c r="I4198" s="123"/>
      <c r="J4198" s="5"/>
      <c r="K4198" s="5"/>
      <c r="L4198" s="5"/>
    </row>
    <row r="4199" spans="1:12" x14ac:dyDescent="0.25">
      <c r="A4199" s="30" t="s">
        <v>38</v>
      </c>
      <c r="B4199" s="11"/>
      <c r="C4199" s="11"/>
      <c r="D4199" s="11"/>
      <c r="E4199" s="6"/>
      <c r="F4199" s="5"/>
      <c r="G4199" s="30" t="str">
        <f>A4202</f>
        <v>Cape Town</v>
      </c>
      <c r="H4199" s="11"/>
      <c r="I4199" s="11"/>
      <c r="J4199" s="11"/>
      <c r="K4199" s="11"/>
      <c r="L4199" s="6"/>
    </row>
    <row r="4200" spans="1:12" ht="15.75" thickBot="1" x14ac:dyDescent="0.3">
      <c r="A4200" s="7"/>
      <c r="B4200" s="7"/>
      <c r="C4200" s="7"/>
      <c r="D4200" s="5"/>
      <c r="E4200" s="5"/>
      <c r="F4200" s="5"/>
      <c r="G4200" s="7"/>
      <c r="H4200" s="7"/>
      <c r="I4200" s="7"/>
      <c r="J4200" s="5"/>
      <c r="K4200" s="5"/>
      <c r="L4200" s="5"/>
    </row>
    <row r="4201" spans="1:12" ht="15.75" thickBot="1" x14ac:dyDescent="0.3">
      <c r="A4201" s="121"/>
      <c r="B4201" s="122"/>
      <c r="C4201" s="124"/>
      <c r="D4201" s="12" t="s">
        <v>1</v>
      </c>
      <c r="E4201" s="32"/>
      <c r="F4201" s="5"/>
      <c r="G4201" s="121" t="s">
        <v>27</v>
      </c>
      <c r="H4201" s="122"/>
      <c r="I4201" s="123"/>
      <c r="J4201" s="5"/>
      <c r="K4201" s="12" t="s">
        <v>1</v>
      </c>
      <c r="L4201" s="32">
        <v>1086543</v>
      </c>
    </row>
    <row r="4202" spans="1:12" x14ac:dyDescent="0.25">
      <c r="A4202" s="30" t="s">
        <v>65</v>
      </c>
      <c r="B4202" s="11"/>
      <c r="C4202" s="11"/>
      <c r="D4202" s="11"/>
      <c r="E4202" s="6"/>
      <c r="F4202" s="5"/>
      <c r="G4202" s="30" t="s">
        <v>364</v>
      </c>
      <c r="H4202" s="11"/>
      <c r="I4202" s="11"/>
      <c r="J4202" s="11"/>
      <c r="K4202" s="11"/>
      <c r="L4202" s="6"/>
    </row>
    <row r="4203" spans="1:12" x14ac:dyDescent="0.25">
      <c r="A4203" s="76" t="s">
        <v>568</v>
      </c>
      <c r="B4203" s="11"/>
      <c r="C4203" s="11"/>
      <c r="D4203" s="11"/>
      <c r="E4203" s="6"/>
      <c r="F4203" s="5"/>
      <c r="G4203" s="34"/>
      <c r="H4203" s="11"/>
      <c r="I4203" s="11"/>
      <c r="J4203" s="11"/>
      <c r="K4203" s="11"/>
      <c r="L4203" s="6"/>
    </row>
    <row r="4204" spans="1:12" x14ac:dyDescent="0.25">
      <c r="A4204" s="13"/>
      <c r="B4204" s="11"/>
      <c r="C4204" s="11"/>
      <c r="D4204" s="11"/>
      <c r="E4204" s="6"/>
      <c r="F4204" s="5"/>
      <c r="G4204" s="13"/>
      <c r="H4204" s="11"/>
      <c r="I4204" s="11"/>
      <c r="J4204" s="11"/>
      <c r="K4204" s="11"/>
      <c r="L4204" s="6"/>
    </row>
    <row r="4205" spans="1:12" x14ac:dyDescent="0.25">
      <c r="A4205" s="13"/>
      <c r="B4205" s="11"/>
      <c r="C4205" s="11"/>
      <c r="D4205" s="11"/>
      <c r="E4205" s="6"/>
      <c r="F4205" s="5"/>
      <c r="G4205" s="13"/>
      <c r="H4205" s="11"/>
      <c r="I4205" s="11"/>
      <c r="J4205" s="11"/>
      <c r="K4205" s="11"/>
      <c r="L4205" s="6"/>
    </row>
    <row r="4206" spans="1:12" ht="15.75" thickBot="1" x14ac:dyDescent="0.3">
      <c r="A4206" s="13"/>
      <c r="B4206" s="11"/>
      <c r="C4206" s="11" t="s">
        <v>29</v>
      </c>
      <c r="D4206" s="43"/>
      <c r="E4206" s="6"/>
      <c r="F4206" s="5"/>
      <c r="G4206" s="13"/>
      <c r="H4206" s="11"/>
      <c r="I4206" s="14" t="s">
        <v>28</v>
      </c>
      <c r="J4206" s="43"/>
      <c r="K4206" s="59"/>
      <c r="L4206" s="6"/>
    </row>
    <row r="4207" spans="1:12" ht="15.75" thickBot="1" x14ac:dyDescent="0.3">
      <c r="A4207" s="15" t="s">
        <v>10</v>
      </c>
      <c r="B4207" s="5"/>
      <c r="C4207" s="5"/>
      <c r="D4207" s="5">
        <v>665.64</v>
      </c>
      <c r="E4207" s="5"/>
      <c r="F4207" s="5"/>
      <c r="G4207" s="15" t="s">
        <v>14</v>
      </c>
      <c r="H4207" s="5"/>
      <c r="I4207" s="5"/>
      <c r="J4207" s="5"/>
      <c r="K4207" s="5"/>
      <c r="L4207" s="5"/>
    </row>
    <row r="4208" spans="1:12" ht="15.75" thickBot="1" x14ac:dyDescent="0.3">
      <c r="A4208" s="121" t="s">
        <v>11</v>
      </c>
      <c r="B4208" s="122"/>
      <c r="C4208" s="123"/>
      <c r="D4208" s="16" t="s">
        <v>12</v>
      </c>
      <c r="E4208" s="16" t="s">
        <v>13</v>
      </c>
      <c r="F4208" s="5"/>
      <c r="G4208" s="121" t="s">
        <v>15</v>
      </c>
      <c r="H4208" s="122"/>
      <c r="I4208" s="123"/>
      <c r="J4208" s="121"/>
      <c r="K4208" s="123"/>
      <c r="L4208" s="5"/>
    </row>
    <row r="4209" spans="1:12" x14ac:dyDescent="0.25">
      <c r="A4209" s="94" t="s">
        <v>567</v>
      </c>
      <c r="B4209" s="46" t="s">
        <v>66</v>
      </c>
      <c r="C4209" s="47"/>
      <c r="D4209" s="56">
        <v>257</v>
      </c>
      <c r="E4209" s="57">
        <v>4831.6000000000004</v>
      </c>
      <c r="F4209" s="44">
        <f>E4209/D4209</f>
        <v>18.8</v>
      </c>
      <c r="G4209" s="125" t="s">
        <v>69</v>
      </c>
      <c r="H4209" s="126"/>
      <c r="I4209" s="127"/>
      <c r="J4209" s="128"/>
      <c r="K4209" s="129"/>
      <c r="L4209" s="5"/>
    </row>
    <row r="4210" spans="1:12" x14ac:dyDescent="0.25">
      <c r="A4210" s="94" t="s">
        <v>569</v>
      </c>
      <c r="B4210" s="46" t="s">
        <v>66</v>
      </c>
      <c r="C4210" s="47"/>
      <c r="D4210" s="56">
        <f>428.16+226.36</f>
        <v>654.52</v>
      </c>
      <c r="E4210" s="57">
        <v>13758</v>
      </c>
      <c r="F4210" s="44">
        <f>E4210/D4210</f>
        <v>21.019984110493187</v>
      </c>
      <c r="G4210" s="110" t="s">
        <v>59</v>
      </c>
      <c r="H4210" s="111"/>
      <c r="I4210" s="112"/>
      <c r="J4210" s="113"/>
      <c r="K4210" s="114"/>
      <c r="L4210" s="5"/>
    </row>
    <row r="4211" spans="1:12" x14ac:dyDescent="0.25">
      <c r="A4211" s="94" t="s">
        <v>570</v>
      </c>
      <c r="B4211" s="46" t="s">
        <v>47</v>
      </c>
      <c r="C4211" s="47"/>
      <c r="D4211" s="56">
        <v>420.88</v>
      </c>
      <c r="E4211" s="57">
        <v>7651.6</v>
      </c>
      <c r="F4211" s="44">
        <f>E4211/D4211</f>
        <v>18.180003801558641</v>
      </c>
      <c r="G4211" s="110" t="s">
        <v>61</v>
      </c>
      <c r="H4211" s="111"/>
      <c r="I4211" s="112"/>
      <c r="J4211" s="113"/>
      <c r="K4211" s="114"/>
      <c r="L4211" s="5"/>
    </row>
    <row r="4212" spans="1:12" x14ac:dyDescent="0.25">
      <c r="A4212" s="94"/>
      <c r="B4212" s="46"/>
      <c r="C4212" s="47"/>
      <c r="D4212" s="56"/>
      <c r="E4212" s="57"/>
      <c r="F4212" s="44"/>
      <c r="G4212" s="110" t="s">
        <v>51</v>
      </c>
      <c r="H4212" s="111"/>
      <c r="I4212" s="112"/>
      <c r="J4212" s="113"/>
      <c r="K4212" s="114"/>
      <c r="L4212" s="5"/>
    </row>
    <row r="4213" spans="1:12" x14ac:dyDescent="0.25">
      <c r="A4213" s="48"/>
      <c r="B4213" s="46"/>
      <c r="C4213" s="39"/>
      <c r="D4213" s="52"/>
      <c r="E4213" s="53"/>
      <c r="F4213" s="44"/>
      <c r="G4213" s="110" t="s">
        <v>58</v>
      </c>
      <c r="H4213" s="111"/>
      <c r="I4213" s="112"/>
      <c r="J4213" s="113"/>
      <c r="K4213" s="114"/>
      <c r="L4213" s="5"/>
    </row>
    <row r="4214" spans="1:12" x14ac:dyDescent="0.25">
      <c r="A4214" s="48"/>
      <c r="B4214" s="35"/>
      <c r="C4214" s="39"/>
      <c r="D4214" s="52"/>
      <c r="E4214" s="53"/>
      <c r="F4214" s="44"/>
      <c r="G4214" s="110" t="s">
        <v>51</v>
      </c>
      <c r="H4214" s="111"/>
      <c r="I4214" s="112"/>
      <c r="J4214" s="113"/>
      <c r="K4214" s="114"/>
      <c r="L4214" s="5"/>
    </row>
    <row r="4215" spans="1:12" x14ac:dyDescent="0.25">
      <c r="A4215" s="48"/>
      <c r="B4215" s="35"/>
      <c r="C4215" s="39"/>
      <c r="D4215" s="52"/>
      <c r="E4215" s="53"/>
      <c r="F4215" s="44"/>
      <c r="G4215" s="77"/>
      <c r="H4215" s="78" t="s">
        <v>69</v>
      </c>
      <c r="I4215" s="79"/>
      <c r="J4215" s="113"/>
      <c r="K4215" s="114"/>
      <c r="L4215" s="5"/>
    </row>
    <row r="4216" spans="1:12" x14ac:dyDescent="0.25">
      <c r="A4216" s="38"/>
      <c r="B4216" s="35"/>
      <c r="C4216" s="39"/>
      <c r="D4216" s="52"/>
      <c r="E4216" s="53"/>
      <c r="F4216" s="44"/>
      <c r="G4216" s="77"/>
      <c r="H4216" s="78" t="s">
        <v>72</v>
      </c>
      <c r="I4216" s="79"/>
      <c r="J4216" s="113"/>
      <c r="K4216" s="114"/>
      <c r="L4216" s="5"/>
    </row>
    <row r="4217" spans="1:12" ht="15.75" thickBot="1" x14ac:dyDescent="0.3">
      <c r="A4217" s="5"/>
      <c r="B4217" s="5"/>
      <c r="C4217" s="7" t="s">
        <v>35</v>
      </c>
      <c r="D4217" s="17">
        <f>SUM(D4209:D4216)</f>
        <v>1332.4</v>
      </c>
      <c r="E4217" s="17">
        <f>SUM(E4209:E4216)</f>
        <v>26241.199999999997</v>
      </c>
      <c r="F4217" s="89">
        <f>AVERAGE(F4209:F4213)</f>
        <v>19.333329304017276</v>
      </c>
      <c r="G4217" s="110" t="s">
        <v>73</v>
      </c>
      <c r="H4217" s="111"/>
      <c r="I4217" s="112"/>
      <c r="J4217" s="113"/>
      <c r="K4217" s="114"/>
      <c r="L4217" s="7" t="s">
        <v>36</v>
      </c>
    </row>
    <row r="4218" spans="1:12" ht="15.75" thickBot="1" x14ac:dyDescent="0.3">
      <c r="A4218" s="5"/>
      <c r="B4218" s="5"/>
      <c r="C4218" s="5"/>
      <c r="D4218" s="5"/>
      <c r="E4218" s="5"/>
      <c r="F4218" s="5"/>
      <c r="G4218" s="130"/>
      <c r="H4218" s="131"/>
      <c r="I4218" s="132"/>
      <c r="J4218" s="133"/>
      <c r="K4218" s="134"/>
      <c r="L4218" s="18">
        <f>J4209+J4210+J4211+J4212+J4213+J4214+J4215+J4216+J4217</f>
        <v>0</v>
      </c>
    </row>
    <row r="4219" spans="1:12" ht="15.75" thickBot="1" x14ac:dyDescent="0.3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</row>
    <row r="4220" spans="1:12" ht="15.75" thickBot="1" x14ac:dyDescent="0.3">
      <c r="A4220" s="19"/>
      <c r="B4220" s="20"/>
      <c r="C4220" s="20"/>
      <c r="D4220" s="20"/>
      <c r="E4220" s="21" t="s">
        <v>13</v>
      </c>
      <c r="F4220" s="5"/>
      <c r="G4220" s="19"/>
      <c r="H4220" s="20"/>
      <c r="I4220" s="20"/>
      <c r="J4220" s="20"/>
      <c r="K4220" s="21" t="s">
        <v>13</v>
      </c>
      <c r="L4220" s="5"/>
    </row>
    <row r="4221" spans="1:12" x14ac:dyDescent="0.25">
      <c r="A4221" s="22" t="s">
        <v>31</v>
      </c>
      <c r="B4221" s="115">
        <v>19091</v>
      </c>
      <c r="C4221" s="116"/>
      <c r="D4221" s="116"/>
      <c r="E4221" s="117"/>
      <c r="F4221" s="5"/>
      <c r="G4221" s="22" t="s">
        <v>32</v>
      </c>
      <c r="H4221" s="115">
        <v>43258</v>
      </c>
      <c r="I4221" s="116"/>
      <c r="J4221" s="116"/>
      <c r="K4221" s="117"/>
      <c r="L4221" s="5"/>
    </row>
    <row r="4222" spans="1:12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</row>
    <row r="4223" spans="1:12" x14ac:dyDescent="0.25">
      <c r="A4223" s="7" t="s">
        <v>16</v>
      </c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</row>
    <row r="4224" spans="1:12" x14ac:dyDescent="0.25">
      <c r="A4224" s="9" t="s">
        <v>17</v>
      </c>
      <c r="B4224" s="23">
        <f>L4201-C4196</f>
        <v>3073</v>
      </c>
      <c r="C4224" s="5"/>
      <c r="D4224" s="106" t="s">
        <v>18</v>
      </c>
      <c r="E4224" s="107"/>
      <c r="F4224" s="24" t="s">
        <v>19</v>
      </c>
      <c r="G4224" s="9" t="s">
        <v>20</v>
      </c>
      <c r="H4224" s="118">
        <f>B4221+H4221</f>
        <v>62349</v>
      </c>
      <c r="I4224" s="119"/>
      <c r="J4224" s="60"/>
      <c r="K4224" s="5"/>
      <c r="L4224" s="5"/>
    </row>
    <row r="4225" spans="1:12" x14ac:dyDescent="0.25">
      <c r="A4225" s="9" t="s">
        <v>41</v>
      </c>
      <c r="B4225" s="40">
        <f>B4224/D4217</f>
        <v>2.3063644551185827</v>
      </c>
      <c r="C4225" s="5"/>
      <c r="D4225" s="102">
        <f>E4217</f>
        <v>26241.199999999997</v>
      </c>
      <c r="E4225" s="103"/>
      <c r="F4225" s="25">
        <f>H4225/B4224</f>
        <v>9.6297754637162374</v>
      </c>
      <c r="G4225" s="9" t="s">
        <v>21</v>
      </c>
      <c r="H4225" s="104">
        <f>L4218+D4225+D4227+D4229+D4231+A4228</f>
        <v>29592.299999999996</v>
      </c>
      <c r="I4225" s="105"/>
      <c r="J4225" s="5"/>
      <c r="K4225" s="5"/>
      <c r="L4225" s="5"/>
    </row>
    <row r="4226" spans="1:12" x14ac:dyDescent="0.25">
      <c r="A4226" s="9" t="s">
        <v>43</v>
      </c>
      <c r="B4226" s="23">
        <f>D4217/B4224*100</f>
        <v>43.358281809306867</v>
      </c>
      <c r="C4226" s="5"/>
      <c r="D4226" s="106" t="s">
        <v>33</v>
      </c>
      <c r="E4226" s="107"/>
      <c r="F4226" s="5"/>
      <c r="G4226" s="13" t="s">
        <v>22</v>
      </c>
      <c r="H4226" s="6"/>
      <c r="I4226" s="26">
        <f>H4224-H4225</f>
        <v>32756.700000000004</v>
      </c>
      <c r="J4226" s="5"/>
      <c r="K4226" s="5">
        <f>137000+23895</f>
        <v>160895</v>
      </c>
      <c r="L4226" s="5"/>
    </row>
    <row r="4227" spans="1:12" x14ac:dyDescent="0.25">
      <c r="A4227" s="106" t="s">
        <v>40</v>
      </c>
      <c r="B4227" s="107"/>
      <c r="C4227" s="5"/>
      <c r="D4227" s="149">
        <v>1200</v>
      </c>
      <c r="E4227" s="150"/>
      <c r="F4227" s="5"/>
      <c r="G4227" s="5"/>
      <c r="H4227" s="5"/>
      <c r="I4227" s="5"/>
      <c r="J4227" s="5"/>
      <c r="K4227" s="5"/>
      <c r="L4227" s="5"/>
    </row>
    <row r="4228" spans="1:12" x14ac:dyDescent="0.25">
      <c r="A4228" s="108">
        <f>B4224*0.7</f>
        <v>2151.1</v>
      </c>
      <c r="B4228" s="109"/>
      <c r="C4228" s="5"/>
      <c r="D4228" s="106" t="s">
        <v>34</v>
      </c>
      <c r="E4228" s="107"/>
      <c r="F4228" s="5"/>
      <c r="G4228" s="145" t="s">
        <v>292</v>
      </c>
      <c r="H4228" s="146"/>
      <c r="I4228" s="23">
        <f>B4224/2.3</f>
        <v>1336.0869565217392</v>
      </c>
      <c r="J4228" s="60"/>
      <c r="K4228" s="5"/>
      <c r="L4228" s="5"/>
    </row>
    <row r="4229" spans="1:12" x14ac:dyDescent="0.25">
      <c r="A4229" s="5"/>
      <c r="B4229" s="5"/>
      <c r="C4229" s="5"/>
      <c r="D4229" s="108">
        <v>0</v>
      </c>
      <c r="E4229" s="109"/>
      <c r="F4229" s="5"/>
      <c r="G4229" s="145" t="s">
        <v>294</v>
      </c>
      <c r="H4229" s="146"/>
      <c r="I4229" s="23">
        <f>I4228-D4217</f>
        <v>3.6869565217391482</v>
      </c>
      <c r="J4229" s="5"/>
      <c r="K4229" s="5"/>
      <c r="L4229" s="5"/>
    </row>
    <row r="4230" spans="1:12" x14ac:dyDescent="0.25">
      <c r="A4230" s="5"/>
      <c r="B4230" s="5"/>
      <c r="C4230" s="5"/>
      <c r="D4230" s="106" t="s">
        <v>37</v>
      </c>
      <c r="E4230" s="107"/>
      <c r="F4230" s="5"/>
      <c r="G4230" s="147" t="s">
        <v>295</v>
      </c>
      <c r="H4230" s="148"/>
      <c r="I4230" s="86">
        <f>I4229*F4217</f>
        <v>71.281144564377087</v>
      </c>
      <c r="J4230" s="87">
        <f>I4226-I4230</f>
        <v>32685.418855435626</v>
      </c>
      <c r="K4230" s="5"/>
      <c r="L4230" s="5"/>
    </row>
    <row r="4231" spans="1:12" x14ac:dyDescent="0.25">
      <c r="A4231" s="5"/>
      <c r="B4231" s="5"/>
      <c r="C4231" s="5"/>
      <c r="D4231" s="108">
        <v>0</v>
      </c>
      <c r="E4231" s="109"/>
      <c r="F4231" s="5" t="s">
        <v>78</v>
      </c>
      <c r="G4231" s="5"/>
      <c r="H4231" s="5"/>
      <c r="I4231" s="5"/>
      <c r="J4231" s="88" t="s">
        <v>293</v>
      </c>
      <c r="K4231" s="44"/>
      <c r="L4231" s="5"/>
    </row>
    <row r="4233" spans="1:12" s="49" customFormat="1" x14ac:dyDescent="0.25"/>
    <row r="4236" spans="1:12" x14ac:dyDescent="0.25">
      <c r="A4236" s="120" t="s">
        <v>24</v>
      </c>
      <c r="B4236" s="120"/>
      <c r="C4236" s="120"/>
      <c r="D4236" s="120"/>
      <c r="E4236" s="120"/>
      <c r="F4236" s="120"/>
      <c r="G4236" s="120"/>
      <c r="H4236" s="120"/>
      <c r="I4236" s="120"/>
      <c r="J4236" s="120"/>
      <c r="K4236" s="120"/>
      <c r="L4236" s="120"/>
    </row>
    <row r="4237" spans="1:12" x14ac:dyDescent="0.25">
      <c r="A4237" s="120"/>
      <c r="B4237" s="120"/>
      <c r="C4237" s="120"/>
      <c r="D4237" s="120"/>
      <c r="E4237" s="120"/>
      <c r="F4237" s="120"/>
      <c r="G4237" s="120"/>
      <c r="H4237" s="120"/>
      <c r="I4237" s="120"/>
      <c r="J4237" s="120"/>
      <c r="K4237" s="120"/>
      <c r="L4237" s="120"/>
    </row>
    <row r="4238" spans="1:12" x14ac:dyDescent="0.25">
      <c r="A4238" s="1" t="s">
        <v>4</v>
      </c>
      <c r="B4238" s="2"/>
      <c r="C4238" s="90"/>
      <c r="D4238" s="2"/>
      <c r="E4238" s="2"/>
      <c r="F4238" s="2"/>
      <c r="G4238" s="3" t="s">
        <v>5</v>
      </c>
      <c r="H4238" s="3" t="s">
        <v>6</v>
      </c>
      <c r="I4238" s="4" t="s">
        <v>7</v>
      </c>
      <c r="J4238" s="5"/>
      <c r="K4238" s="5"/>
      <c r="L4238" s="5"/>
    </row>
    <row r="4239" spans="1:12" x14ac:dyDescent="0.25">
      <c r="A4239" s="91" t="s">
        <v>549</v>
      </c>
      <c r="B4239" s="92" t="s">
        <v>42</v>
      </c>
      <c r="C4239" s="64"/>
      <c r="D4239" s="66"/>
      <c r="E4239" s="2"/>
      <c r="F4239" s="2"/>
      <c r="G4239" s="91" t="s">
        <v>299</v>
      </c>
      <c r="H4239" s="66"/>
      <c r="I4239" s="33"/>
      <c r="J4239" s="6"/>
      <c r="K4239" s="33"/>
      <c r="L4239" s="6"/>
    </row>
    <row r="4240" spans="1:12" x14ac:dyDescent="0.25">
      <c r="A4240" s="7" t="s">
        <v>2</v>
      </c>
      <c r="B4240" s="5"/>
      <c r="C4240" s="5"/>
      <c r="D4240" s="5"/>
      <c r="E4240" s="5"/>
      <c r="F4240" s="5"/>
      <c r="G4240" s="8" t="s">
        <v>8</v>
      </c>
      <c r="H4240" s="93">
        <v>3</v>
      </c>
      <c r="I4240" s="5"/>
      <c r="J4240" s="5"/>
      <c r="K4240" s="5"/>
      <c r="L4240" s="5"/>
    </row>
    <row r="4241" spans="1:12" x14ac:dyDescent="0.25">
      <c r="A4241" s="7" t="s">
        <v>25</v>
      </c>
      <c r="B4241" s="5"/>
      <c r="C4241" s="7" t="s">
        <v>0</v>
      </c>
      <c r="D4241" s="5"/>
      <c r="E4241" s="5"/>
      <c r="F4241" s="5"/>
      <c r="G4241" s="7" t="s">
        <v>25</v>
      </c>
      <c r="H4241" s="5"/>
      <c r="I4241" s="7" t="s">
        <v>0</v>
      </c>
      <c r="J4241" s="5"/>
      <c r="K4241" s="5"/>
      <c r="L4241" s="5"/>
    </row>
    <row r="4242" spans="1:12" x14ac:dyDescent="0.25">
      <c r="A4242" s="42" t="s">
        <v>571</v>
      </c>
      <c r="B4242" s="6"/>
      <c r="C4242" s="31">
        <f>L4201</f>
        <v>1086543</v>
      </c>
      <c r="D4242" s="5"/>
      <c r="E4242" s="5"/>
      <c r="F4242" s="5"/>
      <c r="G4242" s="42"/>
      <c r="H4242" s="6"/>
      <c r="I4242" s="9"/>
      <c r="J4242" s="5"/>
      <c r="K4242" s="5"/>
      <c r="L4242" s="5"/>
    </row>
    <row r="4243" spans="1:12" ht="16.5" thickBot="1" x14ac:dyDescent="0.3">
      <c r="A4243" s="7"/>
      <c r="B4243" s="62"/>
      <c r="C4243" s="62"/>
      <c r="D4243" s="62"/>
      <c r="E4243" s="5"/>
      <c r="F4243" s="5"/>
      <c r="G4243" s="10"/>
      <c r="H4243" s="5"/>
      <c r="I4243" s="5"/>
      <c r="J4243" s="5"/>
      <c r="K4243" s="5"/>
      <c r="L4243" s="5"/>
    </row>
    <row r="4244" spans="1:12" ht="15.75" thickBot="1" x14ac:dyDescent="0.3">
      <c r="A4244" s="121" t="s">
        <v>9</v>
      </c>
      <c r="B4244" s="122"/>
      <c r="C4244" s="123"/>
      <c r="D4244" s="5"/>
      <c r="E4244" s="5"/>
      <c r="F4244" s="5"/>
      <c r="G4244" s="121" t="s">
        <v>26</v>
      </c>
      <c r="H4244" s="122"/>
      <c r="I4244" s="123"/>
      <c r="J4244" s="5"/>
      <c r="K4244" s="5"/>
      <c r="L4244" s="5"/>
    </row>
    <row r="4245" spans="1:12" x14ac:dyDescent="0.25">
      <c r="A4245" s="30" t="s">
        <v>38</v>
      </c>
      <c r="B4245" s="11"/>
      <c r="C4245" s="11"/>
      <c r="D4245" s="11"/>
      <c r="E4245" s="6"/>
      <c r="F4245" s="5"/>
      <c r="G4245" s="30" t="str">
        <f>A4248</f>
        <v>Cape Town</v>
      </c>
      <c r="H4245" s="11"/>
      <c r="I4245" s="11"/>
      <c r="J4245" s="11"/>
      <c r="K4245" s="11"/>
      <c r="L4245" s="6"/>
    </row>
    <row r="4246" spans="1:12" ht="15.75" thickBot="1" x14ac:dyDescent="0.3">
      <c r="A4246" s="7"/>
      <c r="B4246" s="7"/>
      <c r="C4246" s="7"/>
      <c r="D4246" s="5"/>
      <c r="E4246" s="5"/>
      <c r="F4246" s="5"/>
      <c r="G4246" s="7"/>
      <c r="H4246" s="7"/>
      <c r="I4246" s="7"/>
      <c r="J4246" s="5"/>
      <c r="K4246" s="5"/>
      <c r="L4246" s="5"/>
    </row>
    <row r="4247" spans="1:12" ht="15.75" thickBot="1" x14ac:dyDescent="0.3">
      <c r="A4247" s="121"/>
      <c r="B4247" s="122"/>
      <c r="C4247" s="124"/>
      <c r="D4247" s="12" t="s">
        <v>1</v>
      </c>
      <c r="E4247" s="32"/>
      <c r="F4247" s="5"/>
      <c r="G4247" s="121" t="s">
        <v>27</v>
      </c>
      <c r="H4247" s="122"/>
      <c r="I4247" s="123"/>
      <c r="J4247" s="5"/>
      <c r="K4247" s="12" t="s">
        <v>1</v>
      </c>
      <c r="L4247" s="32">
        <v>1089605</v>
      </c>
    </row>
    <row r="4248" spans="1:12" x14ac:dyDescent="0.25">
      <c r="A4248" s="30" t="s">
        <v>65</v>
      </c>
      <c r="B4248" s="11"/>
      <c r="C4248" s="11"/>
      <c r="D4248" s="11"/>
      <c r="E4248" s="6"/>
      <c r="F4248" s="5"/>
      <c r="G4248" s="30" t="s">
        <v>364</v>
      </c>
      <c r="H4248" s="11"/>
      <c r="I4248" s="11"/>
      <c r="J4248" s="11"/>
      <c r="K4248" s="11"/>
      <c r="L4248" s="6"/>
    </row>
    <row r="4249" spans="1:12" x14ac:dyDescent="0.25">
      <c r="A4249" s="76" t="s">
        <v>568</v>
      </c>
      <c r="B4249" s="11"/>
      <c r="C4249" s="11"/>
      <c r="D4249" s="11"/>
      <c r="E4249" s="6"/>
      <c r="F4249" s="5"/>
      <c r="G4249" s="34"/>
      <c r="H4249" s="11"/>
      <c r="I4249" s="11"/>
      <c r="J4249" s="11"/>
      <c r="K4249" s="11"/>
      <c r="L4249" s="6"/>
    </row>
    <row r="4250" spans="1:12" x14ac:dyDescent="0.25">
      <c r="A4250" s="13"/>
      <c r="B4250" s="11"/>
      <c r="C4250" s="11"/>
      <c r="D4250" s="11"/>
      <c r="E4250" s="6"/>
      <c r="F4250" s="5"/>
      <c r="G4250" s="13"/>
      <c r="H4250" s="11"/>
      <c r="I4250" s="11"/>
      <c r="J4250" s="11"/>
      <c r="K4250" s="11"/>
      <c r="L4250" s="6"/>
    </row>
    <row r="4251" spans="1:12" x14ac:dyDescent="0.25">
      <c r="A4251" s="13"/>
      <c r="B4251" s="11"/>
      <c r="C4251" s="11"/>
      <c r="D4251" s="11"/>
      <c r="E4251" s="6"/>
      <c r="F4251" s="5"/>
      <c r="G4251" s="13"/>
      <c r="H4251" s="11"/>
      <c r="I4251" s="11"/>
      <c r="J4251" s="11"/>
      <c r="K4251" s="11"/>
      <c r="L4251" s="6"/>
    </row>
    <row r="4252" spans="1:12" ht="15.75" thickBot="1" x14ac:dyDescent="0.3">
      <c r="A4252" s="13"/>
      <c r="B4252" s="11"/>
      <c r="C4252" s="11" t="s">
        <v>29</v>
      </c>
      <c r="D4252" s="43"/>
      <c r="E4252" s="6"/>
      <c r="F4252" s="5"/>
      <c r="G4252" s="13"/>
      <c r="H4252" s="11"/>
      <c r="I4252" s="14" t="s">
        <v>28</v>
      </c>
      <c r="J4252" s="43"/>
      <c r="K4252" s="59"/>
      <c r="L4252" s="6"/>
    </row>
    <row r="4253" spans="1:12" ht="15.75" thickBot="1" x14ac:dyDescent="0.3">
      <c r="A4253" s="15" t="s">
        <v>10</v>
      </c>
      <c r="B4253" s="5"/>
      <c r="C4253" s="5"/>
      <c r="D4253" s="5">
        <v>665.64</v>
      </c>
      <c r="E4253" s="5"/>
      <c r="F4253" s="5"/>
      <c r="G4253" s="15" t="s">
        <v>14</v>
      </c>
      <c r="H4253" s="5"/>
      <c r="I4253" s="5"/>
      <c r="J4253" s="5"/>
      <c r="K4253" s="5"/>
      <c r="L4253" s="5"/>
    </row>
    <row r="4254" spans="1:12" ht="15.75" thickBot="1" x14ac:dyDescent="0.3">
      <c r="A4254" s="121" t="s">
        <v>11</v>
      </c>
      <c r="B4254" s="122"/>
      <c r="C4254" s="123"/>
      <c r="D4254" s="16" t="s">
        <v>12</v>
      </c>
      <c r="E4254" s="16" t="s">
        <v>13</v>
      </c>
      <c r="F4254" s="5"/>
      <c r="G4254" s="121" t="s">
        <v>15</v>
      </c>
      <c r="H4254" s="122"/>
      <c r="I4254" s="123"/>
      <c r="J4254" s="121"/>
      <c r="K4254" s="123"/>
      <c r="L4254" s="5"/>
    </row>
    <row r="4255" spans="1:12" x14ac:dyDescent="0.25">
      <c r="A4255" s="94" t="s">
        <v>572</v>
      </c>
      <c r="B4255" s="46" t="s">
        <v>66</v>
      </c>
      <c r="C4255" s="47"/>
      <c r="D4255" s="56">
        <v>251.3</v>
      </c>
      <c r="E4255" s="57">
        <v>4724.4399999999996</v>
      </c>
      <c r="F4255" s="44">
        <f>E4255/D4255</f>
        <v>18.799999999999997</v>
      </c>
      <c r="G4255" s="125" t="s">
        <v>69</v>
      </c>
      <c r="H4255" s="126"/>
      <c r="I4255" s="127"/>
      <c r="J4255" s="128"/>
      <c r="K4255" s="129"/>
      <c r="L4255" s="5"/>
    </row>
    <row r="4256" spans="1:12" x14ac:dyDescent="0.25">
      <c r="A4256" s="94">
        <v>45700</v>
      </c>
      <c r="B4256" s="46" t="s">
        <v>66</v>
      </c>
      <c r="C4256" s="47"/>
      <c r="D4256" s="56">
        <v>728.16</v>
      </c>
      <c r="E4256" s="57">
        <v>13689.4</v>
      </c>
      <c r="F4256" s="44">
        <f>E4256/D4256</f>
        <v>18.799989013403646</v>
      </c>
      <c r="G4256" s="110" t="s">
        <v>59</v>
      </c>
      <c r="H4256" s="111"/>
      <c r="I4256" s="112"/>
      <c r="J4256" s="113"/>
      <c r="K4256" s="114"/>
      <c r="L4256" s="5"/>
    </row>
    <row r="4257" spans="1:12" x14ac:dyDescent="0.25">
      <c r="A4257" s="94">
        <v>45759</v>
      </c>
      <c r="B4257" s="46" t="s">
        <v>47</v>
      </c>
      <c r="C4257" s="47"/>
      <c r="D4257" s="56">
        <v>397</v>
      </c>
      <c r="E4257" s="57">
        <v>7300.83</v>
      </c>
      <c r="F4257" s="44">
        <f>E4257/D4257</f>
        <v>18.39</v>
      </c>
      <c r="G4257" s="110" t="s">
        <v>61</v>
      </c>
      <c r="H4257" s="111"/>
      <c r="I4257" s="112"/>
      <c r="J4257" s="113"/>
      <c r="K4257" s="114"/>
      <c r="L4257" s="5"/>
    </row>
    <row r="4258" spans="1:12" x14ac:dyDescent="0.25">
      <c r="A4258" s="94"/>
      <c r="B4258" s="46"/>
      <c r="C4258" s="47"/>
      <c r="D4258" s="56"/>
      <c r="E4258" s="57"/>
      <c r="F4258" s="44"/>
      <c r="G4258" s="110" t="s">
        <v>51</v>
      </c>
      <c r="H4258" s="111"/>
      <c r="I4258" s="112"/>
      <c r="J4258" s="113"/>
      <c r="K4258" s="114"/>
      <c r="L4258" s="5"/>
    </row>
    <row r="4259" spans="1:12" x14ac:dyDescent="0.25">
      <c r="A4259" s="48"/>
      <c r="B4259" s="46"/>
      <c r="C4259" s="39"/>
      <c r="D4259" s="52"/>
      <c r="E4259" s="53"/>
      <c r="F4259" s="44"/>
      <c r="G4259" s="110" t="s">
        <v>58</v>
      </c>
      <c r="H4259" s="111"/>
      <c r="I4259" s="112"/>
      <c r="J4259" s="113"/>
      <c r="K4259" s="114"/>
      <c r="L4259" s="5"/>
    </row>
    <row r="4260" spans="1:12" x14ac:dyDescent="0.25">
      <c r="A4260" s="48"/>
      <c r="B4260" s="35"/>
      <c r="C4260" s="39"/>
      <c r="D4260" s="52"/>
      <c r="E4260" s="53"/>
      <c r="F4260" s="44"/>
      <c r="G4260" s="110" t="s">
        <v>51</v>
      </c>
      <c r="H4260" s="111"/>
      <c r="I4260" s="112"/>
      <c r="J4260" s="113"/>
      <c r="K4260" s="114"/>
      <c r="L4260" s="5"/>
    </row>
    <row r="4261" spans="1:12" x14ac:dyDescent="0.25">
      <c r="A4261" s="48"/>
      <c r="B4261" s="35"/>
      <c r="C4261" s="39"/>
      <c r="D4261" s="52"/>
      <c r="E4261" s="53"/>
      <c r="F4261" s="44"/>
      <c r="G4261" s="77"/>
      <c r="H4261" s="78" t="s">
        <v>69</v>
      </c>
      <c r="I4261" s="79"/>
      <c r="J4261" s="113"/>
      <c r="K4261" s="114"/>
      <c r="L4261" s="5"/>
    </row>
    <row r="4262" spans="1:12" x14ac:dyDescent="0.25">
      <c r="A4262" s="38"/>
      <c r="B4262" s="35"/>
      <c r="C4262" s="39"/>
      <c r="D4262" s="52"/>
      <c r="E4262" s="53"/>
      <c r="F4262" s="44"/>
      <c r="G4262" s="77"/>
      <c r="H4262" s="78" t="s">
        <v>72</v>
      </c>
      <c r="I4262" s="79"/>
      <c r="J4262" s="113"/>
      <c r="K4262" s="114"/>
      <c r="L4262" s="5"/>
    </row>
    <row r="4263" spans="1:12" ht="15.75" thickBot="1" x14ac:dyDescent="0.3">
      <c r="A4263" s="5"/>
      <c r="B4263" s="5"/>
      <c r="C4263" s="7" t="s">
        <v>35</v>
      </c>
      <c r="D4263" s="17">
        <f>SUM(D4255:D4262)</f>
        <v>1376.46</v>
      </c>
      <c r="E4263" s="17">
        <f>SUM(E4255:E4262)</f>
        <v>25714.67</v>
      </c>
      <c r="F4263" s="89">
        <f>AVERAGE(F4255:F4259)</f>
        <v>18.663329671134548</v>
      </c>
      <c r="G4263" s="110" t="s">
        <v>73</v>
      </c>
      <c r="H4263" s="111"/>
      <c r="I4263" s="112"/>
      <c r="J4263" s="113"/>
      <c r="K4263" s="114"/>
      <c r="L4263" s="7" t="s">
        <v>36</v>
      </c>
    </row>
    <row r="4264" spans="1:12" ht="15.75" thickBot="1" x14ac:dyDescent="0.3">
      <c r="A4264" s="5"/>
      <c r="B4264" s="5"/>
      <c r="C4264" s="5"/>
      <c r="D4264" s="5"/>
      <c r="E4264" s="5"/>
      <c r="F4264" s="5"/>
      <c r="G4264" s="130"/>
      <c r="H4264" s="131"/>
      <c r="I4264" s="132"/>
      <c r="J4264" s="133"/>
      <c r="K4264" s="134"/>
      <c r="L4264" s="18">
        <f>J4255+J4256+J4257+J4258+J4259+J4260+J4261+J4262+J4263</f>
        <v>0</v>
      </c>
    </row>
    <row r="4265" spans="1:12" ht="15.75" thickBot="1" x14ac:dyDescent="0.3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</row>
    <row r="4266" spans="1:12" ht="15.75" thickBot="1" x14ac:dyDescent="0.3">
      <c r="A4266" s="19"/>
      <c r="B4266" s="20"/>
      <c r="C4266" s="20"/>
      <c r="D4266" s="20"/>
      <c r="E4266" s="21" t="s">
        <v>13</v>
      </c>
      <c r="F4266" s="5"/>
      <c r="G4266" s="19"/>
      <c r="H4266" s="20"/>
      <c r="I4266" s="20"/>
      <c r="J4266" s="20"/>
      <c r="K4266" s="21" t="s">
        <v>13</v>
      </c>
      <c r="L4266" s="5"/>
    </row>
    <row r="4267" spans="1:12" x14ac:dyDescent="0.25">
      <c r="A4267" s="22" t="s">
        <v>31</v>
      </c>
      <c r="B4267" s="115">
        <v>19091</v>
      </c>
      <c r="C4267" s="116"/>
      <c r="D4267" s="116"/>
      <c r="E4267" s="117"/>
      <c r="F4267" s="5"/>
      <c r="G4267" s="22" t="s">
        <v>32</v>
      </c>
      <c r="H4267" s="115">
        <v>43258</v>
      </c>
      <c r="I4267" s="116"/>
      <c r="J4267" s="116"/>
      <c r="K4267" s="117"/>
      <c r="L4267" s="5"/>
    </row>
    <row r="4268" spans="1:12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</row>
    <row r="4269" spans="1:12" x14ac:dyDescent="0.25">
      <c r="A4269" s="7" t="s">
        <v>16</v>
      </c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</row>
    <row r="4270" spans="1:12" x14ac:dyDescent="0.25">
      <c r="A4270" s="9" t="s">
        <v>17</v>
      </c>
      <c r="B4270" s="23">
        <f>L4247-C4242</f>
        <v>3062</v>
      </c>
      <c r="C4270" s="5"/>
      <c r="D4270" s="106" t="s">
        <v>18</v>
      </c>
      <c r="E4270" s="107"/>
      <c r="F4270" s="24" t="s">
        <v>19</v>
      </c>
      <c r="G4270" s="9" t="s">
        <v>20</v>
      </c>
      <c r="H4270" s="118">
        <f>B4267+H4267</f>
        <v>62349</v>
      </c>
      <c r="I4270" s="119"/>
      <c r="J4270" s="60"/>
      <c r="K4270" s="5"/>
      <c r="L4270" s="5"/>
    </row>
    <row r="4271" spans="1:12" x14ac:dyDescent="0.25">
      <c r="A4271" s="9" t="s">
        <v>41</v>
      </c>
      <c r="B4271" s="40">
        <f>B4270/D4263</f>
        <v>2.2245470264301179</v>
      </c>
      <c r="C4271" s="5"/>
      <c r="D4271" s="102">
        <f>E4263</f>
        <v>25714.67</v>
      </c>
      <c r="E4271" s="103"/>
      <c r="F4271" s="25">
        <f>H4271/B4270</f>
        <v>9.3898987589810581</v>
      </c>
      <c r="G4271" s="9" t="s">
        <v>21</v>
      </c>
      <c r="H4271" s="104">
        <f>L4264+D4271+D4273+D4275+D4277+A4274</f>
        <v>28751.87</v>
      </c>
      <c r="I4271" s="105"/>
      <c r="J4271" s="5"/>
      <c r="K4271" s="5"/>
      <c r="L4271" s="5"/>
    </row>
    <row r="4272" spans="1:12" x14ac:dyDescent="0.25">
      <c r="A4272" s="9" t="s">
        <v>43</v>
      </c>
      <c r="B4272" s="23">
        <f>D4263/B4270*100</f>
        <v>44.952971913781845</v>
      </c>
      <c r="C4272" s="5"/>
      <c r="D4272" s="106" t="s">
        <v>33</v>
      </c>
      <c r="E4272" s="107"/>
      <c r="F4272" s="5"/>
      <c r="G4272" s="13" t="s">
        <v>22</v>
      </c>
      <c r="H4272" s="6"/>
      <c r="I4272" s="26">
        <f>H4270-H4271</f>
        <v>33597.130000000005</v>
      </c>
      <c r="J4272" s="5"/>
      <c r="K4272" s="5">
        <f>137000+23895</f>
        <v>160895</v>
      </c>
      <c r="L4272" s="5"/>
    </row>
    <row r="4273" spans="1:12" x14ac:dyDescent="0.25">
      <c r="A4273" s="106" t="s">
        <v>40</v>
      </c>
      <c r="B4273" s="107"/>
      <c r="C4273" s="5"/>
      <c r="D4273" s="149">
        <v>1200</v>
      </c>
      <c r="E4273" s="150"/>
      <c r="F4273" s="5"/>
      <c r="G4273" s="5"/>
      <c r="H4273" s="5"/>
      <c r="I4273" s="5"/>
      <c r="J4273" s="5"/>
      <c r="K4273" s="5"/>
      <c r="L4273" s="5"/>
    </row>
    <row r="4274" spans="1:12" x14ac:dyDescent="0.25">
      <c r="A4274" s="108">
        <f>B4270*0.6</f>
        <v>1837.2</v>
      </c>
      <c r="B4274" s="109"/>
      <c r="C4274" s="5"/>
      <c r="D4274" s="106" t="s">
        <v>34</v>
      </c>
      <c r="E4274" s="107"/>
      <c r="F4274" s="5"/>
      <c r="G4274" s="145" t="s">
        <v>292</v>
      </c>
      <c r="H4274" s="146"/>
      <c r="I4274" s="23">
        <f>B4270/2.3</f>
        <v>1331.304347826087</v>
      </c>
      <c r="J4274" s="60"/>
      <c r="K4274" s="5"/>
      <c r="L4274" s="5"/>
    </row>
    <row r="4275" spans="1:12" x14ac:dyDescent="0.25">
      <c r="A4275" s="5"/>
      <c r="B4275" s="5"/>
      <c r="C4275" s="5"/>
      <c r="D4275" s="108">
        <v>0</v>
      </c>
      <c r="E4275" s="109"/>
      <c r="F4275" s="5"/>
      <c r="G4275" s="145" t="s">
        <v>294</v>
      </c>
      <c r="H4275" s="146"/>
      <c r="I4275" s="23">
        <f>I4274-D4263</f>
        <v>-45.15565217391304</v>
      </c>
      <c r="J4275" s="5"/>
      <c r="K4275" s="5"/>
      <c r="L4275" s="5"/>
    </row>
    <row r="4276" spans="1:12" x14ac:dyDescent="0.25">
      <c r="A4276" s="5"/>
      <c r="B4276" s="5"/>
      <c r="C4276" s="5"/>
      <c r="D4276" s="106" t="s">
        <v>37</v>
      </c>
      <c r="E4276" s="107"/>
      <c r="F4276" s="5"/>
      <c r="G4276" s="147" t="s">
        <v>295</v>
      </c>
      <c r="H4276" s="148"/>
      <c r="I4276" s="86">
        <f>I4275*F4263</f>
        <v>-842.75482303682247</v>
      </c>
      <c r="J4276" s="87">
        <f>I4272-I4276</f>
        <v>34439.884823036824</v>
      </c>
      <c r="K4276" s="5"/>
      <c r="L4276" s="5"/>
    </row>
    <row r="4277" spans="1:12" x14ac:dyDescent="0.25">
      <c r="A4277" s="5"/>
      <c r="B4277" s="5"/>
      <c r="C4277" s="5"/>
      <c r="D4277" s="108">
        <v>0</v>
      </c>
      <c r="E4277" s="109"/>
      <c r="F4277" s="5" t="s">
        <v>78</v>
      </c>
      <c r="G4277" s="5"/>
      <c r="H4277" s="5"/>
      <c r="I4277" s="5"/>
      <c r="J4277" s="88" t="s">
        <v>293</v>
      </c>
      <c r="K4277" s="44"/>
      <c r="L4277" s="5"/>
    </row>
    <row r="4279" spans="1:12" s="49" customFormat="1" x14ac:dyDescent="0.25"/>
    <row r="4282" spans="1:12" x14ac:dyDescent="0.25">
      <c r="A4282" s="120" t="s">
        <v>24</v>
      </c>
      <c r="B4282" s="120"/>
      <c r="C4282" s="120"/>
      <c r="D4282" s="120"/>
      <c r="E4282" s="120"/>
      <c r="F4282" s="120"/>
      <c r="G4282" s="120"/>
      <c r="H4282" s="120"/>
      <c r="I4282" s="120"/>
      <c r="J4282" s="120"/>
      <c r="K4282" s="120"/>
      <c r="L4282" s="120"/>
    </row>
    <row r="4283" spans="1:12" x14ac:dyDescent="0.25">
      <c r="A4283" s="120"/>
      <c r="B4283" s="120"/>
      <c r="C4283" s="120"/>
      <c r="D4283" s="120"/>
      <c r="E4283" s="120"/>
      <c r="F4283" s="120"/>
      <c r="G4283" s="120"/>
      <c r="H4283" s="120"/>
      <c r="I4283" s="120"/>
      <c r="J4283" s="120"/>
      <c r="K4283" s="120"/>
      <c r="L4283" s="120"/>
    </row>
    <row r="4284" spans="1:12" x14ac:dyDescent="0.25">
      <c r="A4284" s="1" t="s">
        <v>4</v>
      </c>
      <c r="B4284" s="2"/>
      <c r="C4284" s="90"/>
      <c r="D4284" s="2"/>
      <c r="E4284" s="2"/>
      <c r="F4284" s="2"/>
      <c r="G4284" s="3" t="s">
        <v>5</v>
      </c>
      <c r="H4284" s="3" t="s">
        <v>6</v>
      </c>
      <c r="I4284" s="4" t="s">
        <v>7</v>
      </c>
      <c r="J4284" s="5"/>
      <c r="K4284" s="5"/>
      <c r="L4284" s="5"/>
    </row>
    <row r="4285" spans="1:12" x14ac:dyDescent="0.25">
      <c r="A4285" s="91" t="s">
        <v>549</v>
      </c>
      <c r="B4285" s="92" t="s">
        <v>42</v>
      </c>
      <c r="C4285" s="64"/>
      <c r="D4285" s="66"/>
      <c r="E4285" s="2"/>
      <c r="F4285" s="2"/>
      <c r="G4285" s="91" t="s">
        <v>299</v>
      </c>
      <c r="H4285" s="66"/>
      <c r="I4285" s="33"/>
      <c r="J4285" s="6"/>
      <c r="K4285" s="33"/>
      <c r="L4285" s="6"/>
    </row>
    <row r="4286" spans="1:12" x14ac:dyDescent="0.25">
      <c r="A4286" s="7" t="s">
        <v>2</v>
      </c>
      <c r="B4286" s="5"/>
      <c r="C4286" s="5"/>
      <c r="D4286" s="5"/>
      <c r="E4286" s="5"/>
      <c r="F4286" s="5"/>
      <c r="G4286" s="8" t="s">
        <v>8</v>
      </c>
      <c r="H4286" s="93">
        <v>3</v>
      </c>
      <c r="I4286" s="5"/>
      <c r="J4286" s="5"/>
      <c r="K4286" s="5"/>
      <c r="L4286" s="5"/>
    </row>
    <row r="4287" spans="1:12" x14ac:dyDescent="0.25">
      <c r="A4287" s="7" t="s">
        <v>25</v>
      </c>
      <c r="B4287" s="5"/>
      <c r="C4287" s="7" t="s">
        <v>0</v>
      </c>
      <c r="D4287" s="5"/>
      <c r="E4287" s="5"/>
      <c r="F4287" s="5"/>
      <c r="G4287" s="7" t="s">
        <v>25</v>
      </c>
      <c r="H4287" s="5"/>
      <c r="I4287" s="7" t="s">
        <v>0</v>
      </c>
      <c r="J4287" s="5"/>
      <c r="K4287" s="5"/>
      <c r="L4287" s="5"/>
    </row>
    <row r="4288" spans="1:12" x14ac:dyDescent="0.25">
      <c r="A4288" s="42">
        <v>45759</v>
      </c>
      <c r="B4288" s="6"/>
      <c r="C4288" s="31">
        <f>L4247</f>
        <v>1089605</v>
      </c>
      <c r="D4288" s="5"/>
      <c r="E4288" s="5"/>
      <c r="F4288" s="5"/>
      <c r="G4288" s="42"/>
      <c r="H4288" s="6"/>
      <c r="I4288" s="9"/>
      <c r="J4288" s="5"/>
      <c r="K4288" s="5"/>
      <c r="L4288" s="5"/>
    </row>
    <row r="4289" spans="1:12" ht="16.5" thickBot="1" x14ac:dyDescent="0.3">
      <c r="A4289" s="7"/>
      <c r="B4289" s="62"/>
      <c r="C4289" s="62"/>
      <c r="D4289" s="62"/>
      <c r="E4289" s="5"/>
      <c r="F4289" s="5"/>
      <c r="G4289" s="10"/>
      <c r="H4289" s="5"/>
      <c r="I4289" s="5"/>
      <c r="J4289" s="5"/>
      <c r="K4289" s="5"/>
      <c r="L4289" s="5"/>
    </row>
    <row r="4290" spans="1:12" ht="15.75" thickBot="1" x14ac:dyDescent="0.3">
      <c r="A4290" s="121" t="s">
        <v>9</v>
      </c>
      <c r="B4290" s="122"/>
      <c r="C4290" s="123"/>
      <c r="D4290" s="5"/>
      <c r="E4290" s="5"/>
      <c r="F4290" s="5"/>
      <c r="G4290" s="121" t="s">
        <v>26</v>
      </c>
      <c r="H4290" s="122"/>
      <c r="I4290" s="123"/>
      <c r="J4290" s="5"/>
      <c r="K4290" s="5"/>
      <c r="L4290" s="5"/>
    </row>
    <row r="4291" spans="1:12" x14ac:dyDescent="0.25">
      <c r="A4291" s="30" t="s">
        <v>38</v>
      </c>
      <c r="B4291" s="11"/>
      <c r="C4291" s="11"/>
      <c r="D4291" s="11"/>
      <c r="E4291" s="6"/>
      <c r="F4291" s="5"/>
      <c r="G4291" s="30" t="str">
        <f>A4294</f>
        <v>Omuthiya</v>
      </c>
      <c r="H4291" s="11"/>
      <c r="I4291" s="11"/>
      <c r="J4291" s="11"/>
      <c r="K4291" s="11"/>
      <c r="L4291" s="6"/>
    </row>
    <row r="4292" spans="1:12" ht="15.75" thickBot="1" x14ac:dyDescent="0.3">
      <c r="A4292" s="7"/>
      <c r="B4292" s="7"/>
      <c r="C4292" s="7"/>
      <c r="D4292" s="5"/>
      <c r="E4292" s="5"/>
      <c r="F4292" s="5"/>
      <c r="G4292" s="7"/>
      <c r="H4292" s="7"/>
      <c r="I4292" s="7"/>
      <c r="J4292" s="5"/>
      <c r="K4292" s="5"/>
      <c r="L4292" s="5"/>
    </row>
    <row r="4293" spans="1:12" ht="15.75" thickBot="1" x14ac:dyDescent="0.3">
      <c r="A4293" s="121"/>
      <c r="B4293" s="122"/>
      <c r="C4293" s="124"/>
      <c r="D4293" s="12" t="s">
        <v>1</v>
      </c>
      <c r="E4293" s="32"/>
      <c r="F4293" s="5"/>
      <c r="G4293" s="121" t="s">
        <v>27</v>
      </c>
      <c r="H4293" s="122"/>
      <c r="I4293" s="123"/>
      <c r="J4293" s="5"/>
      <c r="K4293" s="12" t="s">
        <v>1</v>
      </c>
      <c r="L4293" s="32">
        <v>1090821</v>
      </c>
    </row>
    <row r="4294" spans="1:12" x14ac:dyDescent="0.25">
      <c r="A4294" s="30" t="s">
        <v>339</v>
      </c>
      <c r="B4294" s="11"/>
      <c r="C4294" s="11"/>
      <c r="D4294" s="11"/>
      <c r="E4294" s="6"/>
      <c r="F4294" s="5"/>
      <c r="G4294" s="30" t="s">
        <v>364</v>
      </c>
      <c r="H4294" s="11"/>
      <c r="I4294" s="11"/>
      <c r="J4294" s="11"/>
      <c r="K4294" s="11"/>
      <c r="L4294" s="6"/>
    </row>
    <row r="4295" spans="1:12" x14ac:dyDescent="0.25">
      <c r="A4295" s="76"/>
      <c r="B4295" s="11"/>
      <c r="C4295" s="11"/>
      <c r="D4295" s="11"/>
      <c r="E4295" s="6"/>
      <c r="F4295" s="5"/>
      <c r="G4295" s="34"/>
      <c r="H4295" s="11"/>
      <c r="I4295" s="11"/>
      <c r="J4295" s="11"/>
      <c r="K4295" s="11"/>
      <c r="L4295" s="6"/>
    </row>
    <row r="4296" spans="1:12" x14ac:dyDescent="0.25">
      <c r="A4296" s="13"/>
      <c r="B4296" s="11"/>
      <c r="C4296" s="11"/>
      <c r="D4296" s="11"/>
      <c r="E4296" s="6"/>
      <c r="F4296" s="5"/>
      <c r="G4296" s="13"/>
      <c r="H4296" s="11"/>
      <c r="I4296" s="11"/>
      <c r="J4296" s="11"/>
      <c r="K4296" s="11"/>
      <c r="L4296" s="6"/>
    </row>
    <row r="4297" spans="1:12" x14ac:dyDescent="0.25">
      <c r="A4297" s="13"/>
      <c r="B4297" s="11"/>
      <c r="C4297" s="11"/>
      <c r="D4297" s="11"/>
      <c r="E4297" s="6"/>
      <c r="F4297" s="5"/>
      <c r="G4297" s="13"/>
      <c r="H4297" s="11"/>
      <c r="I4297" s="11"/>
      <c r="J4297" s="11"/>
      <c r="K4297" s="11"/>
      <c r="L4297" s="6"/>
    </row>
    <row r="4298" spans="1:12" ht="15.75" thickBot="1" x14ac:dyDescent="0.3">
      <c r="A4298" s="13"/>
      <c r="B4298" s="11"/>
      <c r="C4298" s="11" t="s">
        <v>29</v>
      </c>
      <c r="D4298" s="43"/>
      <c r="E4298" s="6"/>
      <c r="F4298" s="5"/>
      <c r="G4298" s="13"/>
      <c r="H4298" s="11"/>
      <c r="I4298" s="14" t="s">
        <v>28</v>
      </c>
      <c r="J4298" s="43"/>
      <c r="K4298" s="59"/>
      <c r="L4298" s="6"/>
    </row>
    <row r="4299" spans="1:12" ht="15.75" thickBot="1" x14ac:dyDescent="0.3">
      <c r="A4299" s="15" t="s">
        <v>10</v>
      </c>
      <c r="B4299" s="5"/>
      <c r="C4299" s="5"/>
      <c r="D4299" s="5">
        <v>665.64</v>
      </c>
      <c r="E4299" s="5"/>
      <c r="F4299" s="5"/>
      <c r="G4299" s="15" t="s">
        <v>14</v>
      </c>
      <c r="H4299" s="5"/>
      <c r="I4299" s="5"/>
      <c r="J4299" s="5"/>
      <c r="K4299" s="5"/>
      <c r="L4299" s="5"/>
    </row>
    <row r="4300" spans="1:12" ht="15.75" thickBot="1" x14ac:dyDescent="0.3">
      <c r="A4300" s="121" t="s">
        <v>11</v>
      </c>
      <c r="B4300" s="122"/>
      <c r="C4300" s="123"/>
      <c r="D4300" s="16" t="s">
        <v>12</v>
      </c>
      <c r="E4300" s="16" t="s">
        <v>13</v>
      </c>
      <c r="F4300" s="5"/>
      <c r="G4300" s="121" t="s">
        <v>15</v>
      </c>
      <c r="H4300" s="122"/>
      <c r="I4300" s="123"/>
      <c r="J4300" s="121"/>
      <c r="K4300" s="123"/>
      <c r="L4300" s="5"/>
    </row>
    <row r="4301" spans="1:12" x14ac:dyDescent="0.25">
      <c r="A4301" s="94">
        <v>45820</v>
      </c>
      <c r="B4301" s="46" t="s">
        <v>47</v>
      </c>
      <c r="C4301" s="47"/>
      <c r="D4301" s="56">
        <v>450.98</v>
      </c>
      <c r="E4301" s="57">
        <v>8293.52</v>
      </c>
      <c r="F4301" s="44">
        <f>E4301/D4301</f>
        <v>18.389995121734888</v>
      </c>
      <c r="G4301" s="125" t="s">
        <v>69</v>
      </c>
      <c r="H4301" s="126"/>
      <c r="I4301" s="127"/>
      <c r="J4301" s="128"/>
      <c r="K4301" s="129"/>
      <c r="L4301" s="5"/>
    </row>
    <row r="4302" spans="1:12" x14ac:dyDescent="0.25">
      <c r="A4302" s="94"/>
      <c r="B4302" s="46"/>
      <c r="C4302" s="47"/>
      <c r="D4302" s="56"/>
      <c r="E4302" s="57"/>
      <c r="F4302" s="44"/>
      <c r="G4302" s="110" t="s">
        <v>59</v>
      </c>
      <c r="H4302" s="111"/>
      <c r="I4302" s="112"/>
      <c r="J4302" s="113"/>
      <c r="K4302" s="114"/>
      <c r="L4302" s="5"/>
    </row>
    <row r="4303" spans="1:12" x14ac:dyDescent="0.25">
      <c r="A4303" s="94"/>
      <c r="B4303" s="46"/>
      <c r="C4303" s="47"/>
      <c r="D4303" s="56"/>
      <c r="E4303" s="57"/>
      <c r="F4303" s="44"/>
      <c r="G4303" s="110" t="s">
        <v>61</v>
      </c>
      <c r="H4303" s="111"/>
      <c r="I4303" s="112"/>
      <c r="J4303" s="113"/>
      <c r="K4303" s="114"/>
      <c r="L4303" s="5"/>
    </row>
    <row r="4304" spans="1:12" x14ac:dyDescent="0.25">
      <c r="A4304" s="94"/>
      <c r="B4304" s="46"/>
      <c r="C4304" s="47"/>
      <c r="D4304" s="56"/>
      <c r="E4304" s="57"/>
      <c r="F4304" s="44"/>
      <c r="G4304" s="110" t="s">
        <v>51</v>
      </c>
      <c r="H4304" s="111"/>
      <c r="I4304" s="112"/>
      <c r="J4304" s="113"/>
      <c r="K4304" s="114"/>
      <c r="L4304" s="5"/>
    </row>
    <row r="4305" spans="1:12" x14ac:dyDescent="0.25">
      <c r="A4305" s="48"/>
      <c r="B4305" s="46"/>
      <c r="C4305" s="39"/>
      <c r="D4305" s="52"/>
      <c r="E4305" s="53"/>
      <c r="F4305" s="44"/>
      <c r="G4305" s="110" t="s">
        <v>58</v>
      </c>
      <c r="H4305" s="111"/>
      <c r="I4305" s="112"/>
      <c r="J4305" s="113"/>
      <c r="K4305" s="114"/>
      <c r="L4305" s="5"/>
    </row>
    <row r="4306" spans="1:12" x14ac:dyDescent="0.25">
      <c r="A4306" s="48"/>
      <c r="B4306" s="35"/>
      <c r="C4306" s="39"/>
      <c r="D4306" s="52"/>
      <c r="E4306" s="53"/>
      <c r="F4306" s="44"/>
      <c r="G4306" s="110" t="s">
        <v>51</v>
      </c>
      <c r="H4306" s="111"/>
      <c r="I4306" s="112"/>
      <c r="J4306" s="113"/>
      <c r="K4306" s="114"/>
      <c r="L4306" s="5"/>
    </row>
    <row r="4307" spans="1:12" x14ac:dyDescent="0.25">
      <c r="A4307" s="48"/>
      <c r="B4307" s="35"/>
      <c r="C4307" s="39"/>
      <c r="D4307" s="52"/>
      <c r="E4307" s="53"/>
      <c r="F4307" s="44"/>
      <c r="G4307" s="77"/>
      <c r="H4307" s="78" t="s">
        <v>69</v>
      </c>
      <c r="I4307" s="79"/>
      <c r="J4307" s="113"/>
      <c r="K4307" s="114"/>
      <c r="L4307" s="5"/>
    </row>
    <row r="4308" spans="1:12" x14ac:dyDescent="0.25">
      <c r="A4308" s="38"/>
      <c r="B4308" s="35"/>
      <c r="C4308" s="39"/>
      <c r="D4308" s="52"/>
      <c r="E4308" s="53"/>
      <c r="F4308" s="44"/>
      <c r="G4308" s="77"/>
      <c r="H4308" s="78" t="s">
        <v>72</v>
      </c>
      <c r="I4308" s="79"/>
      <c r="J4308" s="113"/>
      <c r="K4308" s="114"/>
      <c r="L4308" s="5"/>
    </row>
    <row r="4309" spans="1:12" ht="15.75" thickBot="1" x14ac:dyDescent="0.3">
      <c r="A4309" s="5"/>
      <c r="B4309" s="5"/>
      <c r="C4309" s="7" t="s">
        <v>35</v>
      </c>
      <c r="D4309" s="17">
        <f>SUM(D4301:D4308)</f>
        <v>450.98</v>
      </c>
      <c r="E4309" s="17">
        <f>SUM(E4301:E4308)</f>
        <v>8293.52</v>
      </c>
      <c r="F4309" s="89">
        <f>AVERAGE(F4301:F4305)</f>
        <v>18.389995121734888</v>
      </c>
      <c r="G4309" s="110" t="s">
        <v>73</v>
      </c>
      <c r="H4309" s="111"/>
      <c r="I4309" s="112"/>
      <c r="J4309" s="113"/>
      <c r="K4309" s="114"/>
      <c r="L4309" s="7" t="s">
        <v>36</v>
      </c>
    </row>
    <row r="4310" spans="1:12" ht="15.75" thickBot="1" x14ac:dyDescent="0.3">
      <c r="A4310" s="5"/>
      <c r="B4310" s="5"/>
      <c r="C4310" s="5"/>
      <c r="D4310" s="5"/>
      <c r="E4310" s="5"/>
      <c r="F4310" s="5"/>
      <c r="G4310" s="130"/>
      <c r="H4310" s="131"/>
      <c r="I4310" s="132"/>
      <c r="J4310" s="133"/>
      <c r="K4310" s="134"/>
      <c r="L4310" s="18">
        <f>J4301+J4302+J4303+J4304+J4305+J4306+J4307+J4308+J4309</f>
        <v>0</v>
      </c>
    </row>
    <row r="4311" spans="1:12" ht="15.75" thickBot="1" x14ac:dyDescent="0.3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</row>
    <row r="4312" spans="1:12" ht="15.75" thickBot="1" x14ac:dyDescent="0.3">
      <c r="A4312" s="19"/>
      <c r="B4312" s="20"/>
      <c r="C4312" s="20"/>
      <c r="D4312" s="20"/>
      <c r="E4312" s="21" t="s">
        <v>13</v>
      </c>
      <c r="F4312" s="5"/>
      <c r="G4312" s="19"/>
      <c r="H4312" s="20"/>
      <c r="I4312" s="20"/>
      <c r="J4312" s="20"/>
      <c r="K4312" s="21" t="s">
        <v>13</v>
      </c>
      <c r="L4312" s="5"/>
    </row>
    <row r="4313" spans="1:12" x14ac:dyDescent="0.25">
      <c r="A4313" s="22" t="s">
        <v>31</v>
      </c>
      <c r="B4313" s="115">
        <v>24340</v>
      </c>
      <c r="C4313" s="116"/>
      <c r="D4313" s="116"/>
      <c r="E4313" s="117"/>
      <c r="F4313" s="5"/>
      <c r="G4313" s="22" t="s">
        <v>32</v>
      </c>
      <c r="H4313" s="115"/>
      <c r="I4313" s="116"/>
      <c r="J4313" s="116"/>
      <c r="K4313" s="117"/>
      <c r="L4313" s="5"/>
    </row>
    <row r="4314" spans="1:12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</row>
    <row r="4315" spans="1:12" x14ac:dyDescent="0.25">
      <c r="A4315" s="7" t="s">
        <v>16</v>
      </c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</row>
    <row r="4316" spans="1:12" x14ac:dyDescent="0.25">
      <c r="A4316" s="9" t="s">
        <v>17</v>
      </c>
      <c r="B4316" s="23">
        <f>L4293-C4288</f>
        <v>1216</v>
      </c>
      <c r="C4316" s="5"/>
      <c r="D4316" s="106" t="s">
        <v>18</v>
      </c>
      <c r="E4316" s="107"/>
      <c r="F4316" s="24" t="s">
        <v>19</v>
      </c>
      <c r="G4316" s="9" t="s">
        <v>20</v>
      </c>
      <c r="H4316" s="118">
        <f>B4313+H4313</f>
        <v>24340</v>
      </c>
      <c r="I4316" s="119"/>
      <c r="J4316" s="60"/>
      <c r="K4316" s="5"/>
      <c r="L4316" s="5"/>
    </row>
    <row r="4317" spans="1:12" x14ac:dyDescent="0.25">
      <c r="A4317" s="9" t="s">
        <v>41</v>
      </c>
      <c r="B4317" s="40">
        <f>B4316/D4309</f>
        <v>2.696350170739279</v>
      </c>
      <c r="C4317" s="5"/>
      <c r="D4317" s="102">
        <f>E4309</f>
        <v>8293.52</v>
      </c>
      <c r="E4317" s="103"/>
      <c r="F4317" s="25">
        <f>H4317/B4316</f>
        <v>7.8315131578947375</v>
      </c>
      <c r="G4317" s="9" t="s">
        <v>21</v>
      </c>
      <c r="H4317" s="104">
        <f>L4310+D4317+D4319+D4321+D4323+A4320</f>
        <v>9523.1200000000008</v>
      </c>
      <c r="I4317" s="105"/>
      <c r="J4317" s="5"/>
      <c r="K4317" s="5"/>
      <c r="L4317" s="5"/>
    </row>
    <row r="4318" spans="1:12" x14ac:dyDescent="0.25">
      <c r="A4318" s="9" t="s">
        <v>43</v>
      </c>
      <c r="B4318" s="23">
        <f>D4309/B4316*100</f>
        <v>37.087171052631582</v>
      </c>
      <c r="C4318" s="5"/>
      <c r="D4318" s="106" t="s">
        <v>33</v>
      </c>
      <c r="E4318" s="107"/>
      <c r="F4318" s="5"/>
      <c r="G4318" s="13" t="s">
        <v>22</v>
      </c>
      <c r="H4318" s="6"/>
      <c r="I4318" s="26">
        <f>H4316-H4317</f>
        <v>14816.88</v>
      </c>
      <c r="J4318" s="5"/>
      <c r="K4318" s="5">
        <f>137000+23895</f>
        <v>160895</v>
      </c>
      <c r="L4318" s="5"/>
    </row>
    <row r="4319" spans="1:12" x14ac:dyDescent="0.25">
      <c r="A4319" s="106" t="s">
        <v>40</v>
      </c>
      <c r="B4319" s="107"/>
      <c r="C4319" s="5"/>
      <c r="D4319" s="149">
        <v>500</v>
      </c>
      <c r="E4319" s="150"/>
      <c r="F4319" s="5"/>
      <c r="G4319" s="5"/>
      <c r="H4319" s="5"/>
      <c r="I4319" s="5"/>
      <c r="J4319" s="5"/>
      <c r="K4319" s="5"/>
      <c r="L4319" s="5"/>
    </row>
    <row r="4320" spans="1:12" x14ac:dyDescent="0.25">
      <c r="A4320" s="108">
        <f>B4316*0.6</f>
        <v>729.6</v>
      </c>
      <c r="B4320" s="109"/>
      <c r="C4320" s="5"/>
      <c r="D4320" s="106" t="s">
        <v>34</v>
      </c>
      <c r="E4320" s="107"/>
      <c r="F4320" s="5"/>
      <c r="G4320" s="145" t="s">
        <v>292</v>
      </c>
      <c r="H4320" s="146"/>
      <c r="I4320" s="23">
        <f>B4316/2.3</f>
        <v>528.69565217391312</v>
      </c>
      <c r="J4320" s="60"/>
      <c r="K4320" s="5"/>
      <c r="L4320" s="5"/>
    </row>
    <row r="4321" spans="1:12" x14ac:dyDescent="0.25">
      <c r="A4321" s="5"/>
      <c r="B4321" s="5"/>
      <c r="C4321" s="5"/>
      <c r="D4321" s="108">
        <v>0</v>
      </c>
      <c r="E4321" s="109"/>
      <c r="F4321" s="5"/>
      <c r="G4321" s="145" t="s">
        <v>294</v>
      </c>
      <c r="H4321" s="146"/>
      <c r="I4321" s="23">
        <f>I4320-D4309</f>
        <v>77.715652173913099</v>
      </c>
      <c r="J4321" s="5"/>
      <c r="K4321" s="5"/>
      <c r="L4321" s="5"/>
    </row>
    <row r="4322" spans="1:12" x14ac:dyDescent="0.25">
      <c r="A4322" s="5"/>
      <c r="B4322" s="5"/>
      <c r="C4322" s="5"/>
      <c r="D4322" s="106" t="s">
        <v>37</v>
      </c>
      <c r="E4322" s="107"/>
      <c r="F4322" s="5"/>
      <c r="G4322" s="147" t="s">
        <v>295</v>
      </c>
      <c r="H4322" s="148"/>
      <c r="I4322" s="86">
        <f>I4321*F4309</f>
        <v>1429.1904643607072</v>
      </c>
      <c r="J4322" s="87">
        <f>I4318-I4322</f>
        <v>13387.689535639292</v>
      </c>
      <c r="K4322" s="5"/>
      <c r="L4322" s="5"/>
    </row>
    <row r="4323" spans="1:12" x14ac:dyDescent="0.25">
      <c r="A4323" s="5"/>
      <c r="B4323" s="5"/>
      <c r="C4323" s="5"/>
      <c r="D4323" s="108">
        <v>0</v>
      </c>
      <c r="E4323" s="109"/>
      <c r="F4323" s="5" t="s">
        <v>78</v>
      </c>
      <c r="G4323" s="5"/>
      <c r="H4323" s="5"/>
      <c r="I4323" s="5"/>
      <c r="J4323" s="88" t="s">
        <v>293</v>
      </c>
      <c r="K4323" s="44"/>
      <c r="L4323" s="5"/>
    </row>
    <row r="4325" spans="1:12" s="49" customFormat="1" x14ac:dyDescent="0.25"/>
    <row r="4328" spans="1:12" x14ac:dyDescent="0.25">
      <c r="A4328" s="120" t="s">
        <v>24</v>
      </c>
      <c r="B4328" s="120"/>
      <c r="C4328" s="120"/>
      <c r="D4328" s="120"/>
      <c r="E4328" s="120"/>
      <c r="F4328" s="120"/>
      <c r="G4328" s="120"/>
      <c r="H4328" s="120"/>
      <c r="I4328" s="120"/>
      <c r="J4328" s="120"/>
      <c r="K4328" s="120"/>
      <c r="L4328" s="120"/>
    </row>
    <row r="4329" spans="1:12" x14ac:dyDescent="0.25">
      <c r="A4329" s="120"/>
      <c r="B4329" s="120"/>
      <c r="C4329" s="120"/>
      <c r="D4329" s="120"/>
      <c r="E4329" s="120"/>
      <c r="F4329" s="120"/>
      <c r="G4329" s="120"/>
      <c r="H4329" s="120"/>
      <c r="I4329" s="120"/>
      <c r="J4329" s="120"/>
      <c r="K4329" s="120"/>
      <c r="L4329" s="120"/>
    </row>
    <row r="4330" spans="1:12" x14ac:dyDescent="0.25">
      <c r="A4330" s="1" t="s">
        <v>4</v>
      </c>
      <c r="B4330" s="2"/>
      <c r="C4330" s="90"/>
      <c r="D4330" s="2"/>
      <c r="E4330" s="2"/>
      <c r="F4330" s="2"/>
      <c r="G4330" s="3" t="s">
        <v>5</v>
      </c>
      <c r="H4330" s="3" t="s">
        <v>6</v>
      </c>
      <c r="I4330" s="4" t="s">
        <v>7</v>
      </c>
      <c r="J4330" s="5"/>
      <c r="K4330" s="5"/>
      <c r="L4330" s="5"/>
    </row>
    <row r="4331" spans="1:12" x14ac:dyDescent="0.25">
      <c r="A4331" s="91" t="s">
        <v>549</v>
      </c>
      <c r="B4331" s="92" t="s">
        <v>42</v>
      </c>
      <c r="C4331" s="64"/>
      <c r="D4331" s="66"/>
      <c r="E4331" s="2"/>
      <c r="F4331" s="2"/>
      <c r="G4331" s="91" t="s">
        <v>299</v>
      </c>
      <c r="H4331" s="66"/>
      <c r="I4331" s="33"/>
      <c r="J4331" s="6"/>
      <c r="K4331" s="33"/>
      <c r="L4331" s="6"/>
    </row>
    <row r="4332" spans="1:12" x14ac:dyDescent="0.25">
      <c r="A4332" s="7" t="s">
        <v>2</v>
      </c>
      <c r="B4332" s="5"/>
      <c r="C4332" s="5"/>
      <c r="D4332" s="5"/>
      <c r="E4332" s="5"/>
      <c r="F4332" s="5"/>
      <c r="G4332" s="8" t="s">
        <v>8</v>
      </c>
      <c r="H4332" s="93">
        <v>3</v>
      </c>
      <c r="I4332" s="5"/>
      <c r="J4332" s="5"/>
      <c r="K4332" s="5"/>
      <c r="L4332" s="5"/>
    </row>
    <row r="4333" spans="1:12" x14ac:dyDescent="0.25">
      <c r="A4333" s="7" t="s">
        <v>25</v>
      </c>
      <c r="B4333" s="5"/>
      <c r="C4333" s="7" t="s">
        <v>0</v>
      </c>
      <c r="D4333" s="5"/>
      <c r="E4333" s="5"/>
      <c r="F4333" s="5"/>
      <c r="G4333" s="7" t="s">
        <v>25</v>
      </c>
      <c r="H4333" s="5"/>
      <c r="I4333" s="7" t="s">
        <v>0</v>
      </c>
      <c r="J4333" s="5"/>
      <c r="K4333" s="5"/>
      <c r="L4333" s="5"/>
    </row>
    <row r="4334" spans="1:12" x14ac:dyDescent="0.25">
      <c r="A4334" s="42">
        <v>45820</v>
      </c>
      <c r="B4334" s="6"/>
      <c r="C4334" s="31">
        <f>L4293</f>
        <v>1090821</v>
      </c>
      <c r="D4334" s="5"/>
      <c r="E4334" s="5"/>
      <c r="F4334" s="5"/>
      <c r="G4334" s="42"/>
      <c r="H4334" s="6"/>
      <c r="I4334" s="9"/>
      <c r="J4334" s="5"/>
      <c r="K4334" s="5"/>
      <c r="L4334" s="5"/>
    </row>
    <row r="4335" spans="1:12" ht="16.5" thickBot="1" x14ac:dyDescent="0.3">
      <c r="A4335" s="7"/>
      <c r="B4335" s="62"/>
      <c r="C4335" s="62"/>
      <c r="D4335" s="62"/>
      <c r="E4335" s="5"/>
      <c r="F4335" s="5"/>
      <c r="G4335" s="10"/>
      <c r="H4335" s="5"/>
      <c r="I4335" s="5"/>
      <c r="J4335" s="5"/>
      <c r="K4335" s="5"/>
      <c r="L4335" s="5"/>
    </row>
    <row r="4336" spans="1:12" ht="15.75" thickBot="1" x14ac:dyDescent="0.3">
      <c r="A4336" s="121" t="s">
        <v>9</v>
      </c>
      <c r="B4336" s="122"/>
      <c r="C4336" s="123"/>
      <c r="D4336" s="5"/>
      <c r="E4336" s="5"/>
      <c r="F4336" s="5"/>
      <c r="G4336" s="121" t="s">
        <v>26</v>
      </c>
      <c r="H4336" s="122"/>
      <c r="I4336" s="123"/>
      <c r="J4336" s="5"/>
      <c r="K4336" s="5"/>
      <c r="L4336" s="5"/>
    </row>
    <row r="4337" spans="1:12" x14ac:dyDescent="0.25">
      <c r="A4337" s="30" t="s">
        <v>38</v>
      </c>
      <c r="B4337" s="11"/>
      <c r="C4337" s="11"/>
      <c r="D4337" s="11"/>
      <c r="E4337" s="6"/>
      <c r="F4337" s="5"/>
      <c r="G4337" s="30" t="str">
        <f>A4340</f>
        <v>Cape Town</v>
      </c>
      <c r="H4337" s="11"/>
      <c r="I4337" s="11"/>
      <c r="J4337" s="11"/>
      <c r="K4337" s="11"/>
      <c r="L4337" s="6"/>
    </row>
    <row r="4338" spans="1:12" ht="15.75" thickBot="1" x14ac:dyDescent="0.3">
      <c r="A4338" s="7"/>
      <c r="B4338" s="7"/>
      <c r="C4338" s="7"/>
      <c r="D4338" s="5"/>
      <c r="E4338" s="5"/>
      <c r="F4338" s="5"/>
      <c r="G4338" s="7"/>
      <c r="H4338" s="7"/>
      <c r="I4338" s="7"/>
      <c r="J4338" s="5"/>
      <c r="K4338" s="5"/>
      <c r="L4338" s="5"/>
    </row>
    <row r="4339" spans="1:12" ht="15.75" thickBot="1" x14ac:dyDescent="0.3">
      <c r="A4339" s="121"/>
      <c r="B4339" s="122"/>
      <c r="C4339" s="124"/>
      <c r="D4339" s="12" t="s">
        <v>1</v>
      </c>
      <c r="E4339" s="32"/>
      <c r="F4339" s="5"/>
      <c r="G4339" s="121" t="s">
        <v>27</v>
      </c>
      <c r="H4339" s="122"/>
      <c r="I4339" s="123"/>
      <c r="J4339" s="5"/>
      <c r="K4339" s="12" t="s">
        <v>1</v>
      </c>
      <c r="L4339" s="32">
        <v>1093853</v>
      </c>
    </row>
    <row r="4340" spans="1:12" x14ac:dyDescent="0.25">
      <c r="A4340" s="30" t="s">
        <v>65</v>
      </c>
      <c r="B4340" s="11"/>
      <c r="C4340" s="11"/>
      <c r="D4340" s="11"/>
      <c r="E4340" s="6"/>
      <c r="F4340" s="5"/>
      <c r="G4340" s="30" t="s">
        <v>364</v>
      </c>
      <c r="H4340" s="11"/>
      <c r="I4340" s="11"/>
      <c r="J4340" s="11"/>
      <c r="K4340" s="11"/>
      <c r="L4340" s="6"/>
    </row>
    <row r="4341" spans="1:12" x14ac:dyDescent="0.25">
      <c r="A4341" s="76" t="s">
        <v>568</v>
      </c>
      <c r="B4341" s="11"/>
      <c r="C4341" s="11"/>
      <c r="D4341" s="11"/>
      <c r="E4341" s="6"/>
      <c r="F4341" s="5"/>
      <c r="G4341" s="34"/>
      <c r="H4341" s="11"/>
      <c r="I4341" s="11"/>
      <c r="J4341" s="11"/>
      <c r="K4341" s="11"/>
      <c r="L4341" s="6"/>
    </row>
    <row r="4342" spans="1:12" x14ac:dyDescent="0.25">
      <c r="A4342" s="13" t="s">
        <v>573</v>
      </c>
      <c r="B4342" s="11"/>
      <c r="C4342" s="11"/>
      <c r="D4342" s="11"/>
      <c r="E4342" s="6"/>
      <c r="F4342" s="5"/>
      <c r="G4342" s="13"/>
      <c r="H4342" s="11"/>
      <c r="I4342" s="11"/>
      <c r="J4342" s="11"/>
      <c r="K4342" s="11"/>
      <c r="L4342" s="6"/>
    </row>
    <row r="4343" spans="1:12" x14ac:dyDescent="0.25">
      <c r="A4343" s="13"/>
      <c r="B4343" s="11"/>
      <c r="C4343" s="11"/>
      <c r="D4343" s="11"/>
      <c r="E4343" s="6"/>
      <c r="F4343" s="5"/>
      <c r="G4343" s="13"/>
      <c r="H4343" s="11"/>
      <c r="I4343" s="11"/>
      <c r="J4343" s="11"/>
      <c r="K4343" s="11"/>
      <c r="L4343" s="6"/>
    </row>
    <row r="4344" spans="1:12" ht="15.75" thickBot="1" x14ac:dyDescent="0.3">
      <c r="A4344" s="13"/>
      <c r="B4344" s="11"/>
      <c r="C4344" s="11" t="s">
        <v>29</v>
      </c>
      <c r="D4344" s="43"/>
      <c r="E4344" s="6"/>
      <c r="F4344" s="5"/>
      <c r="G4344" s="13"/>
      <c r="H4344" s="11"/>
      <c r="I4344" s="14" t="s">
        <v>28</v>
      </c>
      <c r="J4344" s="43"/>
      <c r="K4344" s="59"/>
      <c r="L4344" s="6"/>
    </row>
    <row r="4345" spans="1:12" ht="15.75" thickBot="1" x14ac:dyDescent="0.3">
      <c r="A4345" s="15" t="s">
        <v>10</v>
      </c>
      <c r="B4345" s="5"/>
      <c r="C4345" s="5"/>
      <c r="D4345" s="5">
        <v>665.64</v>
      </c>
      <c r="E4345" s="5"/>
      <c r="F4345" s="5"/>
      <c r="G4345" s="15" t="s">
        <v>14</v>
      </c>
      <c r="H4345" s="5"/>
      <c r="I4345" s="5"/>
      <c r="J4345" s="5"/>
      <c r="K4345" s="5"/>
      <c r="L4345" s="5"/>
    </row>
    <row r="4346" spans="1:12" ht="15.75" thickBot="1" x14ac:dyDescent="0.3">
      <c r="A4346" s="121" t="s">
        <v>11</v>
      </c>
      <c r="B4346" s="122"/>
      <c r="C4346" s="123"/>
      <c r="D4346" s="16" t="s">
        <v>12</v>
      </c>
      <c r="E4346" s="16" t="s">
        <v>13</v>
      </c>
      <c r="F4346" s="5"/>
      <c r="G4346" s="121" t="s">
        <v>15</v>
      </c>
      <c r="H4346" s="122"/>
      <c r="I4346" s="123"/>
      <c r="J4346" s="121"/>
      <c r="K4346" s="123"/>
      <c r="L4346" s="5"/>
    </row>
    <row r="4347" spans="1:12" x14ac:dyDescent="0.25">
      <c r="A4347" s="94">
        <v>45850</v>
      </c>
      <c r="B4347" s="46" t="s">
        <v>66</v>
      </c>
      <c r="C4347" s="47"/>
      <c r="D4347" s="56">
        <v>221.52</v>
      </c>
      <c r="E4347" s="57">
        <v>4211.09</v>
      </c>
      <c r="F4347" s="44">
        <f>E4347/D4347</f>
        <v>19.009976525821596</v>
      </c>
      <c r="G4347" s="125" t="s">
        <v>69</v>
      </c>
      <c r="H4347" s="126"/>
      <c r="I4347" s="127"/>
      <c r="J4347" s="128"/>
      <c r="K4347" s="129"/>
      <c r="L4347" s="5"/>
    </row>
    <row r="4348" spans="1:12" x14ac:dyDescent="0.25">
      <c r="A4348" s="94">
        <v>45912</v>
      </c>
      <c r="B4348" s="46" t="s">
        <v>66</v>
      </c>
      <c r="C4348" s="47"/>
      <c r="D4348" s="56">
        <v>638.94000000000005</v>
      </c>
      <c r="E4348" s="57">
        <v>12146.24</v>
      </c>
      <c r="F4348" s="44">
        <f>E4348/D4348</f>
        <v>19.009985288133468</v>
      </c>
      <c r="G4348" s="110" t="s">
        <v>59</v>
      </c>
      <c r="H4348" s="111"/>
      <c r="I4348" s="112"/>
      <c r="J4348" s="113"/>
      <c r="K4348" s="114"/>
      <c r="L4348" s="5"/>
    </row>
    <row r="4349" spans="1:12" x14ac:dyDescent="0.25">
      <c r="A4349" s="94">
        <v>45942</v>
      </c>
      <c r="B4349" s="46" t="s">
        <v>47</v>
      </c>
      <c r="C4349" s="47"/>
      <c r="D4349" s="56">
        <v>426.78</v>
      </c>
      <c r="E4349" s="57">
        <v>7848.48</v>
      </c>
      <c r="F4349" s="44">
        <f>E4349/D4349</f>
        <v>18.389990158864052</v>
      </c>
      <c r="G4349" s="110" t="s">
        <v>61</v>
      </c>
      <c r="H4349" s="111"/>
      <c r="I4349" s="112"/>
      <c r="J4349" s="113"/>
      <c r="K4349" s="114"/>
      <c r="L4349" s="5"/>
    </row>
    <row r="4350" spans="1:12" x14ac:dyDescent="0.25">
      <c r="A4350" s="94"/>
      <c r="B4350" s="46"/>
      <c r="C4350" s="47"/>
      <c r="D4350" s="56"/>
      <c r="E4350" s="57"/>
      <c r="F4350" s="44"/>
      <c r="G4350" s="110" t="s">
        <v>51</v>
      </c>
      <c r="H4350" s="111"/>
      <c r="I4350" s="112"/>
      <c r="J4350" s="113"/>
      <c r="K4350" s="114"/>
      <c r="L4350" s="5"/>
    </row>
    <row r="4351" spans="1:12" x14ac:dyDescent="0.25">
      <c r="A4351" s="48"/>
      <c r="B4351" s="46"/>
      <c r="C4351" s="39"/>
      <c r="D4351" s="52"/>
      <c r="E4351" s="53"/>
      <c r="F4351" s="44"/>
      <c r="G4351" s="110" t="s">
        <v>58</v>
      </c>
      <c r="H4351" s="111"/>
      <c r="I4351" s="112"/>
      <c r="J4351" s="113"/>
      <c r="K4351" s="114"/>
      <c r="L4351" s="5"/>
    </row>
    <row r="4352" spans="1:12" x14ac:dyDescent="0.25">
      <c r="A4352" s="48"/>
      <c r="B4352" s="35"/>
      <c r="C4352" s="39"/>
      <c r="D4352" s="52"/>
      <c r="E4352" s="53"/>
      <c r="F4352" s="44"/>
      <c r="G4352" s="110" t="s">
        <v>51</v>
      </c>
      <c r="H4352" s="111"/>
      <c r="I4352" s="112"/>
      <c r="J4352" s="113"/>
      <c r="K4352" s="114"/>
      <c r="L4352" s="5"/>
    </row>
    <row r="4353" spans="1:12" x14ac:dyDescent="0.25">
      <c r="A4353" s="48"/>
      <c r="B4353" s="35"/>
      <c r="C4353" s="39"/>
      <c r="D4353" s="52"/>
      <c r="E4353" s="53"/>
      <c r="F4353" s="44"/>
      <c r="G4353" s="77"/>
      <c r="H4353" s="78" t="s">
        <v>69</v>
      </c>
      <c r="I4353" s="79"/>
      <c r="J4353" s="113"/>
      <c r="K4353" s="114"/>
      <c r="L4353" s="5"/>
    </row>
    <row r="4354" spans="1:12" x14ac:dyDescent="0.25">
      <c r="A4354" s="38"/>
      <c r="B4354" s="35"/>
      <c r="C4354" s="39"/>
      <c r="D4354" s="52"/>
      <c r="E4354" s="53"/>
      <c r="F4354" s="44"/>
      <c r="G4354" s="77"/>
      <c r="H4354" s="78" t="s">
        <v>72</v>
      </c>
      <c r="I4354" s="79"/>
      <c r="J4354" s="113"/>
      <c r="K4354" s="114"/>
      <c r="L4354" s="5"/>
    </row>
    <row r="4355" spans="1:12" ht="15.75" thickBot="1" x14ac:dyDescent="0.3">
      <c r="A4355" s="5"/>
      <c r="B4355" s="5"/>
      <c r="C4355" s="7" t="s">
        <v>35</v>
      </c>
      <c r="D4355" s="17">
        <f>SUM(D4347:D4354)</f>
        <v>1287.24</v>
      </c>
      <c r="E4355" s="17">
        <f>SUM(E4347:E4354)</f>
        <v>24205.809999999998</v>
      </c>
      <c r="F4355" s="89">
        <f>AVERAGE(F4347:F4351)</f>
        <v>18.803317324273038</v>
      </c>
      <c r="G4355" s="110" t="s">
        <v>73</v>
      </c>
      <c r="H4355" s="111"/>
      <c r="I4355" s="112"/>
      <c r="J4355" s="113"/>
      <c r="K4355" s="114"/>
      <c r="L4355" s="7" t="s">
        <v>36</v>
      </c>
    </row>
    <row r="4356" spans="1:12" ht="15.75" thickBot="1" x14ac:dyDescent="0.3">
      <c r="A4356" s="5"/>
      <c r="B4356" s="5"/>
      <c r="C4356" s="5"/>
      <c r="D4356" s="5"/>
      <c r="E4356" s="5"/>
      <c r="F4356" s="5"/>
      <c r="G4356" s="130"/>
      <c r="H4356" s="131"/>
      <c r="I4356" s="132"/>
      <c r="J4356" s="133"/>
      <c r="K4356" s="134"/>
      <c r="L4356" s="18">
        <f>J4347+J4348+J4349+J4350+J4351+J4352+J4353+J4354+J4355</f>
        <v>0</v>
      </c>
    </row>
    <row r="4357" spans="1:12" ht="15.75" thickBot="1" x14ac:dyDescent="0.3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</row>
    <row r="4358" spans="1:12" ht="15.75" thickBot="1" x14ac:dyDescent="0.3">
      <c r="A4358" s="19"/>
      <c r="B4358" s="20"/>
      <c r="C4358" s="20"/>
      <c r="D4358" s="20"/>
      <c r="E4358" s="21" t="s">
        <v>13</v>
      </c>
      <c r="F4358" s="5"/>
      <c r="G4358" s="19"/>
      <c r="H4358" s="20"/>
      <c r="I4358" s="20"/>
      <c r="J4358" s="20"/>
      <c r="K4358" s="21" t="s">
        <v>13</v>
      </c>
      <c r="L4358" s="5"/>
    </row>
    <row r="4359" spans="1:12" x14ac:dyDescent="0.25">
      <c r="A4359" s="22" t="s">
        <v>31</v>
      </c>
      <c r="B4359" s="115">
        <v>0</v>
      </c>
      <c r="C4359" s="116"/>
      <c r="D4359" s="116"/>
      <c r="E4359" s="117"/>
      <c r="F4359" s="5"/>
      <c r="G4359" s="22" t="s">
        <v>32</v>
      </c>
      <c r="H4359" s="115">
        <v>55000</v>
      </c>
      <c r="I4359" s="116"/>
      <c r="J4359" s="116"/>
      <c r="K4359" s="117"/>
      <c r="L4359" s="5"/>
    </row>
    <row r="4360" spans="1:12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</row>
    <row r="4361" spans="1:12" x14ac:dyDescent="0.25">
      <c r="A4361" s="7" t="s">
        <v>16</v>
      </c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</row>
    <row r="4362" spans="1:12" x14ac:dyDescent="0.25">
      <c r="A4362" s="9" t="s">
        <v>17</v>
      </c>
      <c r="B4362" s="23">
        <f>L4339-C4334</f>
        <v>3032</v>
      </c>
      <c r="C4362" s="5"/>
      <c r="D4362" s="106" t="s">
        <v>18</v>
      </c>
      <c r="E4362" s="107"/>
      <c r="F4362" s="24" t="s">
        <v>19</v>
      </c>
      <c r="G4362" s="9" t="s">
        <v>20</v>
      </c>
      <c r="H4362" s="118">
        <f>B4359+H4359</f>
        <v>55000</v>
      </c>
      <c r="I4362" s="119"/>
      <c r="J4362" s="60"/>
      <c r="K4362" s="5"/>
      <c r="L4362" s="5"/>
    </row>
    <row r="4363" spans="1:12" x14ac:dyDescent="0.25">
      <c r="A4363" s="9" t="s">
        <v>41</v>
      </c>
      <c r="B4363" s="40">
        <f>B4362/D4355</f>
        <v>2.3554271153786397</v>
      </c>
      <c r="C4363" s="5"/>
      <c r="D4363" s="102">
        <f>E4355</f>
        <v>24205.809999999998</v>
      </c>
      <c r="E4363" s="103"/>
      <c r="F4363" s="25">
        <f>H4363/B4362</f>
        <v>9.0792249340369384</v>
      </c>
      <c r="G4363" s="9" t="s">
        <v>21</v>
      </c>
      <c r="H4363" s="104">
        <f>L4356+D4363+D4365+D4367+D4369+A4366</f>
        <v>27528.21</v>
      </c>
      <c r="I4363" s="105"/>
      <c r="J4363" s="5"/>
      <c r="K4363" s="5"/>
      <c r="L4363" s="5"/>
    </row>
    <row r="4364" spans="1:12" x14ac:dyDescent="0.25">
      <c r="A4364" s="9" t="s">
        <v>43</v>
      </c>
      <c r="B4364" s="23">
        <f>D4355/B4362*100</f>
        <v>42.455145118733512</v>
      </c>
      <c r="C4364" s="5"/>
      <c r="D4364" s="106" t="s">
        <v>33</v>
      </c>
      <c r="E4364" s="107"/>
      <c r="F4364" s="5"/>
      <c r="G4364" s="13" t="s">
        <v>22</v>
      </c>
      <c r="H4364" s="6"/>
      <c r="I4364" s="26">
        <f>H4362-H4363</f>
        <v>27471.79</v>
      </c>
      <c r="J4364" s="5"/>
      <c r="K4364" s="5">
        <f>137000+23895</f>
        <v>160895</v>
      </c>
      <c r="L4364" s="5"/>
    </row>
    <row r="4365" spans="1:12" x14ac:dyDescent="0.25">
      <c r="A4365" s="106" t="s">
        <v>40</v>
      </c>
      <c r="B4365" s="107"/>
      <c r="C4365" s="5"/>
      <c r="D4365" s="149">
        <v>1200</v>
      </c>
      <c r="E4365" s="150"/>
      <c r="F4365" s="5"/>
      <c r="G4365" s="5"/>
      <c r="H4365" s="5"/>
      <c r="I4365" s="5"/>
      <c r="J4365" s="5"/>
      <c r="K4365" s="5"/>
      <c r="L4365" s="5"/>
    </row>
    <row r="4366" spans="1:12" x14ac:dyDescent="0.25">
      <c r="A4366" s="108">
        <f>B4362*0.7</f>
        <v>2122.4</v>
      </c>
      <c r="B4366" s="109"/>
      <c r="C4366" s="5"/>
      <c r="D4366" s="106" t="s">
        <v>34</v>
      </c>
      <c r="E4366" s="107"/>
      <c r="F4366" s="5"/>
      <c r="G4366" s="145" t="s">
        <v>292</v>
      </c>
      <c r="H4366" s="146"/>
      <c r="I4366" s="23">
        <f>B4362/2.3</f>
        <v>1318.2608695652175</v>
      </c>
      <c r="J4366" s="60"/>
      <c r="K4366" s="5"/>
      <c r="L4366" s="5"/>
    </row>
    <row r="4367" spans="1:12" x14ac:dyDescent="0.25">
      <c r="A4367" s="5"/>
      <c r="B4367" s="5"/>
      <c r="C4367" s="5"/>
      <c r="D4367" s="108">
        <v>0</v>
      </c>
      <c r="E4367" s="109"/>
      <c r="F4367" s="5"/>
      <c r="G4367" s="145" t="s">
        <v>294</v>
      </c>
      <c r="H4367" s="146"/>
      <c r="I4367" s="23">
        <f>I4366-D4355</f>
        <v>31.020869565217481</v>
      </c>
      <c r="J4367" s="5"/>
      <c r="K4367" s="5"/>
      <c r="L4367" s="5"/>
    </row>
    <row r="4368" spans="1:12" x14ac:dyDescent="0.25">
      <c r="A4368" s="5"/>
      <c r="B4368" s="5"/>
      <c r="C4368" s="5"/>
      <c r="D4368" s="106" t="s">
        <v>37</v>
      </c>
      <c r="E4368" s="107"/>
      <c r="F4368" s="5"/>
      <c r="G4368" s="147" t="s">
        <v>295</v>
      </c>
      <c r="H4368" s="148"/>
      <c r="I4368" s="86">
        <f>I4367*F4355</f>
        <v>583.29525410966812</v>
      </c>
      <c r="J4368" s="87">
        <f>I4364-I4368</f>
        <v>26888.494745890333</v>
      </c>
      <c r="K4368" s="5"/>
      <c r="L4368" s="5"/>
    </row>
    <row r="4369" spans="1:12" x14ac:dyDescent="0.25">
      <c r="A4369" s="5"/>
      <c r="B4369" s="5"/>
      <c r="C4369" s="5"/>
      <c r="D4369" s="108">
        <v>0</v>
      </c>
      <c r="E4369" s="109"/>
      <c r="F4369" s="5" t="s">
        <v>78</v>
      </c>
      <c r="G4369" s="5"/>
      <c r="H4369" s="5"/>
      <c r="I4369" s="5"/>
      <c r="J4369" s="88" t="s">
        <v>293</v>
      </c>
      <c r="K4369" s="44"/>
      <c r="L4369" s="5"/>
    </row>
    <row r="4371" spans="1:12" s="49" customFormat="1" x14ac:dyDescent="0.25"/>
    <row r="4374" spans="1:12" x14ac:dyDescent="0.25">
      <c r="A4374" s="120" t="s">
        <v>24</v>
      </c>
      <c r="B4374" s="120"/>
      <c r="C4374" s="120"/>
      <c r="D4374" s="120"/>
      <c r="E4374" s="120"/>
      <c r="F4374" s="120"/>
      <c r="G4374" s="120"/>
      <c r="H4374" s="120"/>
      <c r="I4374" s="120"/>
      <c r="J4374" s="120"/>
      <c r="K4374" s="120"/>
      <c r="L4374" s="120"/>
    </row>
    <row r="4375" spans="1:12" x14ac:dyDescent="0.25">
      <c r="A4375" s="120"/>
      <c r="B4375" s="120"/>
      <c r="C4375" s="120"/>
      <c r="D4375" s="120"/>
      <c r="E4375" s="120"/>
      <c r="F4375" s="120"/>
      <c r="G4375" s="120"/>
      <c r="H4375" s="120"/>
      <c r="I4375" s="120"/>
      <c r="J4375" s="120"/>
      <c r="K4375" s="120"/>
      <c r="L4375" s="120"/>
    </row>
    <row r="4376" spans="1:12" x14ac:dyDescent="0.25">
      <c r="A4376" s="1" t="s">
        <v>4</v>
      </c>
      <c r="B4376" s="2"/>
      <c r="C4376" s="90"/>
      <c r="D4376" s="2"/>
      <c r="E4376" s="2"/>
      <c r="F4376" s="2"/>
      <c r="G4376" s="3" t="s">
        <v>5</v>
      </c>
      <c r="H4376" s="3" t="s">
        <v>6</v>
      </c>
      <c r="I4376" s="4" t="s">
        <v>7</v>
      </c>
      <c r="J4376" s="5"/>
      <c r="K4376" s="5"/>
      <c r="L4376" s="5"/>
    </row>
    <row r="4377" spans="1:12" x14ac:dyDescent="0.25">
      <c r="A4377" s="91" t="s">
        <v>549</v>
      </c>
      <c r="B4377" s="92" t="s">
        <v>42</v>
      </c>
      <c r="C4377" s="64"/>
      <c r="D4377" s="66"/>
      <c r="E4377" s="2"/>
      <c r="F4377" s="2"/>
      <c r="G4377" s="91" t="s">
        <v>299</v>
      </c>
      <c r="H4377" s="66"/>
      <c r="I4377" s="33"/>
      <c r="J4377" s="6"/>
      <c r="K4377" s="33"/>
      <c r="L4377" s="6"/>
    </row>
    <row r="4378" spans="1:12" x14ac:dyDescent="0.25">
      <c r="A4378" s="7" t="s">
        <v>2</v>
      </c>
      <c r="B4378" s="5"/>
      <c r="C4378" s="5"/>
      <c r="D4378" s="5"/>
      <c r="E4378" s="5"/>
      <c r="F4378" s="5"/>
      <c r="G4378" s="8" t="s">
        <v>8</v>
      </c>
      <c r="H4378" s="93">
        <v>3</v>
      </c>
      <c r="I4378" s="5"/>
      <c r="J4378" s="5"/>
      <c r="K4378" s="5"/>
      <c r="L4378" s="5"/>
    </row>
    <row r="4379" spans="1:12" x14ac:dyDescent="0.25">
      <c r="A4379" s="7" t="s">
        <v>25</v>
      </c>
      <c r="B4379" s="5"/>
      <c r="C4379" s="7" t="s">
        <v>0</v>
      </c>
      <c r="D4379" s="5"/>
      <c r="E4379" s="5"/>
      <c r="F4379" s="5"/>
      <c r="G4379" s="7" t="s">
        <v>25</v>
      </c>
      <c r="H4379" s="5"/>
      <c r="I4379" s="7" t="s">
        <v>0</v>
      </c>
      <c r="J4379" s="5"/>
      <c r="K4379" s="5"/>
      <c r="L4379" s="5"/>
    </row>
    <row r="4380" spans="1:12" x14ac:dyDescent="0.25">
      <c r="A4380" s="42">
        <v>45942</v>
      </c>
      <c r="B4380" s="6"/>
      <c r="C4380" s="31">
        <f>L4339</f>
        <v>1093853</v>
      </c>
      <c r="D4380" s="5"/>
      <c r="E4380" s="5"/>
      <c r="F4380" s="5"/>
      <c r="G4380" s="42"/>
      <c r="H4380" s="6"/>
      <c r="I4380" s="9"/>
      <c r="J4380" s="5"/>
      <c r="K4380" s="5"/>
      <c r="L4380" s="5"/>
    </row>
    <row r="4381" spans="1:12" ht="16.5" thickBot="1" x14ac:dyDescent="0.3">
      <c r="A4381" s="7"/>
      <c r="B4381" s="62"/>
      <c r="C4381" s="62"/>
      <c r="D4381" s="62"/>
      <c r="E4381" s="5"/>
      <c r="F4381" s="5"/>
      <c r="G4381" s="10"/>
      <c r="H4381" s="5"/>
      <c r="I4381" s="5"/>
      <c r="J4381" s="5"/>
      <c r="K4381" s="5"/>
      <c r="L4381" s="5"/>
    </row>
    <row r="4382" spans="1:12" ht="15.75" thickBot="1" x14ac:dyDescent="0.3">
      <c r="A4382" s="121" t="s">
        <v>9</v>
      </c>
      <c r="B4382" s="122"/>
      <c r="C4382" s="123"/>
      <c r="D4382" s="5"/>
      <c r="E4382" s="5"/>
      <c r="F4382" s="5"/>
      <c r="G4382" s="121" t="s">
        <v>26</v>
      </c>
      <c r="H4382" s="122"/>
      <c r="I4382" s="123"/>
      <c r="J4382" s="5"/>
      <c r="K4382" s="5"/>
      <c r="L4382" s="5"/>
    </row>
    <row r="4383" spans="1:12" x14ac:dyDescent="0.25">
      <c r="A4383" s="30" t="s">
        <v>38</v>
      </c>
      <c r="B4383" s="11"/>
      <c r="C4383" s="11"/>
      <c r="D4383" s="11"/>
      <c r="E4383" s="6"/>
      <c r="F4383" s="5"/>
      <c r="G4383" s="30" t="str">
        <f>A4386</f>
        <v>Cape Town</v>
      </c>
      <c r="H4383" s="11"/>
      <c r="I4383" s="11"/>
      <c r="J4383" s="11"/>
      <c r="K4383" s="11"/>
      <c r="L4383" s="6"/>
    </row>
    <row r="4384" spans="1:12" ht="15.75" thickBot="1" x14ac:dyDescent="0.3">
      <c r="A4384" s="7"/>
      <c r="B4384" s="7"/>
      <c r="C4384" s="7"/>
      <c r="D4384" s="5"/>
      <c r="E4384" s="5"/>
      <c r="F4384" s="5"/>
      <c r="G4384" s="7"/>
      <c r="H4384" s="7"/>
      <c r="I4384" s="7"/>
      <c r="J4384" s="5"/>
      <c r="K4384" s="5"/>
      <c r="L4384" s="5"/>
    </row>
    <row r="4385" spans="1:13" ht="15.75" thickBot="1" x14ac:dyDescent="0.3">
      <c r="A4385" s="121"/>
      <c r="B4385" s="122"/>
      <c r="C4385" s="124"/>
      <c r="D4385" s="12" t="s">
        <v>1</v>
      </c>
      <c r="E4385" s="32"/>
      <c r="F4385" s="5"/>
      <c r="G4385" s="121" t="s">
        <v>27</v>
      </c>
      <c r="H4385" s="122"/>
      <c r="I4385" s="123"/>
      <c r="J4385" s="5"/>
      <c r="K4385" s="12" t="s">
        <v>1</v>
      </c>
      <c r="L4385" s="32">
        <v>1097725</v>
      </c>
      <c r="M4385" t="s">
        <v>579</v>
      </c>
    </row>
    <row r="4386" spans="1:13" x14ac:dyDescent="0.25">
      <c r="A4386" s="30" t="s">
        <v>65</v>
      </c>
      <c r="B4386" s="11"/>
      <c r="C4386" s="11"/>
      <c r="D4386" s="11"/>
      <c r="E4386" s="6"/>
      <c r="F4386" s="5"/>
      <c r="G4386" s="30" t="s">
        <v>364</v>
      </c>
      <c r="H4386" s="11"/>
      <c r="I4386" s="11"/>
      <c r="J4386" s="11"/>
      <c r="K4386" s="11"/>
      <c r="L4386" s="6"/>
    </row>
    <row r="4387" spans="1:13" x14ac:dyDescent="0.25">
      <c r="A4387" s="76" t="s">
        <v>575</v>
      </c>
      <c r="B4387" s="11"/>
      <c r="C4387" s="11"/>
      <c r="D4387" s="11"/>
      <c r="E4387" s="6"/>
      <c r="F4387" s="5"/>
      <c r="G4387" s="34"/>
      <c r="H4387" s="11"/>
      <c r="I4387" s="11"/>
      <c r="J4387" s="11"/>
      <c r="K4387" s="11"/>
      <c r="L4387" s="6"/>
    </row>
    <row r="4388" spans="1:13" x14ac:dyDescent="0.25">
      <c r="A4388" s="13" t="s">
        <v>576</v>
      </c>
      <c r="B4388" s="11"/>
      <c r="C4388" s="11"/>
      <c r="D4388" s="11"/>
      <c r="E4388" s="6"/>
      <c r="F4388" s="5"/>
      <c r="G4388" s="13"/>
      <c r="H4388" s="11"/>
      <c r="I4388" s="11"/>
      <c r="J4388" s="11"/>
      <c r="K4388" s="11"/>
      <c r="L4388" s="6"/>
    </row>
    <row r="4389" spans="1:13" x14ac:dyDescent="0.25">
      <c r="A4389" s="13"/>
      <c r="B4389" s="11"/>
      <c r="C4389" s="11"/>
      <c r="D4389" s="11"/>
      <c r="E4389" s="6"/>
      <c r="F4389" s="5"/>
      <c r="G4389" s="13"/>
      <c r="H4389" s="11"/>
      <c r="I4389" s="11"/>
      <c r="J4389" s="11"/>
      <c r="K4389" s="11"/>
      <c r="L4389" s="6"/>
    </row>
    <row r="4390" spans="1:13" ht="15.75" thickBot="1" x14ac:dyDescent="0.3">
      <c r="A4390" s="13"/>
      <c r="B4390" s="11"/>
      <c r="C4390" s="11" t="s">
        <v>29</v>
      </c>
      <c r="D4390" s="43"/>
      <c r="E4390" s="6"/>
      <c r="F4390" s="5"/>
      <c r="G4390" s="13"/>
      <c r="H4390" s="11"/>
      <c r="I4390" s="14" t="s">
        <v>28</v>
      </c>
      <c r="J4390" s="43"/>
      <c r="K4390" s="59"/>
      <c r="L4390" s="6"/>
    </row>
    <row r="4391" spans="1:13" ht="15.75" thickBot="1" x14ac:dyDescent="0.3">
      <c r="A4391" s="15" t="s">
        <v>10</v>
      </c>
      <c r="B4391" s="5"/>
      <c r="C4391" s="5"/>
      <c r="D4391" s="5">
        <v>665.64</v>
      </c>
      <c r="E4391" s="5"/>
      <c r="F4391" s="5"/>
      <c r="G4391" s="15" t="s">
        <v>14</v>
      </c>
      <c r="H4391" s="5"/>
      <c r="I4391" s="5"/>
      <c r="J4391" s="5"/>
      <c r="K4391" s="5"/>
      <c r="L4391" s="5"/>
    </row>
    <row r="4392" spans="1:13" ht="15.75" thickBot="1" x14ac:dyDescent="0.3">
      <c r="A4392" s="121" t="s">
        <v>11</v>
      </c>
      <c r="B4392" s="122"/>
      <c r="C4392" s="123"/>
      <c r="D4392" s="16" t="s">
        <v>12</v>
      </c>
      <c r="E4392" s="16" t="s">
        <v>13</v>
      </c>
      <c r="F4392" s="5"/>
      <c r="G4392" s="121" t="s">
        <v>15</v>
      </c>
      <c r="H4392" s="122"/>
      <c r="I4392" s="123"/>
      <c r="J4392" s="121"/>
      <c r="K4392" s="123"/>
      <c r="L4392" s="5"/>
    </row>
    <row r="4393" spans="1:13" x14ac:dyDescent="0.25">
      <c r="A4393" s="94">
        <v>45973</v>
      </c>
      <c r="B4393" s="46" t="s">
        <v>66</v>
      </c>
      <c r="C4393" s="47"/>
      <c r="D4393" s="56">
        <v>310.01</v>
      </c>
      <c r="E4393" s="57">
        <v>5893.29</v>
      </c>
      <c r="F4393" s="44">
        <f>E4393/D4393</f>
        <v>19.009999677429761</v>
      </c>
      <c r="G4393" s="125" t="s">
        <v>69</v>
      </c>
      <c r="H4393" s="126"/>
      <c r="I4393" s="127"/>
      <c r="J4393" s="128"/>
      <c r="K4393" s="129"/>
      <c r="L4393" s="5"/>
    </row>
    <row r="4394" spans="1:13" x14ac:dyDescent="0.25">
      <c r="A4394" s="94" t="s">
        <v>574</v>
      </c>
      <c r="B4394" s="46" t="s">
        <v>305</v>
      </c>
      <c r="C4394" s="47"/>
      <c r="D4394" s="56">
        <v>100</v>
      </c>
      <c r="E4394" s="57">
        <v>2192</v>
      </c>
      <c r="F4394" s="44">
        <f>E4394/D4394</f>
        <v>21.92</v>
      </c>
      <c r="G4394" s="110" t="s">
        <v>59</v>
      </c>
      <c r="H4394" s="111"/>
      <c r="I4394" s="112"/>
      <c r="J4394" s="113"/>
      <c r="K4394" s="114"/>
      <c r="L4394" s="5"/>
    </row>
    <row r="4395" spans="1:13" x14ac:dyDescent="0.25">
      <c r="A4395" s="94" t="s">
        <v>577</v>
      </c>
      <c r="B4395" s="46" t="s">
        <v>66</v>
      </c>
      <c r="C4395" s="47"/>
      <c r="D4395" s="56">
        <v>715.64</v>
      </c>
      <c r="E4395" s="57">
        <v>13604.31</v>
      </c>
      <c r="F4395" s="44">
        <f>E4395/D4395</f>
        <v>19.009991056956011</v>
      </c>
      <c r="G4395" s="110" t="s">
        <v>61</v>
      </c>
      <c r="H4395" s="111"/>
      <c r="I4395" s="112"/>
      <c r="J4395" s="113"/>
      <c r="K4395" s="114"/>
      <c r="L4395" s="5"/>
    </row>
    <row r="4396" spans="1:13" x14ac:dyDescent="0.25">
      <c r="A4396" s="94" t="s">
        <v>578</v>
      </c>
      <c r="B4396" s="46" t="s">
        <v>320</v>
      </c>
      <c r="C4396" s="47"/>
      <c r="D4396" s="56">
        <v>514.54999999999995</v>
      </c>
      <c r="E4396" s="57">
        <v>9215.59</v>
      </c>
      <c r="F4396" s="44">
        <f>E4396/D4396</f>
        <v>17.909999028277138</v>
      </c>
      <c r="G4396" s="110" t="s">
        <v>51</v>
      </c>
      <c r="H4396" s="111"/>
      <c r="I4396" s="112"/>
      <c r="J4396" s="113"/>
      <c r="K4396" s="114"/>
      <c r="L4396" s="5"/>
    </row>
    <row r="4397" spans="1:13" x14ac:dyDescent="0.25">
      <c r="A4397" s="48" t="s">
        <v>580</v>
      </c>
      <c r="B4397" s="46" t="s">
        <v>47</v>
      </c>
      <c r="C4397" s="39"/>
      <c r="D4397" s="52">
        <v>247.03</v>
      </c>
      <c r="E4397" s="53">
        <v>4542.88</v>
      </c>
      <c r="F4397" s="44">
        <f>E4397/D4397</f>
        <v>18.38999311824475</v>
      </c>
      <c r="G4397" s="110" t="s">
        <v>58</v>
      </c>
      <c r="H4397" s="111"/>
      <c r="I4397" s="112"/>
      <c r="J4397" s="113"/>
      <c r="K4397" s="114"/>
      <c r="L4397" s="5"/>
    </row>
    <row r="4398" spans="1:13" x14ac:dyDescent="0.25">
      <c r="A4398" s="48"/>
      <c r="B4398" s="35"/>
      <c r="C4398" s="39"/>
      <c r="D4398" s="52"/>
      <c r="E4398" s="53"/>
      <c r="F4398" s="44"/>
      <c r="G4398" s="110" t="s">
        <v>51</v>
      </c>
      <c r="H4398" s="111"/>
      <c r="I4398" s="112"/>
      <c r="J4398" s="113"/>
      <c r="K4398" s="114"/>
      <c r="L4398" s="5"/>
    </row>
    <row r="4399" spans="1:13" x14ac:dyDescent="0.25">
      <c r="A4399" s="48"/>
      <c r="B4399" s="35"/>
      <c r="C4399" s="39"/>
      <c r="D4399" s="52"/>
      <c r="E4399" s="53"/>
      <c r="F4399" s="44"/>
      <c r="G4399" s="77"/>
      <c r="H4399" s="78" t="s">
        <v>69</v>
      </c>
      <c r="I4399" s="79"/>
      <c r="J4399" s="113"/>
      <c r="K4399" s="114"/>
      <c r="L4399" s="5"/>
    </row>
    <row r="4400" spans="1:13" x14ac:dyDescent="0.25">
      <c r="A4400" s="38"/>
      <c r="B4400" s="35"/>
      <c r="C4400" s="39"/>
      <c r="D4400" s="52"/>
      <c r="E4400" s="53"/>
      <c r="F4400" s="44"/>
      <c r="G4400" s="77"/>
      <c r="H4400" s="78" t="s">
        <v>72</v>
      </c>
      <c r="I4400" s="79"/>
      <c r="J4400" s="113"/>
      <c r="K4400" s="114"/>
      <c r="L4400" s="5"/>
    </row>
    <row r="4401" spans="1:12" ht="15.75" thickBot="1" x14ac:dyDescent="0.3">
      <c r="A4401" s="5"/>
      <c r="B4401" s="5"/>
      <c r="C4401" s="7" t="s">
        <v>35</v>
      </c>
      <c r="D4401" s="17">
        <f>SUM(D4393:D4400)</f>
        <v>1887.23</v>
      </c>
      <c r="E4401" s="17">
        <f>SUM(E4393:E4400)</f>
        <v>35448.07</v>
      </c>
      <c r="F4401" s="89">
        <f>AVERAGE(F4393:F4397)</f>
        <v>19.247996576181531</v>
      </c>
      <c r="G4401" s="110" t="s">
        <v>73</v>
      </c>
      <c r="H4401" s="111"/>
      <c r="I4401" s="112"/>
      <c r="J4401" s="113"/>
      <c r="K4401" s="114"/>
      <c r="L4401" s="7" t="s">
        <v>36</v>
      </c>
    </row>
    <row r="4402" spans="1:12" ht="15.75" thickBot="1" x14ac:dyDescent="0.3">
      <c r="A4402" s="5"/>
      <c r="B4402" s="5"/>
      <c r="C4402" s="5"/>
      <c r="D4402" s="5"/>
      <c r="E4402" s="5"/>
      <c r="F4402" s="5"/>
      <c r="G4402" s="130"/>
      <c r="H4402" s="131"/>
      <c r="I4402" s="132"/>
      <c r="J4402" s="133"/>
      <c r="K4402" s="134"/>
      <c r="L4402" s="18">
        <f>J4393+J4394+J4395+J4396+J4397+J4398+J4399+J4400+J4401</f>
        <v>0</v>
      </c>
    </row>
    <row r="4403" spans="1:12" ht="15.75" thickBot="1" x14ac:dyDescent="0.3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</row>
    <row r="4404" spans="1:12" ht="15.75" thickBot="1" x14ac:dyDescent="0.3">
      <c r="A4404" s="19"/>
      <c r="B4404" s="20"/>
      <c r="C4404" s="20"/>
      <c r="D4404" s="20"/>
      <c r="E4404" s="21" t="s">
        <v>13</v>
      </c>
      <c r="F4404" s="5"/>
      <c r="G4404" s="19"/>
      <c r="H4404" s="20"/>
      <c r="I4404" s="20"/>
      <c r="J4404" s="20"/>
      <c r="K4404" s="21" t="s">
        <v>13</v>
      </c>
      <c r="L4404" s="5"/>
    </row>
    <row r="4405" spans="1:12" x14ac:dyDescent="0.25">
      <c r="A4405" s="22" t="s">
        <v>31</v>
      </c>
      <c r="B4405" s="115">
        <v>19184</v>
      </c>
      <c r="C4405" s="116"/>
      <c r="D4405" s="116"/>
      <c r="E4405" s="117"/>
      <c r="F4405" s="5"/>
      <c r="G4405" s="22" t="s">
        <v>32</v>
      </c>
      <c r="H4405" s="115">
        <f>43258+7000+7156</f>
        <v>57414</v>
      </c>
      <c r="I4405" s="116"/>
      <c r="J4405" s="116"/>
      <c r="K4405" s="117"/>
      <c r="L4405" s="5"/>
    </row>
    <row r="4406" spans="1:12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</row>
    <row r="4407" spans="1:12" x14ac:dyDescent="0.25">
      <c r="A4407" s="7" t="s">
        <v>16</v>
      </c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</row>
    <row r="4408" spans="1:12" x14ac:dyDescent="0.25">
      <c r="A4408" s="9" t="s">
        <v>17</v>
      </c>
      <c r="B4408" s="23">
        <f>L4385-C4380</f>
        <v>3872</v>
      </c>
      <c r="C4408" s="5"/>
      <c r="D4408" s="106" t="s">
        <v>18</v>
      </c>
      <c r="E4408" s="107"/>
      <c r="F4408" s="24" t="s">
        <v>19</v>
      </c>
      <c r="G4408" s="9" t="s">
        <v>20</v>
      </c>
      <c r="H4408" s="118">
        <f>B4405+H4405</f>
        <v>76598</v>
      </c>
      <c r="I4408" s="119"/>
      <c r="J4408" s="60"/>
      <c r="K4408" s="5"/>
      <c r="L4408" s="5"/>
    </row>
    <row r="4409" spans="1:12" x14ac:dyDescent="0.25">
      <c r="A4409" s="9" t="s">
        <v>41</v>
      </c>
      <c r="B4409" s="40">
        <f>B4408/D4401</f>
        <v>2.0516842144306735</v>
      </c>
      <c r="C4409" s="5"/>
      <c r="D4409" s="102">
        <f>E4401</f>
        <v>35448.07</v>
      </c>
      <c r="E4409" s="103"/>
      <c r="F4409" s="25">
        <f>H4409/B4408</f>
        <v>10.194026342975206</v>
      </c>
      <c r="G4409" s="9" t="s">
        <v>21</v>
      </c>
      <c r="H4409" s="104">
        <f>L4402+D4409+D4411+D4413+D4415+A4412</f>
        <v>39471.269999999997</v>
      </c>
      <c r="I4409" s="105"/>
      <c r="J4409" s="5"/>
      <c r="K4409" s="5"/>
      <c r="L4409" s="5"/>
    </row>
    <row r="4410" spans="1:12" x14ac:dyDescent="0.25">
      <c r="A4410" s="9" t="s">
        <v>43</v>
      </c>
      <c r="B4410" s="23">
        <f>D4401/B4408*100</f>
        <v>48.740444214876035</v>
      </c>
      <c r="C4410" s="5"/>
      <c r="D4410" s="106" t="s">
        <v>33</v>
      </c>
      <c r="E4410" s="107"/>
      <c r="F4410" s="5"/>
      <c r="G4410" s="13" t="s">
        <v>22</v>
      </c>
      <c r="H4410" s="6"/>
      <c r="I4410" s="26">
        <f>H4408-H4409</f>
        <v>37126.730000000003</v>
      </c>
      <c r="J4410" s="5"/>
      <c r="K4410" s="5">
        <f>137000+23895</f>
        <v>160895</v>
      </c>
      <c r="L4410" s="5"/>
    </row>
    <row r="4411" spans="1:12" x14ac:dyDescent="0.25">
      <c r="A4411" s="106" t="s">
        <v>40</v>
      </c>
      <c r="B4411" s="107"/>
      <c r="C4411" s="5"/>
      <c r="D4411" s="149">
        <v>1200</v>
      </c>
      <c r="E4411" s="150"/>
      <c r="F4411" s="5"/>
      <c r="G4411" s="5"/>
      <c r="H4411" s="5"/>
      <c r="I4411" s="5"/>
      <c r="J4411" s="5"/>
      <c r="K4411" s="5"/>
      <c r="L4411" s="5"/>
    </row>
    <row r="4412" spans="1:12" x14ac:dyDescent="0.25">
      <c r="A4412" s="108">
        <f>B4408*0.6</f>
        <v>2323.1999999999998</v>
      </c>
      <c r="B4412" s="109"/>
      <c r="C4412" s="5"/>
      <c r="D4412" s="106" t="s">
        <v>34</v>
      </c>
      <c r="E4412" s="107"/>
      <c r="F4412" s="5"/>
      <c r="G4412" s="145" t="s">
        <v>292</v>
      </c>
      <c r="H4412" s="146"/>
      <c r="I4412" s="23">
        <f>B4408/2.3</f>
        <v>1683.4782608695652</v>
      </c>
      <c r="J4412" s="60"/>
      <c r="K4412" s="5"/>
      <c r="L4412" s="5"/>
    </row>
    <row r="4413" spans="1:12" x14ac:dyDescent="0.25">
      <c r="A4413" s="5"/>
      <c r="B4413" s="5"/>
      <c r="C4413" s="5"/>
      <c r="D4413" s="108">
        <v>500</v>
      </c>
      <c r="E4413" s="109"/>
      <c r="F4413" s="5"/>
      <c r="G4413" s="145" t="s">
        <v>294</v>
      </c>
      <c r="H4413" s="146"/>
      <c r="I4413" s="23">
        <f>I4412-D4401</f>
        <v>-203.75173913043477</v>
      </c>
      <c r="J4413" s="5"/>
      <c r="K4413" s="5"/>
      <c r="L4413" s="5"/>
    </row>
    <row r="4414" spans="1:12" x14ac:dyDescent="0.25">
      <c r="A4414" s="5"/>
      <c r="B4414" s="5"/>
      <c r="C4414" s="5"/>
      <c r="D4414" s="106" t="s">
        <v>37</v>
      </c>
      <c r="E4414" s="107"/>
      <c r="F4414" s="5"/>
      <c r="G4414" s="147" t="s">
        <v>295</v>
      </c>
      <c r="H4414" s="148"/>
      <c r="I4414" s="86">
        <f>I4413*F4401</f>
        <v>-3921.8127771736408</v>
      </c>
      <c r="J4414" s="87">
        <f>I4410-I4414</f>
        <v>41048.542777173643</v>
      </c>
      <c r="K4414" s="5"/>
      <c r="L4414" s="5"/>
    </row>
    <row r="4415" spans="1:12" x14ac:dyDescent="0.25">
      <c r="A4415" s="5"/>
      <c r="B4415" s="5"/>
      <c r="C4415" s="5"/>
      <c r="D4415" s="108">
        <v>0</v>
      </c>
      <c r="E4415" s="109"/>
      <c r="F4415" s="5" t="s">
        <v>78</v>
      </c>
      <c r="G4415" s="5"/>
      <c r="H4415" s="5"/>
      <c r="I4415" s="5"/>
      <c r="J4415" s="88" t="s">
        <v>293</v>
      </c>
      <c r="K4415" s="44"/>
      <c r="L4415" s="5"/>
    </row>
    <row r="4417" spans="1:12" s="49" customFormat="1" x14ac:dyDescent="0.25"/>
    <row r="4420" spans="1:12" x14ac:dyDescent="0.25">
      <c r="A4420" s="120" t="s">
        <v>24</v>
      </c>
      <c r="B4420" s="120"/>
      <c r="C4420" s="120"/>
      <c r="D4420" s="120"/>
      <c r="E4420" s="120"/>
      <c r="F4420" s="120"/>
      <c r="G4420" s="120"/>
      <c r="H4420" s="120"/>
      <c r="I4420" s="120"/>
      <c r="J4420" s="120"/>
      <c r="K4420" s="120"/>
      <c r="L4420" s="120"/>
    </row>
    <row r="4421" spans="1:12" x14ac:dyDescent="0.25">
      <c r="A4421" s="120"/>
      <c r="B4421" s="120"/>
      <c r="C4421" s="120"/>
      <c r="D4421" s="120"/>
      <c r="E4421" s="120"/>
      <c r="F4421" s="120"/>
      <c r="G4421" s="120"/>
      <c r="H4421" s="120"/>
      <c r="I4421" s="120"/>
      <c r="J4421" s="120"/>
      <c r="K4421" s="120"/>
      <c r="L4421" s="120"/>
    </row>
    <row r="4422" spans="1:12" x14ac:dyDescent="0.25">
      <c r="A4422" s="1" t="s">
        <v>4</v>
      </c>
      <c r="B4422" s="2"/>
      <c r="C4422" s="90"/>
      <c r="D4422" s="2"/>
      <c r="E4422" s="2"/>
      <c r="F4422" s="2"/>
      <c r="G4422" s="3" t="s">
        <v>5</v>
      </c>
      <c r="H4422" s="3" t="s">
        <v>6</v>
      </c>
      <c r="I4422" s="4" t="s">
        <v>7</v>
      </c>
      <c r="J4422" s="5"/>
      <c r="K4422" s="5"/>
      <c r="L4422" s="5"/>
    </row>
    <row r="4423" spans="1:12" x14ac:dyDescent="0.25">
      <c r="A4423" s="91" t="s">
        <v>549</v>
      </c>
      <c r="B4423" s="92" t="s">
        <v>42</v>
      </c>
      <c r="C4423" s="64"/>
      <c r="D4423" s="66"/>
      <c r="E4423" s="2"/>
      <c r="F4423" s="2"/>
      <c r="G4423" s="91" t="s">
        <v>299</v>
      </c>
      <c r="H4423" s="66"/>
      <c r="I4423" s="33"/>
      <c r="J4423" s="6"/>
      <c r="K4423" s="33"/>
      <c r="L4423" s="6"/>
    </row>
    <row r="4424" spans="1:12" x14ac:dyDescent="0.25">
      <c r="A4424" s="7" t="s">
        <v>2</v>
      </c>
      <c r="B4424" s="5"/>
      <c r="C4424" s="5"/>
      <c r="D4424" s="5"/>
      <c r="E4424" s="5"/>
      <c r="F4424" s="5"/>
      <c r="G4424" s="8" t="s">
        <v>8</v>
      </c>
      <c r="H4424" s="93">
        <v>3</v>
      </c>
      <c r="I4424" s="5"/>
      <c r="J4424" s="5"/>
      <c r="K4424" s="5"/>
      <c r="L4424" s="5"/>
    </row>
    <row r="4425" spans="1:12" x14ac:dyDescent="0.25">
      <c r="A4425" s="7" t="s">
        <v>25</v>
      </c>
      <c r="B4425" s="5"/>
      <c r="C4425" s="7" t="s">
        <v>0</v>
      </c>
      <c r="D4425" s="5"/>
      <c r="E4425" s="5"/>
      <c r="F4425" s="5"/>
      <c r="G4425" s="7" t="s">
        <v>25</v>
      </c>
      <c r="H4425" s="5"/>
      <c r="I4425" s="7" t="s">
        <v>0</v>
      </c>
      <c r="J4425" s="5"/>
      <c r="K4425" s="5"/>
      <c r="L4425" s="5"/>
    </row>
    <row r="4426" spans="1:12" x14ac:dyDescent="0.25">
      <c r="A4426" s="42" t="s">
        <v>580</v>
      </c>
      <c r="B4426" s="6"/>
      <c r="C4426" s="31">
        <f>L4385</f>
        <v>1097725</v>
      </c>
      <c r="D4426" s="5"/>
      <c r="E4426" s="5"/>
      <c r="F4426" s="5"/>
      <c r="G4426" s="42"/>
      <c r="H4426" s="6"/>
      <c r="I4426" s="9"/>
      <c r="J4426" s="5"/>
      <c r="K4426" s="5"/>
      <c r="L4426" s="5"/>
    </row>
    <row r="4427" spans="1:12" ht="16.5" thickBot="1" x14ac:dyDescent="0.3">
      <c r="A4427" s="7"/>
      <c r="B4427" s="62"/>
      <c r="C4427" s="62"/>
      <c r="D4427" s="62"/>
      <c r="E4427" s="5"/>
      <c r="F4427" s="5"/>
      <c r="G4427" s="10"/>
      <c r="H4427" s="5"/>
      <c r="I4427" s="5"/>
      <c r="J4427" s="5"/>
      <c r="K4427" s="5"/>
      <c r="L4427" s="5"/>
    </row>
    <row r="4428" spans="1:12" ht="15.75" thickBot="1" x14ac:dyDescent="0.3">
      <c r="A4428" s="121" t="s">
        <v>9</v>
      </c>
      <c r="B4428" s="122"/>
      <c r="C4428" s="123"/>
      <c r="D4428" s="5"/>
      <c r="E4428" s="5"/>
      <c r="F4428" s="5"/>
      <c r="G4428" s="121" t="s">
        <v>26</v>
      </c>
      <c r="H4428" s="122"/>
      <c r="I4428" s="123"/>
      <c r="J4428" s="5"/>
      <c r="K4428" s="5"/>
      <c r="L4428" s="5"/>
    </row>
    <row r="4429" spans="1:12" x14ac:dyDescent="0.25">
      <c r="A4429" s="30" t="s">
        <v>38</v>
      </c>
      <c r="B4429" s="11"/>
      <c r="C4429" s="11"/>
      <c r="D4429" s="11"/>
      <c r="E4429" s="6"/>
      <c r="F4429" s="5"/>
      <c r="G4429" s="30" t="str">
        <f>A4432</f>
        <v>Cape Town</v>
      </c>
      <c r="H4429" s="11"/>
      <c r="I4429" s="11"/>
      <c r="J4429" s="11"/>
      <c r="K4429" s="11"/>
      <c r="L4429" s="6"/>
    </row>
    <row r="4430" spans="1:12" ht="15.75" thickBot="1" x14ac:dyDescent="0.3">
      <c r="A4430" s="7"/>
      <c r="B4430" s="7"/>
      <c r="C4430" s="7"/>
      <c r="D4430" s="5"/>
      <c r="E4430" s="5"/>
      <c r="F4430" s="5"/>
      <c r="G4430" s="7"/>
      <c r="H4430" s="7"/>
      <c r="I4430" s="7"/>
      <c r="J4430" s="5"/>
      <c r="K4430" s="5"/>
      <c r="L4430" s="5"/>
    </row>
    <row r="4431" spans="1:12" ht="15.75" thickBot="1" x14ac:dyDescent="0.3">
      <c r="A4431" s="121"/>
      <c r="B4431" s="122"/>
      <c r="C4431" s="124"/>
      <c r="D4431" s="12" t="s">
        <v>1</v>
      </c>
      <c r="E4431" s="32"/>
      <c r="F4431" s="5"/>
      <c r="G4431" s="121" t="s">
        <v>27</v>
      </c>
      <c r="H4431" s="122"/>
      <c r="I4431" s="123"/>
      <c r="J4431" s="5"/>
      <c r="K4431" s="12" t="s">
        <v>1</v>
      </c>
      <c r="L4431" s="32">
        <v>1100791</v>
      </c>
    </row>
    <row r="4432" spans="1:12" x14ac:dyDescent="0.25">
      <c r="A4432" s="30" t="s">
        <v>65</v>
      </c>
      <c r="B4432" s="11"/>
      <c r="C4432" s="11"/>
      <c r="D4432" s="11"/>
      <c r="E4432" s="6"/>
      <c r="F4432" s="5"/>
      <c r="G4432" s="30" t="s">
        <v>364</v>
      </c>
      <c r="H4432" s="11"/>
      <c r="I4432" s="11"/>
      <c r="J4432" s="11"/>
      <c r="K4432" s="11"/>
      <c r="L4432" s="6"/>
    </row>
    <row r="4433" spans="1:12" x14ac:dyDescent="0.25">
      <c r="A4433" s="76" t="s">
        <v>435</v>
      </c>
      <c r="B4433" s="11"/>
      <c r="C4433" s="11"/>
      <c r="D4433" s="11"/>
      <c r="E4433" s="6"/>
      <c r="F4433" s="5"/>
      <c r="G4433" s="34"/>
      <c r="H4433" s="11"/>
      <c r="I4433" s="11"/>
      <c r="J4433" s="11"/>
      <c r="K4433" s="11"/>
      <c r="L4433" s="6"/>
    </row>
    <row r="4434" spans="1:12" x14ac:dyDescent="0.25">
      <c r="A4434" s="13"/>
      <c r="B4434" s="11"/>
      <c r="C4434" s="11"/>
      <c r="D4434" s="11"/>
      <c r="E4434" s="6"/>
      <c r="F4434" s="5"/>
      <c r="G4434" s="13"/>
      <c r="H4434" s="11"/>
      <c r="I4434" s="11"/>
      <c r="J4434" s="11"/>
      <c r="K4434" s="11"/>
      <c r="L4434" s="6"/>
    </row>
    <row r="4435" spans="1:12" x14ac:dyDescent="0.25">
      <c r="A4435" s="13"/>
      <c r="B4435" s="11"/>
      <c r="C4435" s="11"/>
      <c r="D4435" s="11"/>
      <c r="E4435" s="6"/>
      <c r="F4435" s="5"/>
      <c r="G4435" s="13"/>
      <c r="H4435" s="11"/>
      <c r="I4435" s="11"/>
      <c r="J4435" s="11"/>
      <c r="K4435" s="11"/>
      <c r="L4435" s="6"/>
    </row>
    <row r="4436" spans="1:12" ht="15.75" thickBot="1" x14ac:dyDescent="0.3">
      <c r="A4436" s="13"/>
      <c r="B4436" s="11"/>
      <c r="C4436" s="11" t="s">
        <v>29</v>
      </c>
      <c r="D4436" s="43"/>
      <c r="E4436" s="6"/>
      <c r="F4436" s="5"/>
      <c r="G4436" s="13"/>
      <c r="H4436" s="11"/>
      <c r="I4436" s="14" t="s">
        <v>28</v>
      </c>
      <c r="J4436" s="43"/>
      <c r="K4436" s="59"/>
      <c r="L4436" s="6"/>
    </row>
    <row r="4437" spans="1:12" ht="15.75" thickBot="1" x14ac:dyDescent="0.3">
      <c r="A4437" s="15" t="s">
        <v>10</v>
      </c>
      <c r="B4437" s="5"/>
      <c r="C4437" s="5"/>
      <c r="D4437" s="5">
        <v>665.64</v>
      </c>
      <c r="E4437" s="5"/>
      <c r="F4437" s="5"/>
      <c r="G4437" s="15" t="s">
        <v>14</v>
      </c>
      <c r="H4437" s="5"/>
      <c r="I4437" s="5"/>
      <c r="J4437" s="5"/>
      <c r="K4437" s="5"/>
      <c r="L4437" s="5"/>
    </row>
    <row r="4438" spans="1:12" ht="15.75" thickBot="1" x14ac:dyDescent="0.3">
      <c r="A4438" s="121" t="s">
        <v>11</v>
      </c>
      <c r="B4438" s="122"/>
      <c r="C4438" s="123"/>
      <c r="D4438" s="16" t="s">
        <v>12</v>
      </c>
      <c r="E4438" s="16" t="s">
        <v>13</v>
      </c>
      <c r="F4438" s="5"/>
      <c r="G4438" s="121" t="s">
        <v>15</v>
      </c>
      <c r="H4438" s="122"/>
      <c r="I4438" s="123"/>
      <c r="J4438" s="121"/>
      <c r="K4438" s="123"/>
      <c r="L4438" s="5"/>
    </row>
    <row r="4439" spans="1:12" x14ac:dyDescent="0.25">
      <c r="A4439" s="94" t="s">
        <v>581</v>
      </c>
      <c r="B4439" s="46" t="s">
        <v>66</v>
      </c>
      <c r="C4439" s="47"/>
      <c r="D4439" s="56">
        <v>297.74</v>
      </c>
      <c r="E4439" s="57">
        <v>5660.03</v>
      </c>
      <c r="F4439" s="44">
        <f>E4439/D4439</f>
        <v>19.009975146100622</v>
      </c>
      <c r="G4439" s="125" t="s">
        <v>69</v>
      </c>
      <c r="H4439" s="126"/>
      <c r="I4439" s="127"/>
      <c r="J4439" s="128"/>
      <c r="K4439" s="129"/>
      <c r="L4439" s="5"/>
    </row>
    <row r="4440" spans="1:12" x14ac:dyDescent="0.25">
      <c r="A4440" s="94" t="s">
        <v>582</v>
      </c>
      <c r="B4440" s="46" t="s">
        <v>66</v>
      </c>
      <c r="C4440" s="47"/>
      <c r="D4440" s="56">
        <v>730.19</v>
      </c>
      <c r="E4440" s="57">
        <v>13880.91</v>
      </c>
      <c r="F4440" s="44">
        <f>E4440/D4440</f>
        <v>19.009997397937521</v>
      </c>
      <c r="G4440" s="110" t="s">
        <v>59</v>
      </c>
      <c r="H4440" s="111"/>
      <c r="I4440" s="112"/>
      <c r="J4440" s="113"/>
      <c r="K4440" s="114"/>
      <c r="L4440" s="5"/>
    </row>
    <row r="4441" spans="1:12" x14ac:dyDescent="0.25">
      <c r="A4441" s="94" t="s">
        <v>583</v>
      </c>
      <c r="B4441" s="46" t="s">
        <v>47</v>
      </c>
      <c r="C4441" s="47"/>
      <c r="D4441" s="56">
        <v>420.56</v>
      </c>
      <c r="E4441" s="57">
        <v>7734.1</v>
      </c>
      <c r="F4441" s="44">
        <f>E4441/D4441</f>
        <v>18.390003804451208</v>
      </c>
      <c r="G4441" s="110" t="s">
        <v>61</v>
      </c>
      <c r="H4441" s="111"/>
      <c r="I4441" s="112"/>
      <c r="J4441" s="113"/>
      <c r="K4441" s="114"/>
      <c r="L4441" s="5"/>
    </row>
    <row r="4442" spans="1:12" x14ac:dyDescent="0.25">
      <c r="A4442" s="94"/>
      <c r="B4442" s="46"/>
      <c r="C4442" s="47"/>
      <c r="D4442" s="56"/>
      <c r="E4442" s="57"/>
      <c r="F4442" s="44"/>
      <c r="G4442" s="110" t="s">
        <v>51</v>
      </c>
      <c r="H4442" s="111"/>
      <c r="I4442" s="112"/>
      <c r="J4442" s="113"/>
      <c r="K4442" s="114"/>
      <c r="L4442" s="5"/>
    </row>
    <row r="4443" spans="1:12" x14ac:dyDescent="0.25">
      <c r="A4443" s="48"/>
      <c r="B4443" s="46"/>
      <c r="C4443" s="39"/>
      <c r="D4443" s="52"/>
      <c r="E4443" s="53"/>
      <c r="F4443" s="44"/>
      <c r="G4443" s="110" t="s">
        <v>58</v>
      </c>
      <c r="H4443" s="111"/>
      <c r="I4443" s="112"/>
      <c r="J4443" s="113"/>
      <c r="K4443" s="114"/>
      <c r="L4443" s="5"/>
    </row>
    <row r="4444" spans="1:12" x14ac:dyDescent="0.25">
      <c r="A4444" s="48"/>
      <c r="B4444" s="35"/>
      <c r="C4444" s="39"/>
      <c r="D4444" s="52"/>
      <c r="E4444" s="53"/>
      <c r="F4444" s="44"/>
      <c r="G4444" s="110" t="s">
        <v>51</v>
      </c>
      <c r="H4444" s="111"/>
      <c r="I4444" s="112"/>
      <c r="J4444" s="113"/>
      <c r="K4444" s="114"/>
      <c r="L4444" s="5"/>
    </row>
    <row r="4445" spans="1:12" x14ac:dyDescent="0.25">
      <c r="A4445" s="48"/>
      <c r="B4445" s="35"/>
      <c r="C4445" s="39"/>
      <c r="D4445" s="52"/>
      <c r="E4445" s="53"/>
      <c r="F4445" s="44"/>
      <c r="G4445" s="77"/>
      <c r="H4445" s="78" t="s">
        <v>69</v>
      </c>
      <c r="I4445" s="79"/>
      <c r="J4445" s="113"/>
      <c r="K4445" s="114"/>
      <c r="L4445" s="5"/>
    </row>
    <row r="4446" spans="1:12" x14ac:dyDescent="0.25">
      <c r="A4446" s="38"/>
      <c r="B4446" s="35"/>
      <c r="C4446" s="39"/>
      <c r="D4446" s="52"/>
      <c r="E4446" s="53"/>
      <c r="F4446" s="44"/>
      <c r="G4446" s="77"/>
      <c r="H4446" s="78" t="s">
        <v>72</v>
      </c>
      <c r="I4446" s="79"/>
      <c r="J4446" s="113"/>
      <c r="K4446" s="114"/>
      <c r="L4446" s="5"/>
    </row>
    <row r="4447" spans="1:12" ht="15.75" thickBot="1" x14ac:dyDescent="0.3">
      <c r="A4447" s="5"/>
      <c r="B4447" s="5"/>
      <c r="C4447" s="7" t="s">
        <v>35</v>
      </c>
      <c r="D4447" s="17">
        <f>SUM(D4439:D4446)</f>
        <v>1448.49</v>
      </c>
      <c r="E4447" s="17">
        <f>SUM(E4439:E4446)</f>
        <v>27275.040000000001</v>
      </c>
      <c r="F4447" s="89">
        <f>AVERAGE(F4439:F4443)</f>
        <v>18.803325449496452</v>
      </c>
      <c r="G4447" s="110" t="s">
        <v>73</v>
      </c>
      <c r="H4447" s="111"/>
      <c r="I4447" s="112"/>
      <c r="J4447" s="113"/>
      <c r="K4447" s="114"/>
      <c r="L4447" s="7" t="s">
        <v>36</v>
      </c>
    </row>
    <row r="4448" spans="1:12" ht="15.75" thickBot="1" x14ac:dyDescent="0.3">
      <c r="A4448" s="5"/>
      <c r="B4448" s="5"/>
      <c r="C4448" s="5"/>
      <c r="D4448" s="5"/>
      <c r="E4448" s="5"/>
      <c r="F4448" s="5"/>
      <c r="G4448" s="130"/>
      <c r="H4448" s="131"/>
      <c r="I4448" s="132"/>
      <c r="J4448" s="133"/>
      <c r="K4448" s="134"/>
      <c r="L4448" s="18">
        <f>J4439+J4440+J4441+J4442+J4443+J4444+J4445+J4446+J4447</f>
        <v>0</v>
      </c>
    </row>
    <row r="4449" spans="1:12" ht="15.75" thickBot="1" x14ac:dyDescent="0.3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</row>
    <row r="4450" spans="1:12" ht="15.75" thickBot="1" x14ac:dyDescent="0.3">
      <c r="A4450" s="19"/>
      <c r="B4450" s="20"/>
      <c r="C4450" s="20"/>
      <c r="D4450" s="20"/>
      <c r="E4450" s="21" t="s">
        <v>13</v>
      </c>
      <c r="F4450" s="5"/>
      <c r="G4450" s="19"/>
      <c r="H4450" s="20"/>
      <c r="I4450" s="20"/>
      <c r="J4450" s="20"/>
      <c r="K4450" s="21" t="s">
        <v>13</v>
      </c>
      <c r="L4450" s="5"/>
    </row>
    <row r="4451" spans="1:12" x14ac:dyDescent="0.25">
      <c r="A4451" s="22" t="s">
        <v>31</v>
      </c>
      <c r="B4451" s="115">
        <v>19184</v>
      </c>
      <c r="C4451" s="116"/>
      <c r="D4451" s="116"/>
      <c r="E4451" s="117"/>
      <c r="F4451" s="5"/>
      <c r="G4451" s="22" t="s">
        <v>32</v>
      </c>
      <c r="H4451" s="115">
        <f>43258</f>
        <v>43258</v>
      </c>
      <c r="I4451" s="116"/>
      <c r="J4451" s="116"/>
      <c r="K4451" s="117"/>
      <c r="L4451" s="5"/>
    </row>
    <row r="4452" spans="1:12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</row>
    <row r="4453" spans="1:12" x14ac:dyDescent="0.25">
      <c r="A4453" s="7" t="s">
        <v>16</v>
      </c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</row>
    <row r="4454" spans="1:12" x14ac:dyDescent="0.25">
      <c r="A4454" s="9" t="s">
        <v>17</v>
      </c>
      <c r="B4454" s="23">
        <f>L4431-C4426</f>
        <v>3066</v>
      </c>
      <c r="C4454" s="5"/>
      <c r="D4454" s="106" t="s">
        <v>18</v>
      </c>
      <c r="E4454" s="107"/>
      <c r="F4454" s="24" t="s">
        <v>19</v>
      </c>
      <c r="G4454" s="9" t="s">
        <v>20</v>
      </c>
      <c r="H4454" s="118">
        <f>B4451+H4451</f>
        <v>62442</v>
      </c>
      <c r="I4454" s="119"/>
      <c r="J4454" s="60"/>
      <c r="K4454" s="5"/>
      <c r="L4454" s="5"/>
    </row>
    <row r="4455" spans="1:12" x14ac:dyDescent="0.25">
      <c r="A4455" s="9" t="s">
        <v>41</v>
      </c>
      <c r="B4455" s="40">
        <f>B4454/D4447</f>
        <v>2.1166870327030218</v>
      </c>
      <c r="C4455" s="5"/>
      <c r="D4455" s="102">
        <f>E4447</f>
        <v>27275.040000000001</v>
      </c>
      <c r="E4455" s="103"/>
      <c r="F4455" s="25">
        <f>H4455/B4454</f>
        <v>9.887358121330724</v>
      </c>
      <c r="G4455" s="9" t="s">
        <v>21</v>
      </c>
      <c r="H4455" s="104">
        <f>L4448+D4455+D4457+D4459+D4461+A4458</f>
        <v>30314.639999999999</v>
      </c>
      <c r="I4455" s="105"/>
      <c r="J4455" s="5"/>
      <c r="K4455" s="5"/>
      <c r="L4455" s="5"/>
    </row>
    <row r="4456" spans="1:12" x14ac:dyDescent="0.25">
      <c r="A4456" s="9" t="s">
        <v>43</v>
      </c>
      <c r="B4456" s="23">
        <f>D4447/B4454*100</f>
        <v>47.243639921722114</v>
      </c>
      <c r="C4456" s="5"/>
      <c r="D4456" s="106" t="s">
        <v>33</v>
      </c>
      <c r="E4456" s="107"/>
      <c r="F4456" s="5"/>
      <c r="G4456" s="13" t="s">
        <v>22</v>
      </c>
      <c r="H4456" s="6"/>
      <c r="I4456" s="26">
        <f>H4454-H4455</f>
        <v>32127.360000000001</v>
      </c>
      <c r="J4456" s="5"/>
      <c r="K4456" s="5">
        <f>137000+23895</f>
        <v>160895</v>
      </c>
      <c r="L4456" s="5"/>
    </row>
    <row r="4457" spans="1:12" x14ac:dyDescent="0.25">
      <c r="A4457" s="106" t="s">
        <v>40</v>
      </c>
      <c r="B4457" s="107"/>
      <c r="C4457" s="5"/>
      <c r="D4457" s="149">
        <v>1200</v>
      </c>
      <c r="E4457" s="150"/>
      <c r="F4457" s="5"/>
      <c r="G4457" s="5"/>
      <c r="H4457" s="5"/>
      <c r="I4457" s="5"/>
      <c r="J4457" s="5"/>
      <c r="K4457" s="5"/>
      <c r="L4457" s="5"/>
    </row>
    <row r="4458" spans="1:12" x14ac:dyDescent="0.25">
      <c r="A4458" s="108">
        <f>B4454*0.6</f>
        <v>1839.6</v>
      </c>
      <c r="B4458" s="109"/>
      <c r="C4458" s="5"/>
      <c r="D4458" s="106" t="s">
        <v>34</v>
      </c>
      <c r="E4458" s="107"/>
      <c r="F4458" s="5"/>
      <c r="G4458" s="145" t="s">
        <v>292</v>
      </c>
      <c r="H4458" s="146"/>
      <c r="I4458" s="23">
        <f>B4454/2.3</f>
        <v>1333.0434782608697</v>
      </c>
      <c r="J4458" s="60"/>
      <c r="K4458" s="5"/>
      <c r="L4458" s="5"/>
    </row>
    <row r="4459" spans="1:12" x14ac:dyDescent="0.25">
      <c r="A4459" s="5"/>
      <c r="B4459" s="5"/>
      <c r="C4459" s="5"/>
      <c r="D4459" s="108">
        <v>0</v>
      </c>
      <c r="E4459" s="109"/>
      <c r="F4459" s="5"/>
      <c r="G4459" s="145" t="s">
        <v>294</v>
      </c>
      <c r="H4459" s="146"/>
      <c r="I4459" s="23">
        <f>I4458-D4447</f>
        <v>-115.44652173913028</v>
      </c>
      <c r="J4459" s="5"/>
      <c r="K4459" s="5"/>
      <c r="L4459" s="5"/>
    </row>
    <row r="4460" spans="1:12" x14ac:dyDescent="0.25">
      <c r="A4460" s="5"/>
      <c r="B4460" s="5"/>
      <c r="C4460" s="5"/>
      <c r="D4460" s="106" t="s">
        <v>37</v>
      </c>
      <c r="E4460" s="107"/>
      <c r="F4460" s="5"/>
      <c r="G4460" s="147" t="s">
        <v>295</v>
      </c>
      <c r="H4460" s="148"/>
      <c r="I4460" s="86">
        <f>I4459*F4447</f>
        <v>-2170.7785202732339</v>
      </c>
      <c r="J4460" s="87">
        <f>I4456-I4460</f>
        <v>34298.138520273234</v>
      </c>
      <c r="K4460" s="5"/>
      <c r="L4460" s="5"/>
    </row>
    <row r="4461" spans="1:12" x14ac:dyDescent="0.25">
      <c r="A4461" s="5"/>
      <c r="B4461" s="5"/>
      <c r="C4461" s="5"/>
      <c r="D4461" s="108">
        <v>0</v>
      </c>
      <c r="E4461" s="109"/>
      <c r="F4461" s="5" t="s">
        <v>78</v>
      </c>
      <c r="G4461" s="5"/>
      <c r="H4461" s="5"/>
      <c r="I4461" s="5"/>
      <c r="J4461" s="88" t="s">
        <v>293</v>
      </c>
      <c r="K4461" s="44"/>
      <c r="L4461" s="5"/>
    </row>
    <row r="4463" spans="1:12" s="49" customFormat="1" x14ac:dyDescent="0.25"/>
    <row r="4466" spans="1:12" x14ac:dyDescent="0.25">
      <c r="A4466" s="120" t="s">
        <v>24</v>
      </c>
      <c r="B4466" s="120"/>
      <c r="C4466" s="120"/>
      <c r="D4466" s="120"/>
      <c r="E4466" s="120"/>
      <c r="F4466" s="120"/>
      <c r="G4466" s="120"/>
      <c r="H4466" s="120"/>
      <c r="I4466" s="120"/>
      <c r="J4466" s="120"/>
      <c r="K4466" s="120"/>
      <c r="L4466" s="120"/>
    </row>
    <row r="4467" spans="1:12" x14ac:dyDescent="0.25">
      <c r="A4467" s="120"/>
      <c r="B4467" s="120"/>
      <c r="C4467" s="120"/>
      <c r="D4467" s="120"/>
      <c r="E4467" s="120"/>
      <c r="F4467" s="120"/>
      <c r="G4467" s="120"/>
      <c r="H4467" s="120"/>
      <c r="I4467" s="120"/>
      <c r="J4467" s="120"/>
      <c r="K4467" s="120"/>
      <c r="L4467" s="120"/>
    </row>
    <row r="4468" spans="1:12" x14ac:dyDescent="0.25">
      <c r="A4468" s="1" t="s">
        <v>4</v>
      </c>
      <c r="B4468" s="2"/>
      <c r="C4468" s="90"/>
      <c r="D4468" s="2"/>
      <c r="E4468" s="2"/>
      <c r="F4468" s="2"/>
      <c r="G4468" s="3" t="s">
        <v>5</v>
      </c>
      <c r="H4468" s="3" t="s">
        <v>6</v>
      </c>
      <c r="I4468" s="4" t="s">
        <v>7</v>
      </c>
      <c r="J4468" s="5"/>
      <c r="K4468" s="5"/>
      <c r="L4468" s="5"/>
    </row>
    <row r="4469" spans="1:12" x14ac:dyDescent="0.25">
      <c r="A4469" s="91" t="s">
        <v>549</v>
      </c>
      <c r="B4469" s="92" t="s">
        <v>42</v>
      </c>
      <c r="C4469" s="64"/>
      <c r="D4469" s="66"/>
      <c r="E4469" s="2"/>
      <c r="F4469" s="2"/>
      <c r="G4469" s="91" t="s">
        <v>299</v>
      </c>
      <c r="H4469" s="66"/>
      <c r="I4469" s="33"/>
      <c r="J4469" s="6"/>
      <c r="K4469" s="33"/>
      <c r="L4469" s="6"/>
    </row>
    <row r="4470" spans="1:12" x14ac:dyDescent="0.25">
      <c r="A4470" s="7" t="s">
        <v>2</v>
      </c>
      <c r="B4470" s="5"/>
      <c r="C4470" s="5"/>
      <c r="D4470" s="5"/>
      <c r="E4470" s="5"/>
      <c r="F4470" s="5"/>
      <c r="G4470" s="8" t="s">
        <v>8</v>
      </c>
      <c r="H4470" s="93">
        <v>3</v>
      </c>
      <c r="I4470" s="5"/>
      <c r="J4470" s="5"/>
      <c r="K4470" s="5"/>
      <c r="L4470" s="5"/>
    </row>
    <row r="4471" spans="1:12" x14ac:dyDescent="0.25">
      <c r="A4471" s="7" t="s">
        <v>25</v>
      </c>
      <c r="B4471" s="5"/>
      <c r="C4471" s="7" t="s">
        <v>0</v>
      </c>
      <c r="D4471" s="5"/>
      <c r="E4471" s="5"/>
      <c r="F4471" s="5"/>
      <c r="G4471" s="7" t="s">
        <v>25</v>
      </c>
      <c r="H4471" s="5"/>
      <c r="I4471" s="7" t="s">
        <v>0</v>
      </c>
      <c r="J4471" s="5"/>
      <c r="K4471" s="5"/>
      <c r="L4471" s="5"/>
    </row>
    <row r="4472" spans="1:12" x14ac:dyDescent="0.25">
      <c r="A4472" s="42" t="s">
        <v>583</v>
      </c>
      <c r="B4472" s="6"/>
      <c r="C4472" s="31">
        <f>L4431</f>
        <v>1100791</v>
      </c>
      <c r="D4472" s="5"/>
      <c r="E4472" s="5"/>
      <c r="F4472" s="5"/>
      <c r="G4472" s="42"/>
      <c r="H4472" s="6"/>
      <c r="I4472" s="9"/>
      <c r="J4472" s="5"/>
      <c r="K4472" s="5"/>
      <c r="L4472" s="5"/>
    </row>
    <row r="4473" spans="1:12" ht="16.5" thickBot="1" x14ac:dyDescent="0.3">
      <c r="A4473" s="7"/>
      <c r="B4473" s="62"/>
      <c r="C4473" s="62"/>
      <c r="D4473" s="62"/>
      <c r="E4473" s="5"/>
      <c r="F4473" s="5"/>
      <c r="G4473" s="10"/>
      <c r="H4473" s="5"/>
      <c r="I4473" s="5"/>
      <c r="J4473" s="5"/>
      <c r="K4473" s="5"/>
      <c r="L4473" s="5"/>
    </row>
    <row r="4474" spans="1:12" ht="15.75" thickBot="1" x14ac:dyDescent="0.3">
      <c r="A4474" s="121" t="s">
        <v>9</v>
      </c>
      <c r="B4474" s="122"/>
      <c r="C4474" s="123"/>
      <c r="D4474" s="5"/>
      <c r="E4474" s="5"/>
      <c r="F4474" s="5"/>
      <c r="G4474" s="121" t="s">
        <v>26</v>
      </c>
      <c r="H4474" s="122"/>
      <c r="I4474" s="123"/>
      <c r="J4474" s="5"/>
      <c r="K4474" s="5"/>
      <c r="L4474" s="5"/>
    </row>
    <row r="4475" spans="1:12" x14ac:dyDescent="0.25">
      <c r="A4475" s="30" t="s">
        <v>38</v>
      </c>
      <c r="B4475" s="11"/>
      <c r="C4475" s="11"/>
      <c r="D4475" s="11"/>
      <c r="E4475" s="6"/>
      <c r="F4475" s="5"/>
      <c r="G4475" s="30" t="str">
        <f>A4478</f>
        <v>Rundu</v>
      </c>
      <c r="H4475" s="11"/>
      <c r="I4475" s="11"/>
      <c r="J4475" s="11"/>
      <c r="K4475" s="11"/>
      <c r="L4475" s="6"/>
    </row>
    <row r="4476" spans="1:12" ht="15.75" thickBot="1" x14ac:dyDescent="0.3">
      <c r="A4476" s="7"/>
      <c r="B4476" s="7"/>
      <c r="C4476" s="7"/>
      <c r="D4476" s="5"/>
      <c r="E4476" s="5"/>
      <c r="F4476" s="5"/>
      <c r="G4476" s="7"/>
      <c r="H4476" s="7"/>
      <c r="I4476" s="7"/>
      <c r="J4476" s="5"/>
      <c r="K4476" s="5"/>
      <c r="L4476" s="5"/>
    </row>
    <row r="4477" spans="1:12" ht="15.75" thickBot="1" x14ac:dyDescent="0.3">
      <c r="A4477" s="121"/>
      <c r="B4477" s="122"/>
      <c r="C4477" s="124"/>
      <c r="D4477" s="12" t="s">
        <v>1</v>
      </c>
      <c r="E4477" s="32"/>
      <c r="F4477" s="5"/>
      <c r="G4477" s="121" t="s">
        <v>27</v>
      </c>
      <c r="H4477" s="122"/>
      <c r="I4477" s="123"/>
      <c r="J4477" s="5"/>
      <c r="K4477" s="12" t="s">
        <v>1</v>
      </c>
      <c r="L4477" s="32">
        <v>1102262</v>
      </c>
    </row>
    <row r="4478" spans="1:12" x14ac:dyDescent="0.25">
      <c r="A4478" s="30" t="s">
        <v>49</v>
      </c>
      <c r="B4478" s="11"/>
      <c r="C4478" s="11"/>
      <c r="D4478" s="11"/>
      <c r="E4478" s="6"/>
      <c r="F4478" s="5"/>
      <c r="G4478" s="30" t="s">
        <v>364</v>
      </c>
      <c r="H4478" s="11"/>
      <c r="I4478" s="11"/>
      <c r="J4478" s="11"/>
      <c r="K4478" s="11"/>
      <c r="L4478" s="6"/>
    </row>
    <row r="4479" spans="1:12" x14ac:dyDescent="0.25">
      <c r="A4479" s="76"/>
      <c r="B4479" s="11"/>
      <c r="C4479" s="11"/>
      <c r="D4479" s="11"/>
      <c r="E4479" s="6"/>
      <c r="F4479" s="5"/>
      <c r="G4479" s="34"/>
      <c r="H4479" s="11"/>
      <c r="I4479" s="11"/>
      <c r="J4479" s="11"/>
      <c r="K4479" s="11"/>
      <c r="L4479" s="6"/>
    </row>
    <row r="4480" spans="1:12" x14ac:dyDescent="0.25">
      <c r="A4480" s="13"/>
      <c r="B4480" s="11"/>
      <c r="C4480" s="11"/>
      <c r="D4480" s="11"/>
      <c r="E4480" s="6"/>
      <c r="F4480" s="5"/>
      <c r="G4480" s="13"/>
      <c r="H4480" s="11"/>
      <c r="I4480" s="11"/>
      <c r="J4480" s="11"/>
      <c r="K4480" s="11"/>
      <c r="L4480" s="6"/>
    </row>
    <row r="4481" spans="1:12" x14ac:dyDescent="0.25">
      <c r="A4481" s="13"/>
      <c r="B4481" s="11"/>
      <c r="C4481" s="11"/>
      <c r="D4481" s="11"/>
      <c r="E4481" s="6"/>
      <c r="F4481" s="5"/>
      <c r="G4481" s="13"/>
      <c r="H4481" s="11"/>
      <c r="I4481" s="11"/>
      <c r="J4481" s="11"/>
      <c r="K4481" s="11"/>
      <c r="L4481" s="6"/>
    </row>
    <row r="4482" spans="1:12" ht="15.75" thickBot="1" x14ac:dyDescent="0.3">
      <c r="A4482" s="13"/>
      <c r="B4482" s="11"/>
      <c r="C4482" s="11" t="s">
        <v>29</v>
      </c>
      <c r="D4482" s="43"/>
      <c r="E4482" s="6"/>
      <c r="F4482" s="5"/>
      <c r="G4482" s="13"/>
      <c r="H4482" s="11"/>
      <c r="I4482" s="14" t="s">
        <v>28</v>
      </c>
      <c r="J4482" s="43"/>
      <c r="K4482" s="59"/>
      <c r="L4482" s="6"/>
    </row>
    <row r="4483" spans="1:12" ht="15.75" thickBot="1" x14ac:dyDescent="0.3">
      <c r="A4483" s="15" t="s">
        <v>10</v>
      </c>
      <c r="B4483" s="5"/>
      <c r="C4483" s="5"/>
      <c r="D4483" s="5">
        <v>665.64</v>
      </c>
      <c r="E4483" s="5"/>
      <c r="F4483" s="5"/>
      <c r="G4483" s="15" t="s">
        <v>14</v>
      </c>
      <c r="H4483" s="5"/>
      <c r="I4483" s="5"/>
      <c r="J4483" s="5"/>
      <c r="K4483" s="5"/>
      <c r="L4483" s="5"/>
    </row>
    <row r="4484" spans="1:12" ht="15.75" thickBot="1" x14ac:dyDescent="0.3">
      <c r="A4484" s="121" t="s">
        <v>11</v>
      </c>
      <c r="B4484" s="122"/>
      <c r="C4484" s="123"/>
      <c r="D4484" s="16" t="s">
        <v>12</v>
      </c>
      <c r="E4484" s="16" t="s">
        <v>13</v>
      </c>
      <c r="F4484" s="5"/>
      <c r="G4484" s="121" t="s">
        <v>15</v>
      </c>
      <c r="H4484" s="122"/>
      <c r="I4484" s="123"/>
      <c r="J4484" s="121"/>
      <c r="K4484" s="123"/>
      <c r="L4484" s="5"/>
    </row>
    <row r="4485" spans="1:12" x14ac:dyDescent="0.25">
      <c r="A4485" s="94" t="s">
        <v>584</v>
      </c>
      <c r="B4485" s="46" t="s">
        <v>47</v>
      </c>
      <c r="C4485" s="47"/>
      <c r="D4485" s="56">
        <v>617.04</v>
      </c>
      <c r="E4485" s="57">
        <v>11347.5</v>
      </c>
      <c r="F4485" s="44">
        <f>E4485/D4485</f>
        <v>18.390217814080124</v>
      </c>
      <c r="G4485" s="125" t="s">
        <v>69</v>
      </c>
      <c r="H4485" s="126"/>
      <c r="I4485" s="127"/>
      <c r="J4485" s="128"/>
      <c r="K4485" s="129"/>
      <c r="L4485" s="5"/>
    </row>
    <row r="4486" spans="1:12" x14ac:dyDescent="0.25">
      <c r="A4486" s="94"/>
      <c r="B4486" s="46"/>
      <c r="C4486" s="47"/>
      <c r="D4486" s="56"/>
      <c r="E4486" s="57"/>
      <c r="F4486" s="44"/>
      <c r="G4486" s="110" t="s">
        <v>59</v>
      </c>
      <c r="H4486" s="111"/>
      <c r="I4486" s="112"/>
      <c r="J4486" s="113"/>
      <c r="K4486" s="114"/>
      <c r="L4486" s="5"/>
    </row>
    <row r="4487" spans="1:12" x14ac:dyDescent="0.25">
      <c r="A4487" s="94"/>
      <c r="B4487" s="46"/>
      <c r="C4487" s="47"/>
      <c r="D4487" s="56"/>
      <c r="E4487" s="57"/>
      <c r="F4487" s="44"/>
      <c r="G4487" s="110" t="s">
        <v>61</v>
      </c>
      <c r="H4487" s="111"/>
      <c r="I4487" s="112"/>
      <c r="J4487" s="113"/>
      <c r="K4487" s="114"/>
      <c r="L4487" s="5"/>
    </row>
    <row r="4488" spans="1:12" x14ac:dyDescent="0.25">
      <c r="A4488" s="94"/>
      <c r="B4488" s="46"/>
      <c r="C4488" s="47"/>
      <c r="D4488" s="56"/>
      <c r="E4488" s="57"/>
      <c r="F4488" s="44"/>
      <c r="G4488" s="110" t="s">
        <v>51</v>
      </c>
      <c r="H4488" s="111"/>
      <c r="I4488" s="112"/>
      <c r="J4488" s="113"/>
      <c r="K4488" s="114"/>
      <c r="L4488" s="5"/>
    </row>
    <row r="4489" spans="1:12" x14ac:dyDescent="0.25">
      <c r="A4489" s="48"/>
      <c r="B4489" s="46"/>
      <c r="C4489" s="39"/>
      <c r="D4489" s="52"/>
      <c r="E4489" s="53"/>
      <c r="F4489" s="44"/>
      <c r="G4489" s="110" t="s">
        <v>58</v>
      </c>
      <c r="H4489" s="111"/>
      <c r="I4489" s="112"/>
      <c r="J4489" s="113"/>
      <c r="K4489" s="114"/>
      <c r="L4489" s="5"/>
    </row>
    <row r="4490" spans="1:12" x14ac:dyDescent="0.25">
      <c r="A4490" s="48"/>
      <c r="B4490" s="35"/>
      <c r="C4490" s="39"/>
      <c r="D4490" s="52"/>
      <c r="E4490" s="53"/>
      <c r="F4490" s="44"/>
      <c r="G4490" s="110" t="s">
        <v>51</v>
      </c>
      <c r="H4490" s="111"/>
      <c r="I4490" s="112"/>
      <c r="J4490" s="113"/>
      <c r="K4490" s="114"/>
      <c r="L4490" s="5"/>
    </row>
    <row r="4491" spans="1:12" x14ac:dyDescent="0.25">
      <c r="A4491" s="48"/>
      <c r="B4491" s="35"/>
      <c r="C4491" s="39"/>
      <c r="D4491" s="52"/>
      <c r="E4491" s="53"/>
      <c r="F4491" s="44"/>
      <c r="G4491" s="77"/>
      <c r="H4491" s="78" t="s">
        <v>69</v>
      </c>
      <c r="I4491" s="79"/>
      <c r="J4491" s="113"/>
      <c r="K4491" s="114"/>
      <c r="L4491" s="5"/>
    </row>
    <row r="4492" spans="1:12" x14ac:dyDescent="0.25">
      <c r="A4492" s="38"/>
      <c r="B4492" s="35"/>
      <c r="C4492" s="39"/>
      <c r="D4492" s="52"/>
      <c r="E4492" s="53"/>
      <c r="F4492" s="44"/>
      <c r="G4492" s="77"/>
      <c r="H4492" s="78" t="s">
        <v>72</v>
      </c>
      <c r="I4492" s="79"/>
      <c r="J4492" s="113"/>
      <c r="K4492" s="114"/>
      <c r="L4492" s="5"/>
    </row>
    <row r="4493" spans="1:12" ht="15.75" thickBot="1" x14ac:dyDescent="0.3">
      <c r="A4493" s="5"/>
      <c r="B4493" s="5"/>
      <c r="C4493" s="7" t="s">
        <v>35</v>
      </c>
      <c r="D4493" s="17">
        <f>SUM(D4485:D4492)</f>
        <v>617.04</v>
      </c>
      <c r="E4493" s="17">
        <f>SUM(E4485:E4492)</f>
        <v>11347.5</v>
      </c>
      <c r="F4493" s="89">
        <f>AVERAGE(F4485:F4489)</f>
        <v>18.390217814080124</v>
      </c>
      <c r="G4493" s="110" t="s">
        <v>73</v>
      </c>
      <c r="H4493" s="111"/>
      <c r="I4493" s="112"/>
      <c r="J4493" s="113"/>
      <c r="K4493" s="114"/>
      <c r="L4493" s="7" t="s">
        <v>36</v>
      </c>
    </row>
    <row r="4494" spans="1:12" ht="15.75" thickBot="1" x14ac:dyDescent="0.3">
      <c r="A4494" s="5"/>
      <c r="B4494" s="5"/>
      <c r="C4494" s="5"/>
      <c r="D4494" s="5"/>
      <c r="E4494" s="5"/>
      <c r="F4494" s="5"/>
      <c r="G4494" s="130"/>
      <c r="H4494" s="131"/>
      <c r="I4494" s="132"/>
      <c r="J4494" s="133"/>
      <c r="K4494" s="134"/>
      <c r="L4494" s="18">
        <f>J4485+J4486+J4487+J4488+J4489+J4490+J4491+J4492+J4493</f>
        <v>0</v>
      </c>
    </row>
    <row r="4495" spans="1:12" ht="15.75" thickBot="1" x14ac:dyDescent="0.3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</row>
    <row r="4496" spans="1:12" ht="15.75" thickBot="1" x14ac:dyDescent="0.3">
      <c r="A4496" s="19"/>
      <c r="B4496" s="20"/>
      <c r="C4496" s="20"/>
      <c r="D4496" s="20"/>
      <c r="E4496" s="21" t="s">
        <v>13</v>
      </c>
      <c r="F4496" s="5"/>
      <c r="G4496" s="19"/>
      <c r="H4496" s="20"/>
      <c r="I4496" s="20"/>
      <c r="J4496" s="20"/>
      <c r="K4496" s="21" t="s">
        <v>13</v>
      </c>
      <c r="L4496" s="5"/>
    </row>
    <row r="4497" spans="1:12" x14ac:dyDescent="0.25">
      <c r="A4497" s="22" t="s">
        <v>31</v>
      </c>
      <c r="B4497" s="115">
        <v>29614</v>
      </c>
      <c r="C4497" s="116"/>
      <c r="D4497" s="116"/>
      <c r="E4497" s="117"/>
      <c r="F4497" s="5"/>
      <c r="G4497" s="22" t="s">
        <v>32</v>
      </c>
      <c r="H4497" s="115">
        <v>0</v>
      </c>
      <c r="I4497" s="116"/>
      <c r="J4497" s="116"/>
      <c r="K4497" s="117"/>
      <c r="L4497" s="5"/>
    </row>
    <row r="4498" spans="1:12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</row>
    <row r="4499" spans="1:12" x14ac:dyDescent="0.25">
      <c r="A4499" s="7" t="s">
        <v>16</v>
      </c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</row>
    <row r="4500" spans="1:12" x14ac:dyDescent="0.25">
      <c r="A4500" s="9" t="s">
        <v>17</v>
      </c>
      <c r="B4500" s="23">
        <f>L4477-C4472</f>
        <v>1471</v>
      </c>
      <c r="C4500" s="5"/>
      <c r="D4500" s="106" t="s">
        <v>18</v>
      </c>
      <c r="E4500" s="107"/>
      <c r="F4500" s="24" t="s">
        <v>19</v>
      </c>
      <c r="G4500" s="9" t="s">
        <v>20</v>
      </c>
      <c r="H4500" s="118">
        <f>B4497+H4497</f>
        <v>29614</v>
      </c>
      <c r="I4500" s="119"/>
      <c r="J4500" s="60"/>
      <c r="K4500" s="5"/>
      <c r="L4500" s="5"/>
    </row>
    <row r="4501" spans="1:12" x14ac:dyDescent="0.25">
      <c r="A4501" s="9" t="s">
        <v>41</v>
      </c>
      <c r="B4501" s="40">
        <f>B4500/D4493</f>
        <v>2.3839621418384547</v>
      </c>
      <c r="C4501" s="5"/>
      <c r="D4501" s="102">
        <f>E4493</f>
        <v>11347.5</v>
      </c>
      <c r="E4501" s="103"/>
      <c r="F4501" s="25">
        <f>H4501/B4500</f>
        <v>8.6540448674371184</v>
      </c>
      <c r="G4501" s="9" t="s">
        <v>21</v>
      </c>
      <c r="H4501" s="104">
        <f>L4494+D4501+D4503+D4505+D4507+A4504</f>
        <v>12730.1</v>
      </c>
      <c r="I4501" s="105"/>
      <c r="J4501" s="5"/>
      <c r="K4501" s="5"/>
      <c r="L4501" s="5"/>
    </row>
    <row r="4502" spans="1:12" x14ac:dyDescent="0.25">
      <c r="A4502" s="9" t="s">
        <v>43</v>
      </c>
      <c r="B4502" s="23">
        <f>D4493/B4500*100</f>
        <v>41.946974847042831</v>
      </c>
      <c r="C4502" s="5"/>
      <c r="D4502" s="106" t="s">
        <v>33</v>
      </c>
      <c r="E4502" s="107"/>
      <c r="F4502" s="5"/>
      <c r="G4502" s="13" t="s">
        <v>22</v>
      </c>
      <c r="H4502" s="6"/>
      <c r="I4502" s="26">
        <f>H4500-H4501</f>
        <v>16883.900000000001</v>
      </c>
      <c r="J4502" s="5"/>
      <c r="K4502" s="5">
        <f>137000+23895</f>
        <v>160895</v>
      </c>
      <c r="L4502" s="5"/>
    </row>
    <row r="4503" spans="1:12" x14ac:dyDescent="0.25">
      <c r="A4503" s="106" t="s">
        <v>40</v>
      </c>
      <c r="B4503" s="107"/>
      <c r="C4503" s="5"/>
      <c r="D4503" s="149">
        <v>500</v>
      </c>
      <c r="E4503" s="150"/>
      <c r="F4503" s="5"/>
      <c r="G4503" s="5"/>
      <c r="H4503" s="5"/>
      <c r="I4503" s="5"/>
      <c r="J4503" s="5"/>
      <c r="K4503" s="5"/>
      <c r="L4503" s="5"/>
    </row>
    <row r="4504" spans="1:12" x14ac:dyDescent="0.25">
      <c r="A4504" s="108">
        <f>B4500*0.6</f>
        <v>882.6</v>
      </c>
      <c r="B4504" s="109"/>
      <c r="C4504" s="5"/>
      <c r="D4504" s="106" t="s">
        <v>34</v>
      </c>
      <c r="E4504" s="107"/>
      <c r="F4504" s="5"/>
      <c r="G4504" s="145" t="s">
        <v>292</v>
      </c>
      <c r="H4504" s="146"/>
      <c r="I4504" s="23">
        <f>B4500/2.3</f>
        <v>639.56521739130437</v>
      </c>
      <c r="J4504" s="60"/>
      <c r="K4504" s="5"/>
      <c r="L4504" s="5"/>
    </row>
    <row r="4505" spans="1:12" x14ac:dyDescent="0.25">
      <c r="A4505" s="5"/>
      <c r="B4505" s="5"/>
      <c r="C4505" s="5"/>
      <c r="D4505" s="108">
        <v>0</v>
      </c>
      <c r="E4505" s="109"/>
      <c r="F4505" s="5"/>
      <c r="G4505" s="145" t="s">
        <v>294</v>
      </c>
      <c r="H4505" s="146"/>
      <c r="I4505" s="23">
        <f>I4504-D4493</f>
        <v>22.525217391304409</v>
      </c>
      <c r="J4505" s="5"/>
      <c r="K4505" s="5"/>
      <c r="L4505" s="5"/>
    </row>
    <row r="4506" spans="1:12" x14ac:dyDescent="0.25">
      <c r="A4506" s="5"/>
      <c r="B4506" s="5"/>
      <c r="C4506" s="5"/>
      <c r="D4506" s="106" t="s">
        <v>37</v>
      </c>
      <c r="E4506" s="107"/>
      <c r="F4506" s="5"/>
      <c r="G4506" s="147" t="s">
        <v>295</v>
      </c>
      <c r="H4506" s="148"/>
      <c r="I4506" s="86">
        <f>I4505*F4493</f>
        <v>414.24365413559377</v>
      </c>
      <c r="J4506" s="87">
        <f>I4502-I4506</f>
        <v>16469.656345864409</v>
      </c>
      <c r="K4506" s="5"/>
      <c r="L4506" s="5"/>
    </row>
    <row r="4507" spans="1:12" x14ac:dyDescent="0.25">
      <c r="A4507" s="5"/>
      <c r="B4507" s="5"/>
      <c r="C4507" s="5"/>
      <c r="D4507" s="108">
        <v>0</v>
      </c>
      <c r="E4507" s="109"/>
      <c r="F4507" s="5" t="s">
        <v>78</v>
      </c>
      <c r="G4507" s="5"/>
      <c r="H4507" s="5"/>
      <c r="I4507" s="5"/>
      <c r="J4507" s="88" t="s">
        <v>293</v>
      </c>
      <c r="K4507" s="44"/>
      <c r="L4507" s="5"/>
    </row>
    <row r="4509" spans="1:12" s="49" customFormat="1" x14ac:dyDescent="0.25"/>
    <row r="4512" spans="1:12" x14ac:dyDescent="0.25">
      <c r="A4512" s="120" t="s">
        <v>24</v>
      </c>
      <c r="B4512" s="120"/>
      <c r="C4512" s="120"/>
      <c r="D4512" s="120"/>
      <c r="E4512" s="120"/>
      <c r="F4512" s="120"/>
      <c r="G4512" s="120"/>
      <c r="H4512" s="120"/>
      <c r="I4512" s="120"/>
      <c r="J4512" s="120"/>
      <c r="K4512" s="120"/>
      <c r="L4512" s="120"/>
    </row>
    <row r="4513" spans="1:12" x14ac:dyDescent="0.25">
      <c r="A4513" s="120"/>
      <c r="B4513" s="120"/>
      <c r="C4513" s="120"/>
      <c r="D4513" s="120"/>
      <c r="E4513" s="120"/>
      <c r="F4513" s="120"/>
      <c r="G4513" s="120"/>
      <c r="H4513" s="120"/>
      <c r="I4513" s="120"/>
      <c r="J4513" s="120"/>
      <c r="K4513" s="120"/>
      <c r="L4513" s="120"/>
    </row>
    <row r="4514" spans="1:12" x14ac:dyDescent="0.25">
      <c r="A4514" s="1" t="s">
        <v>4</v>
      </c>
      <c r="B4514" s="2"/>
      <c r="C4514" s="90"/>
      <c r="D4514" s="2"/>
      <c r="E4514" s="2"/>
      <c r="F4514" s="2"/>
      <c r="G4514" s="3" t="s">
        <v>5</v>
      </c>
      <c r="H4514" s="3" t="s">
        <v>6</v>
      </c>
      <c r="I4514" s="4" t="s">
        <v>7</v>
      </c>
      <c r="J4514" s="5"/>
      <c r="K4514" s="5"/>
      <c r="L4514" s="5"/>
    </row>
    <row r="4515" spans="1:12" x14ac:dyDescent="0.25">
      <c r="A4515" s="91" t="s">
        <v>549</v>
      </c>
      <c r="B4515" s="92" t="s">
        <v>42</v>
      </c>
      <c r="C4515" s="64"/>
      <c r="D4515" s="66"/>
      <c r="E4515" s="2"/>
      <c r="F4515" s="2"/>
      <c r="G4515" s="91" t="s">
        <v>299</v>
      </c>
      <c r="H4515" s="66"/>
      <c r="I4515" s="33"/>
      <c r="J4515" s="6"/>
      <c r="K4515" s="33"/>
      <c r="L4515" s="6"/>
    </row>
    <row r="4516" spans="1:12" x14ac:dyDescent="0.25">
      <c r="A4516" s="7" t="s">
        <v>2</v>
      </c>
      <c r="B4516" s="5"/>
      <c r="C4516" s="5"/>
      <c r="D4516" s="5"/>
      <c r="E4516" s="5"/>
      <c r="F4516" s="5"/>
      <c r="G4516" s="8" t="s">
        <v>8</v>
      </c>
      <c r="H4516" s="93">
        <v>3</v>
      </c>
      <c r="I4516" s="5"/>
      <c r="J4516" s="5"/>
      <c r="K4516" s="5"/>
      <c r="L4516" s="5"/>
    </row>
    <row r="4517" spans="1:12" x14ac:dyDescent="0.25">
      <c r="A4517" s="7" t="s">
        <v>25</v>
      </c>
      <c r="B4517" s="5"/>
      <c r="C4517" s="7" t="s">
        <v>0</v>
      </c>
      <c r="D4517" s="5"/>
      <c r="E4517" s="5"/>
      <c r="F4517" s="5"/>
      <c r="G4517" s="7" t="s">
        <v>25</v>
      </c>
      <c r="H4517" s="5"/>
      <c r="I4517" s="7" t="s">
        <v>0</v>
      </c>
      <c r="J4517" s="5"/>
      <c r="K4517" s="5"/>
      <c r="L4517" s="5"/>
    </row>
    <row r="4518" spans="1:12" x14ac:dyDescent="0.25">
      <c r="A4518" s="42" t="s">
        <v>584</v>
      </c>
      <c r="B4518" s="6"/>
      <c r="C4518" s="31">
        <f>L4477</f>
        <v>1102262</v>
      </c>
      <c r="D4518" s="5"/>
      <c r="E4518" s="5"/>
      <c r="F4518" s="5"/>
      <c r="G4518" s="42"/>
      <c r="H4518" s="6"/>
      <c r="I4518" s="9"/>
      <c r="J4518" s="5"/>
      <c r="K4518" s="5"/>
      <c r="L4518" s="5"/>
    </row>
    <row r="4519" spans="1:12" ht="16.5" thickBot="1" x14ac:dyDescent="0.3">
      <c r="A4519" s="7"/>
      <c r="B4519" s="62"/>
      <c r="C4519" s="62"/>
      <c r="D4519" s="62"/>
      <c r="E4519" s="5"/>
      <c r="F4519" s="5"/>
      <c r="G4519" s="10"/>
      <c r="H4519" s="5"/>
      <c r="I4519" s="5"/>
      <c r="J4519" s="5"/>
      <c r="K4519" s="5"/>
      <c r="L4519" s="5"/>
    </row>
    <row r="4520" spans="1:12" ht="15.75" thickBot="1" x14ac:dyDescent="0.3">
      <c r="A4520" s="121" t="s">
        <v>9</v>
      </c>
      <c r="B4520" s="122"/>
      <c r="C4520" s="123"/>
      <c r="D4520" s="5"/>
      <c r="E4520" s="5"/>
      <c r="F4520" s="5"/>
      <c r="G4520" s="121" t="s">
        <v>26</v>
      </c>
      <c r="H4520" s="122"/>
      <c r="I4520" s="123"/>
      <c r="J4520" s="5"/>
      <c r="K4520" s="5"/>
      <c r="L4520" s="5"/>
    </row>
    <row r="4521" spans="1:12" x14ac:dyDescent="0.25">
      <c r="A4521" s="30" t="s">
        <v>38</v>
      </c>
      <c r="B4521" s="11"/>
      <c r="C4521" s="11"/>
      <c r="D4521" s="11"/>
      <c r="E4521" s="6"/>
      <c r="F4521" s="5"/>
      <c r="G4521" s="30" t="str">
        <f>A4524</f>
        <v>Cape Town</v>
      </c>
      <c r="H4521" s="11"/>
      <c r="I4521" s="11"/>
      <c r="J4521" s="11"/>
      <c r="K4521" s="11"/>
      <c r="L4521" s="6"/>
    </row>
    <row r="4522" spans="1:12" ht="15.75" thickBot="1" x14ac:dyDescent="0.3">
      <c r="A4522" s="7"/>
      <c r="B4522" s="7"/>
      <c r="C4522" s="7"/>
      <c r="D4522" s="5"/>
      <c r="E4522" s="5"/>
      <c r="F4522" s="5"/>
      <c r="G4522" s="7"/>
      <c r="H4522" s="7"/>
      <c r="I4522" s="7"/>
      <c r="J4522" s="5"/>
      <c r="K4522" s="5"/>
      <c r="L4522" s="5"/>
    </row>
    <row r="4523" spans="1:12" ht="15.75" thickBot="1" x14ac:dyDescent="0.3">
      <c r="A4523" s="121"/>
      <c r="B4523" s="122"/>
      <c r="C4523" s="124"/>
      <c r="D4523" s="12" t="s">
        <v>1</v>
      </c>
      <c r="E4523" s="32"/>
      <c r="F4523" s="5"/>
      <c r="G4523" s="121" t="s">
        <v>27</v>
      </c>
      <c r="H4523" s="122"/>
      <c r="I4523" s="123"/>
      <c r="J4523" s="5"/>
      <c r="K4523" s="12" t="s">
        <v>1</v>
      </c>
      <c r="L4523" s="32">
        <v>1105319</v>
      </c>
    </row>
    <row r="4524" spans="1:12" x14ac:dyDescent="0.25">
      <c r="A4524" s="30" t="s">
        <v>65</v>
      </c>
      <c r="B4524" s="11"/>
      <c r="C4524" s="11"/>
      <c r="D4524" s="11"/>
      <c r="E4524" s="6"/>
      <c r="F4524" s="5"/>
      <c r="G4524" s="30" t="s">
        <v>364</v>
      </c>
      <c r="H4524" s="11"/>
      <c r="I4524" s="11"/>
      <c r="J4524" s="11"/>
      <c r="K4524" s="11"/>
      <c r="L4524" s="6"/>
    </row>
    <row r="4525" spans="1:12" x14ac:dyDescent="0.25">
      <c r="A4525" s="76" t="s">
        <v>568</v>
      </c>
      <c r="B4525" s="11"/>
      <c r="C4525" s="11"/>
      <c r="D4525" s="11"/>
      <c r="E4525" s="6"/>
      <c r="F4525" s="5"/>
      <c r="G4525" s="34"/>
      <c r="H4525" s="11"/>
      <c r="I4525" s="11"/>
      <c r="J4525" s="11"/>
      <c r="K4525" s="11"/>
      <c r="L4525" s="6"/>
    </row>
    <row r="4526" spans="1:12" x14ac:dyDescent="0.25">
      <c r="A4526" s="13"/>
      <c r="B4526" s="11"/>
      <c r="C4526" s="11"/>
      <c r="D4526" s="11"/>
      <c r="E4526" s="6"/>
      <c r="F4526" s="5"/>
      <c r="G4526" s="13"/>
      <c r="H4526" s="11"/>
      <c r="I4526" s="11"/>
      <c r="J4526" s="11"/>
      <c r="K4526" s="11"/>
      <c r="L4526" s="6"/>
    </row>
    <row r="4527" spans="1:12" x14ac:dyDescent="0.25">
      <c r="A4527" s="13"/>
      <c r="B4527" s="11"/>
      <c r="C4527" s="11"/>
      <c r="D4527" s="11"/>
      <c r="E4527" s="6"/>
      <c r="F4527" s="5"/>
      <c r="G4527" s="13"/>
      <c r="H4527" s="11"/>
      <c r="I4527" s="11"/>
      <c r="J4527" s="11"/>
      <c r="K4527" s="11"/>
      <c r="L4527" s="6"/>
    </row>
    <row r="4528" spans="1:12" ht="15.75" thickBot="1" x14ac:dyDescent="0.3">
      <c r="A4528" s="13"/>
      <c r="B4528" s="11"/>
      <c r="C4528" s="11" t="s">
        <v>29</v>
      </c>
      <c r="D4528" s="43"/>
      <c r="E4528" s="6"/>
      <c r="F4528" s="5"/>
      <c r="G4528" s="13"/>
      <c r="H4528" s="11"/>
      <c r="I4528" s="14" t="s">
        <v>28</v>
      </c>
      <c r="J4528" s="43"/>
      <c r="K4528" s="59"/>
      <c r="L4528" s="6"/>
    </row>
    <row r="4529" spans="1:12" ht="15.75" thickBot="1" x14ac:dyDescent="0.3">
      <c r="A4529" s="15" t="s">
        <v>10</v>
      </c>
      <c r="B4529" s="5"/>
      <c r="C4529" s="5"/>
      <c r="D4529" s="5">
        <v>665.64</v>
      </c>
      <c r="E4529" s="5"/>
      <c r="F4529" s="5"/>
      <c r="G4529" s="15" t="s">
        <v>14</v>
      </c>
      <c r="H4529" s="5"/>
      <c r="I4529" s="5"/>
      <c r="J4529" s="5"/>
      <c r="K4529" s="5"/>
      <c r="L4529" s="5"/>
    </row>
    <row r="4530" spans="1:12" ht="15.75" thickBot="1" x14ac:dyDescent="0.3">
      <c r="A4530" s="121" t="s">
        <v>11</v>
      </c>
      <c r="B4530" s="122"/>
      <c r="C4530" s="123"/>
      <c r="D4530" s="16" t="s">
        <v>12</v>
      </c>
      <c r="E4530" s="16" t="s">
        <v>13</v>
      </c>
      <c r="F4530" s="5"/>
      <c r="G4530" s="121" t="s">
        <v>15</v>
      </c>
      <c r="H4530" s="122"/>
      <c r="I4530" s="123"/>
      <c r="J4530" s="121"/>
      <c r="K4530" s="123"/>
      <c r="L4530" s="5"/>
    </row>
    <row r="4531" spans="1:12" x14ac:dyDescent="0.25">
      <c r="A4531" s="94" t="s">
        <v>585</v>
      </c>
      <c r="B4531" s="46" t="s">
        <v>66</v>
      </c>
      <c r="C4531" s="47"/>
      <c r="D4531" s="56">
        <v>246.62</v>
      </c>
      <c r="E4531" s="57">
        <v>4688.24</v>
      </c>
      <c r="F4531" s="44">
        <f>E4531/D4531</f>
        <v>19.009974860108667</v>
      </c>
      <c r="G4531" s="125" t="s">
        <v>69</v>
      </c>
      <c r="H4531" s="126"/>
      <c r="I4531" s="127"/>
      <c r="J4531" s="128"/>
      <c r="K4531" s="129"/>
      <c r="L4531" s="5"/>
    </row>
    <row r="4532" spans="1:12" x14ac:dyDescent="0.25">
      <c r="A4532" s="94">
        <v>46023</v>
      </c>
      <c r="B4532" s="46" t="s">
        <v>66</v>
      </c>
      <c r="C4532" s="47"/>
      <c r="D4532" s="56">
        <v>721.93</v>
      </c>
      <c r="E4532" s="57">
        <v>13644.47</v>
      </c>
      <c r="F4532" s="44">
        <f t="shared" ref="F4532:F4533" si="10">E4532/D4532</f>
        <v>18.899990303769062</v>
      </c>
      <c r="G4532" s="110" t="s">
        <v>59</v>
      </c>
      <c r="H4532" s="111"/>
      <c r="I4532" s="112"/>
      <c r="J4532" s="113"/>
      <c r="K4532" s="114"/>
      <c r="L4532" s="5"/>
    </row>
    <row r="4533" spans="1:12" x14ac:dyDescent="0.25">
      <c r="A4533" s="94">
        <v>45778</v>
      </c>
      <c r="B4533" s="46" t="s">
        <v>47</v>
      </c>
      <c r="C4533" s="47"/>
      <c r="D4533" s="56">
        <v>491.02</v>
      </c>
      <c r="E4533" s="57">
        <v>9029.91</v>
      </c>
      <c r="F4533" s="44">
        <f t="shared" si="10"/>
        <v>18.390106309315303</v>
      </c>
      <c r="G4533" s="110" t="s">
        <v>61</v>
      </c>
      <c r="H4533" s="111"/>
      <c r="I4533" s="112"/>
      <c r="J4533" s="113"/>
      <c r="K4533" s="114"/>
      <c r="L4533" s="5"/>
    </row>
    <row r="4534" spans="1:12" x14ac:dyDescent="0.25">
      <c r="A4534" s="94"/>
      <c r="B4534" s="46"/>
      <c r="C4534" s="47"/>
      <c r="D4534" s="56"/>
      <c r="E4534" s="57"/>
      <c r="F4534" s="44"/>
      <c r="G4534" s="110" t="s">
        <v>51</v>
      </c>
      <c r="H4534" s="111"/>
      <c r="I4534" s="112"/>
      <c r="J4534" s="113"/>
      <c r="K4534" s="114"/>
      <c r="L4534" s="5"/>
    </row>
    <row r="4535" spans="1:12" x14ac:dyDescent="0.25">
      <c r="A4535" s="48"/>
      <c r="B4535" s="46"/>
      <c r="C4535" s="39"/>
      <c r="D4535" s="52"/>
      <c r="E4535" s="53"/>
      <c r="F4535" s="44"/>
      <c r="G4535" s="110" t="s">
        <v>58</v>
      </c>
      <c r="H4535" s="111"/>
      <c r="I4535" s="112"/>
      <c r="J4535" s="113"/>
      <c r="K4535" s="114"/>
      <c r="L4535" s="5"/>
    </row>
    <row r="4536" spans="1:12" x14ac:dyDescent="0.25">
      <c r="A4536" s="48"/>
      <c r="B4536" s="35"/>
      <c r="C4536" s="39"/>
      <c r="D4536" s="52"/>
      <c r="E4536" s="53"/>
      <c r="F4536" s="44"/>
      <c r="G4536" s="110" t="s">
        <v>51</v>
      </c>
      <c r="H4536" s="111"/>
      <c r="I4536" s="112"/>
      <c r="J4536" s="113"/>
      <c r="K4536" s="114"/>
      <c r="L4536" s="5"/>
    </row>
    <row r="4537" spans="1:12" x14ac:dyDescent="0.25">
      <c r="A4537" s="48"/>
      <c r="B4537" s="35"/>
      <c r="C4537" s="39"/>
      <c r="D4537" s="52"/>
      <c r="E4537" s="53"/>
      <c r="F4537" s="44"/>
      <c r="G4537" s="77"/>
      <c r="H4537" s="78" t="s">
        <v>69</v>
      </c>
      <c r="I4537" s="79"/>
      <c r="J4537" s="113"/>
      <c r="K4537" s="114"/>
      <c r="L4537" s="5"/>
    </row>
    <row r="4538" spans="1:12" x14ac:dyDescent="0.25">
      <c r="A4538" s="38"/>
      <c r="B4538" s="35"/>
      <c r="C4538" s="39"/>
      <c r="D4538" s="52"/>
      <c r="E4538" s="53"/>
      <c r="F4538" s="44"/>
      <c r="G4538" s="77"/>
      <c r="H4538" s="78" t="s">
        <v>72</v>
      </c>
      <c r="I4538" s="79"/>
      <c r="J4538" s="113"/>
      <c r="K4538" s="114"/>
      <c r="L4538" s="5"/>
    </row>
    <row r="4539" spans="1:12" ht="15.75" thickBot="1" x14ac:dyDescent="0.3">
      <c r="A4539" s="5"/>
      <c r="B4539" s="5"/>
      <c r="C4539" s="7" t="s">
        <v>35</v>
      </c>
      <c r="D4539" s="17">
        <f>SUM(D4531:D4538)</f>
        <v>1459.57</v>
      </c>
      <c r="E4539" s="17">
        <f>SUM(E4531:E4538)</f>
        <v>27362.62</v>
      </c>
      <c r="F4539" s="89">
        <f>AVERAGE(F4531:F4535)</f>
        <v>18.766690491064342</v>
      </c>
      <c r="G4539" s="110" t="s">
        <v>73</v>
      </c>
      <c r="H4539" s="111"/>
      <c r="I4539" s="112"/>
      <c r="J4539" s="113"/>
      <c r="K4539" s="114"/>
      <c r="L4539" s="7" t="s">
        <v>36</v>
      </c>
    </row>
    <row r="4540" spans="1:12" ht="15.75" thickBot="1" x14ac:dyDescent="0.3">
      <c r="A4540" s="5"/>
      <c r="B4540" s="5"/>
      <c r="C4540" s="5"/>
      <c r="D4540" s="5"/>
      <c r="E4540" s="5"/>
      <c r="F4540" s="5"/>
      <c r="G4540" s="130"/>
      <c r="H4540" s="131"/>
      <c r="I4540" s="132"/>
      <c r="J4540" s="133"/>
      <c r="K4540" s="134"/>
      <c r="L4540" s="18">
        <f>J4531+J4532+J4533+J4534+J4535+J4536+J4537+J4538+J4539</f>
        <v>0</v>
      </c>
    </row>
    <row r="4541" spans="1:12" ht="15.75" thickBot="1" x14ac:dyDescent="0.3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</row>
    <row r="4542" spans="1:12" ht="15.75" thickBot="1" x14ac:dyDescent="0.3">
      <c r="A4542" s="19"/>
      <c r="B4542" s="20"/>
      <c r="C4542" s="20"/>
      <c r="D4542" s="20"/>
      <c r="E4542" s="21" t="s">
        <v>13</v>
      </c>
      <c r="F4542" s="5"/>
      <c r="G4542" s="19"/>
      <c r="H4542" s="20"/>
      <c r="I4542" s="20"/>
      <c r="J4542" s="20"/>
      <c r="K4542" s="21" t="s">
        <v>13</v>
      </c>
      <c r="L4542" s="5"/>
    </row>
    <row r="4543" spans="1:12" x14ac:dyDescent="0.25">
      <c r="A4543" s="22" t="s">
        <v>31</v>
      </c>
      <c r="B4543" s="115">
        <v>19184</v>
      </c>
      <c r="C4543" s="116"/>
      <c r="D4543" s="116"/>
      <c r="E4543" s="117"/>
      <c r="F4543" s="5"/>
      <c r="G4543" s="22" t="s">
        <v>32</v>
      </c>
      <c r="H4543" s="115">
        <v>43604</v>
      </c>
      <c r="I4543" s="116"/>
      <c r="J4543" s="116"/>
      <c r="K4543" s="117"/>
      <c r="L4543" s="5"/>
    </row>
    <row r="4544" spans="1:12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</row>
    <row r="4545" spans="1:12" x14ac:dyDescent="0.25">
      <c r="A4545" s="7" t="s">
        <v>16</v>
      </c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</row>
    <row r="4546" spans="1:12" x14ac:dyDescent="0.25">
      <c r="A4546" s="9" t="s">
        <v>17</v>
      </c>
      <c r="B4546" s="23">
        <f>L4523-C4518</f>
        <v>3057</v>
      </c>
      <c r="C4546" s="5"/>
      <c r="D4546" s="106" t="s">
        <v>18</v>
      </c>
      <c r="E4546" s="107"/>
      <c r="F4546" s="24" t="s">
        <v>19</v>
      </c>
      <c r="G4546" s="9" t="s">
        <v>20</v>
      </c>
      <c r="H4546" s="118">
        <f>B4543+H4543</f>
        <v>62788</v>
      </c>
      <c r="I4546" s="119"/>
      <c r="J4546" s="60"/>
      <c r="K4546" s="5"/>
      <c r="L4546" s="5"/>
    </row>
    <row r="4547" spans="1:12" x14ac:dyDescent="0.25">
      <c r="A4547" s="9" t="s">
        <v>41</v>
      </c>
      <c r="B4547" s="40">
        <f>B4546/D4539</f>
        <v>2.0944524757291534</v>
      </c>
      <c r="C4547" s="5"/>
      <c r="D4547" s="102">
        <f>E4539</f>
        <v>27362.62</v>
      </c>
      <c r="E4547" s="103"/>
      <c r="F4547" s="25">
        <f>H4547/B4546</f>
        <v>9.9433496892378148</v>
      </c>
      <c r="G4547" s="9" t="s">
        <v>21</v>
      </c>
      <c r="H4547" s="104">
        <f>L4540+D4547+D4549+D4551+D4553+A4550</f>
        <v>30396.82</v>
      </c>
      <c r="I4547" s="105"/>
      <c r="J4547" s="5"/>
      <c r="K4547" s="5"/>
      <c r="L4547" s="5"/>
    </row>
    <row r="4548" spans="1:12" x14ac:dyDescent="0.25">
      <c r="A4548" s="9" t="s">
        <v>43</v>
      </c>
      <c r="B4548" s="23">
        <f>D4539/B4546*100</f>
        <v>47.745175008177945</v>
      </c>
      <c r="C4548" s="5"/>
      <c r="D4548" s="106" t="s">
        <v>33</v>
      </c>
      <c r="E4548" s="107"/>
      <c r="F4548" s="5"/>
      <c r="G4548" s="13" t="s">
        <v>22</v>
      </c>
      <c r="H4548" s="6"/>
      <c r="I4548" s="26">
        <f>H4546-H4547</f>
        <v>32391.18</v>
      </c>
      <c r="J4548" s="5"/>
      <c r="K4548" s="5">
        <f>137000+23895</f>
        <v>160895</v>
      </c>
      <c r="L4548" s="5"/>
    </row>
    <row r="4549" spans="1:12" x14ac:dyDescent="0.25">
      <c r="A4549" s="106" t="s">
        <v>40</v>
      </c>
      <c r="B4549" s="107"/>
      <c r="C4549" s="5"/>
      <c r="D4549" s="149">
        <v>1200</v>
      </c>
      <c r="E4549" s="150"/>
      <c r="F4549" s="5"/>
      <c r="G4549" s="5"/>
      <c r="H4549" s="5"/>
      <c r="I4549" s="5"/>
      <c r="J4549" s="5"/>
      <c r="K4549" s="5"/>
      <c r="L4549" s="5"/>
    </row>
    <row r="4550" spans="1:12" x14ac:dyDescent="0.25">
      <c r="A4550" s="108">
        <f>B4546*0.6</f>
        <v>1834.2</v>
      </c>
      <c r="B4550" s="109"/>
      <c r="C4550" s="5"/>
      <c r="D4550" s="106" t="s">
        <v>34</v>
      </c>
      <c r="E4550" s="107"/>
      <c r="F4550" s="5"/>
      <c r="G4550" s="145" t="s">
        <v>292</v>
      </c>
      <c r="H4550" s="146"/>
      <c r="I4550" s="23">
        <f>B4546/2.3</f>
        <v>1329.1304347826087</v>
      </c>
      <c r="J4550" s="60"/>
      <c r="K4550" s="5"/>
      <c r="L4550" s="5"/>
    </row>
    <row r="4551" spans="1:12" x14ac:dyDescent="0.25">
      <c r="A4551" s="5"/>
      <c r="B4551" s="5"/>
      <c r="C4551" s="5"/>
      <c r="D4551" s="108">
        <v>0</v>
      </c>
      <c r="E4551" s="109"/>
      <c r="F4551" s="5"/>
      <c r="G4551" s="145" t="s">
        <v>294</v>
      </c>
      <c r="H4551" s="146"/>
      <c r="I4551" s="23">
        <f>I4550-D4539</f>
        <v>-130.43956521739119</v>
      </c>
      <c r="J4551" s="5"/>
      <c r="K4551" s="5"/>
      <c r="L4551" s="5"/>
    </row>
    <row r="4552" spans="1:12" x14ac:dyDescent="0.25">
      <c r="A4552" s="5"/>
      <c r="B4552" s="5"/>
      <c r="C4552" s="5"/>
      <c r="D4552" s="106" t="s">
        <v>37</v>
      </c>
      <c r="E4552" s="107"/>
      <c r="F4552" s="5"/>
      <c r="G4552" s="147" t="s">
        <v>295</v>
      </c>
      <c r="H4552" s="148"/>
      <c r="I4552" s="86">
        <f>I4551*F4539</f>
        <v>-2447.9189482237825</v>
      </c>
      <c r="J4552" s="87">
        <f>I4548-I4552</f>
        <v>34839.098948223786</v>
      </c>
      <c r="K4552" s="5"/>
      <c r="L4552" s="5"/>
    </row>
    <row r="4553" spans="1:12" x14ac:dyDescent="0.25">
      <c r="A4553" s="5"/>
      <c r="B4553" s="5"/>
      <c r="C4553" s="5"/>
      <c r="D4553" s="108">
        <v>0</v>
      </c>
      <c r="E4553" s="109"/>
      <c r="F4553" s="5" t="s">
        <v>78</v>
      </c>
      <c r="G4553" s="5"/>
      <c r="H4553" s="5"/>
      <c r="I4553" s="5"/>
      <c r="J4553" s="88" t="s">
        <v>293</v>
      </c>
      <c r="K4553" s="44"/>
      <c r="L4553" s="5"/>
    </row>
    <row r="4555" spans="1:12" s="49" customFormat="1" x14ac:dyDescent="0.25"/>
    <row r="4558" spans="1:12" x14ac:dyDescent="0.25">
      <c r="A4558" s="120" t="s">
        <v>24</v>
      </c>
      <c r="B4558" s="120"/>
      <c r="C4558" s="120"/>
      <c r="D4558" s="120"/>
      <c r="E4558" s="120"/>
      <c r="F4558" s="120"/>
      <c r="G4558" s="120"/>
      <c r="H4558" s="120"/>
      <c r="I4558" s="120"/>
      <c r="J4558" s="120"/>
      <c r="K4558" s="120"/>
      <c r="L4558" s="120"/>
    </row>
    <row r="4559" spans="1:12" x14ac:dyDescent="0.25">
      <c r="A4559" s="120"/>
      <c r="B4559" s="120"/>
      <c r="C4559" s="120"/>
      <c r="D4559" s="120"/>
      <c r="E4559" s="120"/>
      <c r="F4559" s="120"/>
      <c r="G4559" s="120"/>
      <c r="H4559" s="120"/>
      <c r="I4559" s="120"/>
      <c r="J4559" s="120"/>
      <c r="K4559" s="120"/>
      <c r="L4559" s="120"/>
    </row>
    <row r="4560" spans="1:12" x14ac:dyDescent="0.25">
      <c r="A4560" s="1" t="s">
        <v>4</v>
      </c>
      <c r="B4560" s="2"/>
      <c r="C4560" s="90"/>
      <c r="D4560" s="2"/>
      <c r="E4560" s="2"/>
      <c r="F4560" s="2"/>
      <c r="G4560" s="3" t="s">
        <v>5</v>
      </c>
      <c r="H4560" s="3" t="s">
        <v>6</v>
      </c>
      <c r="I4560" s="4" t="s">
        <v>7</v>
      </c>
      <c r="J4560" s="5"/>
      <c r="K4560" s="5"/>
      <c r="L4560" s="5"/>
    </row>
    <row r="4561" spans="1:12" x14ac:dyDescent="0.25">
      <c r="A4561" s="91" t="s">
        <v>549</v>
      </c>
      <c r="B4561" s="92" t="s">
        <v>42</v>
      </c>
      <c r="C4561" s="64"/>
      <c r="D4561" s="66"/>
      <c r="E4561" s="2"/>
      <c r="F4561" s="2"/>
      <c r="G4561" s="91" t="s">
        <v>299</v>
      </c>
      <c r="H4561" s="66"/>
      <c r="I4561" s="33"/>
      <c r="J4561" s="6"/>
      <c r="K4561" s="33"/>
      <c r="L4561" s="6"/>
    </row>
    <row r="4562" spans="1:12" x14ac:dyDescent="0.25">
      <c r="A4562" s="7" t="s">
        <v>2</v>
      </c>
      <c r="B4562" s="5"/>
      <c r="C4562" s="5"/>
      <c r="D4562" s="5"/>
      <c r="E4562" s="5"/>
      <c r="F4562" s="5"/>
      <c r="G4562" s="8" t="s">
        <v>8</v>
      </c>
      <c r="H4562" s="93">
        <v>3</v>
      </c>
      <c r="I4562" s="5"/>
      <c r="J4562" s="5"/>
      <c r="K4562" s="5"/>
      <c r="L4562" s="5"/>
    </row>
    <row r="4563" spans="1:12" x14ac:dyDescent="0.25">
      <c r="A4563" s="7" t="s">
        <v>25</v>
      </c>
      <c r="B4563" s="5"/>
      <c r="C4563" s="7" t="s">
        <v>0</v>
      </c>
      <c r="D4563" s="5"/>
      <c r="E4563" s="5"/>
      <c r="F4563" s="5"/>
      <c r="G4563" s="7" t="s">
        <v>25</v>
      </c>
      <c r="H4563" s="5"/>
      <c r="I4563" s="7" t="s">
        <v>0</v>
      </c>
      <c r="J4563" s="5"/>
      <c r="K4563" s="5"/>
      <c r="L4563" s="5"/>
    </row>
    <row r="4564" spans="1:12" x14ac:dyDescent="0.25">
      <c r="A4564" s="42">
        <v>46143</v>
      </c>
      <c r="B4564" s="6"/>
      <c r="C4564" s="31">
        <f>L4523</f>
        <v>1105319</v>
      </c>
      <c r="D4564" s="5"/>
      <c r="E4564" s="5"/>
      <c r="F4564" s="5"/>
      <c r="G4564" s="42"/>
      <c r="H4564" s="6"/>
      <c r="I4564" s="9"/>
      <c r="J4564" s="5"/>
      <c r="K4564" s="5"/>
      <c r="L4564" s="5"/>
    </row>
    <row r="4565" spans="1:12" ht="16.5" thickBot="1" x14ac:dyDescent="0.3">
      <c r="A4565" s="7"/>
      <c r="B4565" s="62"/>
      <c r="C4565" s="62"/>
      <c r="D4565" s="62"/>
      <c r="E4565" s="5"/>
      <c r="F4565" s="5"/>
      <c r="G4565" s="10"/>
      <c r="H4565" s="5"/>
      <c r="I4565" s="5"/>
      <c r="J4565" s="5"/>
      <c r="K4565" s="5"/>
      <c r="L4565" s="5"/>
    </row>
    <row r="4566" spans="1:12" ht="15.75" thickBot="1" x14ac:dyDescent="0.3">
      <c r="A4566" s="121" t="s">
        <v>9</v>
      </c>
      <c r="B4566" s="122"/>
      <c r="C4566" s="123"/>
      <c r="D4566" s="5"/>
      <c r="E4566" s="5"/>
      <c r="F4566" s="5"/>
      <c r="G4566" s="121" t="s">
        <v>26</v>
      </c>
      <c r="H4566" s="122"/>
      <c r="I4566" s="123"/>
      <c r="J4566" s="5"/>
      <c r="K4566" s="5"/>
      <c r="L4566" s="5"/>
    </row>
    <row r="4567" spans="1:12" x14ac:dyDescent="0.25">
      <c r="A4567" s="30" t="s">
        <v>38</v>
      </c>
      <c r="B4567" s="11"/>
      <c r="C4567" s="11"/>
      <c r="D4567" s="11"/>
      <c r="E4567" s="6"/>
      <c r="F4567" s="5"/>
      <c r="G4567" s="30" t="str">
        <f>A4570</f>
        <v>Cape Town</v>
      </c>
      <c r="H4567" s="11"/>
      <c r="I4567" s="11"/>
      <c r="J4567" s="11"/>
      <c r="K4567" s="11"/>
      <c r="L4567" s="6"/>
    </row>
    <row r="4568" spans="1:12" ht="15.75" thickBot="1" x14ac:dyDescent="0.3">
      <c r="A4568" s="7"/>
      <c r="B4568" s="7"/>
      <c r="C4568" s="7"/>
      <c r="D4568" s="5"/>
      <c r="E4568" s="5"/>
      <c r="F4568" s="5"/>
      <c r="G4568" s="7"/>
      <c r="H4568" s="7"/>
      <c r="I4568" s="7"/>
      <c r="J4568" s="5"/>
      <c r="K4568" s="5"/>
      <c r="L4568" s="5"/>
    </row>
    <row r="4569" spans="1:12" ht="15.75" thickBot="1" x14ac:dyDescent="0.3">
      <c r="A4569" s="121"/>
      <c r="B4569" s="122"/>
      <c r="C4569" s="124"/>
      <c r="D4569" s="12" t="s">
        <v>1</v>
      </c>
      <c r="E4569" s="32"/>
      <c r="F4569" s="5"/>
      <c r="G4569" s="121" t="s">
        <v>27</v>
      </c>
      <c r="H4569" s="122"/>
      <c r="I4569" s="123"/>
      <c r="J4569" s="5"/>
      <c r="K4569" s="12" t="s">
        <v>1</v>
      </c>
      <c r="L4569" s="32">
        <v>1108564</v>
      </c>
    </row>
    <row r="4570" spans="1:12" x14ac:dyDescent="0.25">
      <c r="A4570" s="30" t="s">
        <v>65</v>
      </c>
      <c r="B4570" s="11"/>
      <c r="C4570" s="11"/>
      <c r="D4570" s="11"/>
      <c r="E4570" s="6"/>
      <c r="F4570" s="5"/>
      <c r="G4570" s="30" t="s">
        <v>364</v>
      </c>
      <c r="H4570" s="11"/>
      <c r="I4570" s="11"/>
      <c r="J4570" s="11"/>
      <c r="K4570" s="11"/>
      <c r="L4570" s="6"/>
    </row>
    <row r="4571" spans="1:12" x14ac:dyDescent="0.25">
      <c r="A4571" s="76" t="s">
        <v>568</v>
      </c>
      <c r="B4571" s="11"/>
      <c r="C4571" s="11"/>
      <c r="D4571" s="11"/>
      <c r="E4571" s="6"/>
      <c r="F4571" s="5"/>
      <c r="G4571" s="34"/>
      <c r="H4571" s="11"/>
      <c r="I4571" s="11"/>
      <c r="J4571" s="11"/>
      <c r="K4571" s="11"/>
      <c r="L4571" s="6"/>
    </row>
    <row r="4572" spans="1:12" x14ac:dyDescent="0.25">
      <c r="A4572" s="13" t="s">
        <v>587</v>
      </c>
      <c r="B4572" s="11"/>
      <c r="C4572" s="11"/>
      <c r="D4572" s="11"/>
      <c r="E4572" s="6"/>
      <c r="F4572" s="5"/>
      <c r="G4572" s="13"/>
      <c r="H4572" s="11"/>
      <c r="I4572" s="11"/>
      <c r="J4572" s="11"/>
      <c r="K4572" s="11"/>
      <c r="L4572" s="6"/>
    </row>
    <row r="4573" spans="1:12" x14ac:dyDescent="0.25">
      <c r="A4573" s="13"/>
      <c r="B4573" s="11"/>
      <c r="C4573" s="11"/>
      <c r="D4573" s="11"/>
      <c r="E4573" s="6"/>
      <c r="F4573" s="5"/>
      <c r="G4573" s="13"/>
      <c r="H4573" s="11"/>
      <c r="I4573" s="11"/>
      <c r="J4573" s="11"/>
      <c r="K4573" s="11"/>
      <c r="L4573" s="6"/>
    </row>
    <row r="4574" spans="1:12" ht="15.75" thickBot="1" x14ac:dyDescent="0.3">
      <c r="A4574" s="13"/>
      <c r="B4574" s="11"/>
      <c r="C4574" s="11" t="s">
        <v>29</v>
      </c>
      <c r="D4574" s="43"/>
      <c r="E4574" s="6"/>
      <c r="F4574" s="5"/>
      <c r="G4574" s="13"/>
      <c r="H4574" s="11"/>
      <c r="I4574" s="14" t="s">
        <v>28</v>
      </c>
      <c r="J4574" s="43"/>
      <c r="K4574" s="59"/>
      <c r="L4574" s="6"/>
    </row>
    <row r="4575" spans="1:12" ht="15.75" thickBot="1" x14ac:dyDescent="0.3">
      <c r="A4575" s="15" t="s">
        <v>10</v>
      </c>
      <c r="B4575" s="5"/>
      <c r="C4575" s="5"/>
      <c r="D4575" s="5">
        <v>665.64</v>
      </c>
      <c r="E4575" s="5"/>
      <c r="F4575" s="5"/>
      <c r="G4575" s="15" t="s">
        <v>14</v>
      </c>
      <c r="H4575" s="5"/>
      <c r="I4575" s="5"/>
      <c r="J4575" s="5"/>
      <c r="K4575" s="5"/>
      <c r="L4575" s="5"/>
    </row>
    <row r="4576" spans="1:12" ht="15.75" thickBot="1" x14ac:dyDescent="0.3">
      <c r="A4576" s="121" t="s">
        <v>11</v>
      </c>
      <c r="B4576" s="122"/>
      <c r="C4576" s="123"/>
      <c r="D4576" s="16" t="s">
        <v>12</v>
      </c>
      <c r="E4576" s="16" t="s">
        <v>13</v>
      </c>
      <c r="F4576" s="5"/>
      <c r="G4576" s="121" t="s">
        <v>15</v>
      </c>
      <c r="H4576" s="122"/>
      <c r="I4576" s="123"/>
      <c r="J4576" s="121"/>
      <c r="K4576" s="123"/>
      <c r="L4576" s="5"/>
    </row>
    <row r="4577" spans="1:12" x14ac:dyDescent="0.25">
      <c r="A4577" s="94">
        <v>46174</v>
      </c>
      <c r="B4577" s="46" t="s">
        <v>66</v>
      </c>
      <c r="C4577" s="47"/>
      <c r="D4577" s="56">
        <v>240</v>
      </c>
      <c r="E4577" s="57">
        <v>4562.3999999999996</v>
      </c>
      <c r="F4577" s="44">
        <f>E4577/D4577</f>
        <v>19.009999999999998</v>
      </c>
      <c r="G4577" s="125" t="s">
        <v>69</v>
      </c>
      <c r="H4577" s="126"/>
      <c r="I4577" s="127"/>
      <c r="J4577" s="128"/>
      <c r="K4577" s="129"/>
      <c r="L4577" s="5"/>
    </row>
    <row r="4578" spans="1:12" x14ac:dyDescent="0.25">
      <c r="A4578" s="94">
        <v>46235</v>
      </c>
      <c r="B4578" s="46" t="s">
        <v>66</v>
      </c>
      <c r="C4578" s="47"/>
      <c r="D4578" s="56">
        <v>706.93</v>
      </c>
      <c r="E4578" s="57">
        <v>13438.73</v>
      </c>
      <c r="F4578" s="44">
        <f t="shared" ref="F4578:F4579" si="11">E4578/D4578</f>
        <v>19.009986844524917</v>
      </c>
      <c r="G4578" s="110" t="s">
        <v>59</v>
      </c>
      <c r="H4578" s="111"/>
      <c r="I4578" s="112"/>
      <c r="J4578" s="113"/>
      <c r="K4578" s="114"/>
      <c r="L4578" s="5"/>
    </row>
    <row r="4579" spans="1:12" x14ac:dyDescent="0.25">
      <c r="A4579" s="94" t="s">
        <v>586</v>
      </c>
      <c r="B4579" s="46" t="s">
        <v>47</v>
      </c>
      <c r="C4579" s="47"/>
      <c r="D4579" s="56">
        <v>434.31</v>
      </c>
      <c r="E4579" s="57">
        <v>7986.96</v>
      </c>
      <c r="F4579" s="44">
        <f t="shared" si="11"/>
        <v>18.389997927747462</v>
      </c>
      <c r="G4579" s="110" t="s">
        <v>61</v>
      </c>
      <c r="H4579" s="111"/>
      <c r="I4579" s="112"/>
      <c r="J4579" s="113"/>
      <c r="K4579" s="114"/>
      <c r="L4579" s="5"/>
    </row>
    <row r="4580" spans="1:12" x14ac:dyDescent="0.25">
      <c r="A4580" s="94"/>
      <c r="B4580" s="46"/>
      <c r="C4580" s="47"/>
      <c r="D4580" s="56"/>
      <c r="E4580" s="57"/>
      <c r="F4580" s="44"/>
      <c r="G4580" s="110" t="s">
        <v>51</v>
      </c>
      <c r="H4580" s="111"/>
      <c r="I4580" s="112"/>
      <c r="J4580" s="113"/>
      <c r="K4580" s="114"/>
      <c r="L4580" s="5"/>
    </row>
    <row r="4581" spans="1:12" x14ac:dyDescent="0.25">
      <c r="A4581" s="48"/>
      <c r="B4581" s="46"/>
      <c r="C4581" s="39"/>
      <c r="D4581" s="52"/>
      <c r="E4581" s="53"/>
      <c r="F4581" s="44"/>
      <c r="G4581" s="110" t="s">
        <v>58</v>
      </c>
      <c r="H4581" s="111"/>
      <c r="I4581" s="112"/>
      <c r="J4581" s="113"/>
      <c r="K4581" s="114"/>
      <c r="L4581" s="5"/>
    </row>
    <row r="4582" spans="1:12" x14ac:dyDescent="0.25">
      <c r="A4582" s="48"/>
      <c r="B4582" s="35"/>
      <c r="C4582" s="39"/>
      <c r="D4582" s="52"/>
      <c r="E4582" s="53"/>
      <c r="F4582" s="44"/>
      <c r="G4582" s="110" t="s">
        <v>51</v>
      </c>
      <c r="H4582" s="111"/>
      <c r="I4582" s="112"/>
      <c r="J4582" s="113"/>
      <c r="K4582" s="114"/>
      <c r="L4582" s="5"/>
    </row>
    <row r="4583" spans="1:12" x14ac:dyDescent="0.25">
      <c r="A4583" s="48"/>
      <c r="B4583" s="35"/>
      <c r="C4583" s="39"/>
      <c r="D4583" s="52"/>
      <c r="E4583" s="53"/>
      <c r="F4583" s="44"/>
      <c r="G4583" s="77"/>
      <c r="H4583" s="78" t="s">
        <v>69</v>
      </c>
      <c r="I4583" s="79"/>
      <c r="J4583" s="113"/>
      <c r="K4583" s="114"/>
      <c r="L4583" s="5"/>
    </row>
    <row r="4584" spans="1:12" x14ac:dyDescent="0.25">
      <c r="A4584" s="38"/>
      <c r="B4584" s="35"/>
      <c r="C4584" s="39"/>
      <c r="D4584" s="52"/>
      <c r="E4584" s="53"/>
      <c r="F4584" s="44"/>
      <c r="G4584" s="77"/>
      <c r="H4584" s="78" t="s">
        <v>72</v>
      </c>
      <c r="I4584" s="79"/>
      <c r="J4584" s="113"/>
      <c r="K4584" s="114"/>
      <c r="L4584" s="5"/>
    </row>
    <row r="4585" spans="1:12" ht="15.75" thickBot="1" x14ac:dyDescent="0.3">
      <c r="A4585" s="5"/>
      <c r="B4585" s="5"/>
      <c r="C4585" s="7" t="s">
        <v>35</v>
      </c>
      <c r="D4585" s="17">
        <f>SUM(D4577:D4584)</f>
        <v>1381.24</v>
      </c>
      <c r="E4585" s="17">
        <f>SUM(E4577:E4584)</f>
        <v>25988.089999999997</v>
      </c>
      <c r="F4585" s="89">
        <f>AVERAGE(F4577:F4581)</f>
        <v>18.803328257424127</v>
      </c>
      <c r="G4585" s="110" t="s">
        <v>73</v>
      </c>
      <c r="H4585" s="111"/>
      <c r="I4585" s="112"/>
      <c r="J4585" s="113"/>
      <c r="K4585" s="114"/>
      <c r="L4585" s="7" t="s">
        <v>36</v>
      </c>
    </row>
    <row r="4586" spans="1:12" ht="15.75" thickBot="1" x14ac:dyDescent="0.3">
      <c r="A4586" s="5"/>
      <c r="B4586" s="5"/>
      <c r="C4586" s="5"/>
      <c r="D4586" s="5"/>
      <c r="E4586" s="5"/>
      <c r="F4586" s="5"/>
      <c r="G4586" s="130"/>
      <c r="H4586" s="131"/>
      <c r="I4586" s="132"/>
      <c r="J4586" s="133"/>
      <c r="K4586" s="134"/>
      <c r="L4586" s="18">
        <f>J4577+J4578+J4579+J4580+J4581+J4582+J4583+J4584+J4585</f>
        <v>0</v>
      </c>
    </row>
    <row r="4587" spans="1:12" ht="15.75" thickBot="1" x14ac:dyDescent="0.3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</row>
    <row r="4588" spans="1:12" ht="15.75" thickBot="1" x14ac:dyDescent="0.3">
      <c r="A4588" s="19"/>
      <c r="B4588" s="20"/>
      <c r="C4588" s="20"/>
      <c r="D4588" s="20"/>
      <c r="E4588" s="21" t="s">
        <v>13</v>
      </c>
      <c r="F4588" s="5"/>
      <c r="G4588" s="19"/>
      <c r="H4588" s="20"/>
      <c r="I4588" s="20"/>
      <c r="J4588" s="20"/>
      <c r="K4588" s="21" t="s">
        <v>13</v>
      </c>
      <c r="L4588" s="5"/>
    </row>
    <row r="4589" spans="1:12" x14ac:dyDescent="0.25">
      <c r="A4589" s="22" t="s">
        <v>31</v>
      </c>
      <c r="B4589" s="115">
        <v>19184</v>
      </c>
      <c r="C4589" s="116"/>
      <c r="D4589" s="116"/>
      <c r="E4589" s="117"/>
      <c r="F4589" s="5"/>
      <c r="G4589" s="22" t="s">
        <v>32</v>
      </c>
      <c r="H4589" s="115">
        <f>43604+4500</f>
        <v>48104</v>
      </c>
      <c r="I4589" s="116"/>
      <c r="J4589" s="116"/>
      <c r="K4589" s="117"/>
      <c r="L4589" s="5"/>
    </row>
    <row r="4590" spans="1:12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</row>
    <row r="4591" spans="1:12" x14ac:dyDescent="0.25">
      <c r="A4591" s="7" t="s">
        <v>16</v>
      </c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</row>
    <row r="4592" spans="1:12" x14ac:dyDescent="0.25">
      <c r="A4592" s="9" t="s">
        <v>17</v>
      </c>
      <c r="B4592" s="23">
        <f>L4569-C4564</f>
        <v>3245</v>
      </c>
      <c r="C4592" s="5"/>
      <c r="D4592" s="106" t="s">
        <v>18</v>
      </c>
      <c r="E4592" s="107"/>
      <c r="F4592" s="24" t="s">
        <v>19</v>
      </c>
      <c r="G4592" s="9" t="s">
        <v>20</v>
      </c>
      <c r="H4592" s="118">
        <f>B4589+H4589</f>
        <v>67288</v>
      </c>
      <c r="I4592" s="119"/>
      <c r="J4592" s="60"/>
      <c r="K4592" s="5"/>
      <c r="L4592" s="5"/>
    </row>
    <row r="4593" spans="1:12" x14ac:dyDescent="0.25">
      <c r="A4593" s="9" t="s">
        <v>41</v>
      </c>
      <c r="B4593" s="40">
        <f>B4592/D4585</f>
        <v>2.3493382757522228</v>
      </c>
      <c r="C4593" s="5"/>
      <c r="D4593" s="102">
        <f>E4585</f>
        <v>25988.089999999997</v>
      </c>
      <c r="E4593" s="103"/>
      <c r="F4593" s="25">
        <f>H4593/B4592</f>
        <v>8.9784560862865934</v>
      </c>
      <c r="G4593" s="9" t="s">
        <v>21</v>
      </c>
      <c r="H4593" s="104">
        <f>L4586+D4593+D4595+D4597+D4599+A4596</f>
        <v>29135.089999999997</v>
      </c>
      <c r="I4593" s="105"/>
      <c r="J4593" s="5"/>
      <c r="K4593" s="5"/>
      <c r="L4593" s="5"/>
    </row>
    <row r="4594" spans="1:12" x14ac:dyDescent="0.25">
      <c r="A4594" s="9" t="s">
        <v>43</v>
      </c>
      <c r="B4594" s="23">
        <f>D4585/B4592*100</f>
        <v>42.565177195685671</v>
      </c>
      <c r="C4594" s="5"/>
      <c r="D4594" s="106" t="s">
        <v>33</v>
      </c>
      <c r="E4594" s="107"/>
      <c r="F4594" s="5"/>
      <c r="G4594" s="13" t="s">
        <v>22</v>
      </c>
      <c r="H4594" s="6"/>
      <c r="I4594" s="26">
        <f>H4592-H4593</f>
        <v>38152.910000000003</v>
      </c>
      <c r="J4594" s="5"/>
      <c r="K4594" s="5">
        <f>137000+23895</f>
        <v>160895</v>
      </c>
      <c r="L4594" s="5"/>
    </row>
    <row r="4595" spans="1:12" x14ac:dyDescent="0.25">
      <c r="A4595" s="106" t="s">
        <v>40</v>
      </c>
      <c r="B4595" s="107"/>
      <c r="C4595" s="5"/>
      <c r="D4595" s="149">
        <v>1200</v>
      </c>
      <c r="E4595" s="150"/>
      <c r="F4595" s="5"/>
      <c r="G4595" s="5"/>
      <c r="H4595" s="5"/>
      <c r="I4595" s="5"/>
      <c r="J4595" s="5"/>
      <c r="K4595" s="5"/>
      <c r="L4595" s="5"/>
    </row>
    <row r="4596" spans="1:12" x14ac:dyDescent="0.25">
      <c r="A4596" s="108">
        <f>B4592*0.6</f>
        <v>1947</v>
      </c>
      <c r="B4596" s="109"/>
      <c r="C4596" s="5"/>
      <c r="D4596" s="106" t="s">
        <v>34</v>
      </c>
      <c r="E4596" s="107"/>
      <c r="F4596" s="5"/>
      <c r="G4596" s="145" t="s">
        <v>292</v>
      </c>
      <c r="H4596" s="146"/>
      <c r="I4596" s="23">
        <f>B4592/2.3</f>
        <v>1410.8695652173915</v>
      </c>
      <c r="J4596" s="60"/>
      <c r="K4596" s="5"/>
      <c r="L4596" s="5"/>
    </row>
    <row r="4597" spans="1:12" x14ac:dyDescent="0.25">
      <c r="A4597" s="5"/>
      <c r="B4597" s="5"/>
      <c r="C4597" s="5"/>
      <c r="D4597" s="108">
        <v>0</v>
      </c>
      <c r="E4597" s="109"/>
      <c r="F4597" s="5"/>
      <c r="G4597" s="145" t="s">
        <v>294</v>
      </c>
      <c r="H4597" s="146"/>
      <c r="I4597" s="23">
        <f>I4596-D4585</f>
        <v>29.629565217391473</v>
      </c>
      <c r="J4597" s="5"/>
      <c r="K4597" s="5"/>
      <c r="L4597" s="5"/>
    </row>
    <row r="4598" spans="1:12" x14ac:dyDescent="0.25">
      <c r="A4598" s="5"/>
      <c r="B4598" s="5"/>
      <c r="C4598" s="5"/>
      <c r="D4598" s="106" t="s">
        <v>37</v>
      </c>
      <c r="E4598" s="107"/>
      <c r="F4598" s="5"/>
      <c r="G4598" s="147" t="s">
        <v>295</v>
      </c>
      <c r="H4598" s="148"/>
      <c r="I4598" s="86">
        <f>I4597*F4585</f>
        <v>557.13444090736812</v>
      </c>
      <c r="J4598" s="87">
        <f>I4594-I4598</f>
        <v>37595.775559092639</v>
      </c>
      <c r="K4598" s="5"/>
      <c r="L4598" s="5"/>
    </row>
    <row r="4599" spans="1:12" x14ac:dyDescent="0.25">
      <c r="A4599" s="5"/>
      <c r="B4599" s="5"/>
      <c r="C4599" s="5"/>
      <c r="D4599" s="108">
        <v>0</v>
      </c>
      <c r="E4599" s="109"/>
      <c r="F4599" s="5" t="s">
        <v>78</v>
      </c>
      <c r="G4599" s="5"/>
      <c r="H4599" s="5"/>
      <c r="I4599" s="5"/>
      <c r="J4599" s="88" t="s">
        <v>293</v>
      </c>
      <c r="K4599" s="44"/>
      <c r="L4599" s="5"/>
    </row>
    <row r="4601" spans="1:12" s="49" customFormat="1" x14ac:dyDescent="0.25"/>
    <row r="4604" spans="1:12" x14ac:dyDescent="0.25">
      <c r="A4604" s="120" t="s">
        <v>24</v>
      </c>
      <c r="B4604" s="120"/>
      <c r="C4604" s="120"/>
      <c r="D4604" s="120"/>
      <c r="E4604" s="120"/>
      <c r="F4604" s="120"/>
      <c r="G4604" s="120"/>
      <c r="H4604" s="120"/>
      <c r="I4604" s="120"/>
      <c r="J4604" s="120"/>
      <c r="K4604" s="120"/>
      <c r="L4604" s="120"/>
    </row>
    <row r="4605" spans="1:12" x14ac:dyDescent="0.25">
      <c r="A4605" s="120"/>
      <c r="B4605" s="120"/>
      <c r="C4605" s="120"/>
      <c r="D4605" s="120"/>
      <c r="E4605" s="120"/>
      <c r="F4605" s="120"/>
      <c r="G4605" s="120"/>
      <c r="H4605" s="120"/>
      <c r="I4605" s="120"/>
      <c r="J4605" s="120"/>
      <c r="K4605" s="120"/>
      <c r="L4605" s="120"/>
    </row>
    <row r="4606" spans="1:12" x14ac:dyDescent="0.25">
      <c r="A4606" s="1" t="s">
        <v>4</v>
      </c>
      <c r="B4606" s="2"/>
      <c r="C4606" s="90"/>
      <c r="D4606" s="2"/>
      <c r="E4606" s="2"/>
      <c r="F4606" s="2"/>
      <c r="G4606" s="3" t="s">
        <v>5</v>
      </c>
      <c r="H4606" s="3" t="s">
        <v>6</v>
      </c>
      <c r="I4606" s="4" t="s">
        <v>7</v>
      </c>
      <c r="J4606" s="5"/>
      <c r="K4606" s="5"/>
      <c r="L4606" s="5"/>
    </row>
    <row r="4607" spans="1:12" x14ac:dyDescent="0.25">
      <c r="A4607" s="91" t="s">
        <v>549</v>
      </c>
      <c r="B4607" s="92" t="s">
        <v>42</v>
      </c>
      <c r="C4607" s="64"/>
      <c r="D4607" s="66"/>
      <c r="E4607" s="2"/>
      <c r="F4607" s="2"/>
      <c r="G4607" s="91" t="s">
        <v>299</v>
      </c>
      <c r="H4607" s="66"/>
      <c r="I4607" s="33"/>
      <c r="J4607" s="6"/>
      <c r="K4607" s="33"/>
      <c r="L4607" s="6"/>
    </row>
    <row r="4608" spans="1:12" x14ac:dyDescent="0.25">
      <c r="A4608" s="7" t="s">
        <v>2</v>
      </c>
      <c r="B4608" s="5"/>
      <c r="C4608" s="5"/>
      <c r="D4608" s="5"/>
      <c r="E4608" s="5"/>
      <c r="F4608" s="5"/>
      <c r="G4608" s="8" t="s">
        <v>8</v>
      </c>
      <c r="H4608" s="93">
        <v>3</v>
      </c>
      <c r="I4608" s="5"/>
      <c r="J4608" s="5"/>
      <c r="K4608" s="5"/>
      <c r="L4608" s="5"/>
    </row>
    <row r="4609" spans="1:12" x14ac:dyDescent="0.25">
      <c r="A4609" s="7" t="s">
        <v>25</v>
      </c>
      <c r="B4609" s="5"/>
      <c r="C4609" s="7" t="s">
        <v>0</v>
      </c>
      <c r="D4609" s="5"/>
      <c r="E4609" s="5"/>
      <c r="F4609" s="5"/>
      <c r="G4609" s="7" t="s">
        <v>25</v>
      </c>
      <c r="H4609" s="5"/>
      <c r="I4609" s="7" t="s">
        <v>0</v>
      </c>
      <c r="J4609" s="5"/>
      <c r="K4609" s="5"/>
      <c r="L4609" s="5"/>
    </row>
    <row r="4610" spans="1:12" x14ac:dyDescent="0.25">
      <c r="A4610" s="42" t="s">
        <v>586</v>
      </c>
      <c r="B4610" s="6"/>
      <c r="C4610" s="31">
        <f>L4569</f>
        <v>1108564</v>
      </c>
      <c r="D4610" s="5"/>
      <c r="E4610" s="5"/>
      <c r="F4610" s="5"/>
      <c r="G4610" s="42"/>
      <c r="H4610" s="6"/>
      <c r="I4610" s="9"/>
      <c r="J4610" s="5"/>
      <c r="K4610" s="5"/>
      <c r="L4610" s="5"/>
    </row>
    <row r="4611" spans="1:12" ht="16.5" thickBot="1" x14ac:dyDescent="0.3">
      <c r="A4611" s="7"/>
      <c r="B4611" s="62"/>
      <c r="C4611" s="62"/>
      <c r="D4611" s="62"/>
      <c r="E4611" s="5"/>
      <c r="F4611" s="5"/>
      <c r="G4611" s="10"/>
      <c r="H4611" s="5"/>
      <c r="I4611" s="5"/>
      <c r="J4611" s="5"/>
      <c r="K4611" s="5"/>
      <c r="L4611" s="5"/>
    </row>
    <row r="4612" spans="1:12" ht="15.75" thickBot="1" x14ac:dyDescent="0.3">
      <c r="A4612" s="121" t="s">
        <v>9</v>
      </c>
      <c r="B4612" s="122"/>
      <c r="C4612" s="123"/>
      <c r="D4612" s="5"/>
      <c r="E4612" s="5"/>
      <c r="F4612" s="5"/>
      <c r="G4612" s="121" t="s">
        <v>26</v>
      </c>
      <c r="H4612" s="122"/>
      <c r="I4612" s="123"/>
      <c r="J4612" s="5"/>
      <c r="K4612" s="5"/>
      <c r="L4612" s="5"/>
    </row>
    <row r="4613" spans="1:12" x14ac:dyDescent="0.25">
      <c r="A4613" s="30" t="s">
        <v>38</v>
      </c>
      <c r="B4613" s="11"/>
      <c r="C4613" s="11"/>
      <c r="D4613" s="11"/>
      <c r="E4613" s="6"/>
      <c r="F4613" s="5"/>
      <c r="G4613" s="30" t="str">
        <f>A4616</f>
        <v>Cape Town</v>
      </c>
      <c r="H4613" s="11"/>
      <c r="I4613" s="11"/>
      <c r="J4613" s="11"/>
      <c r="K4613" s="11"/>
      <c r="L4613" s="6"/>
    </row>
    <row r="4614" spans="1:12" ht="15.75" thickBot="1" x14ac:dyDescent="0.3">
      <c r="A4614" s="7"/>
      <c r="B4614" s="7"/>
      <c r="C4614" s="7"/>
      <c r="D4614" s="5"/>
      <c r="E4614" s="5"/>
      <c r="F4614" s="5"/>
      <c r="G4614" s="7"/>
      <c r="H4614" s="7"/>
      <c r="I4614" s="7"/>
      <c r="J4614" s="5"/>
      <c r="K4614" s="5"/>
      <c r="L4614" s="5"/>
    </row>
    <row r="4615" spans="1:12" ht="15.75" thickBot="1" x14ac:dyDescent="0.3">
      <c r="A4615" s="121"/>
      <c r="B4615" s="122"/>
      <c r="C4615" s="124"/>
      <c r="D4615" s="12" t="s">
        <v>1</v>
      </c>
      <c r="E4615" s="32"/>
      <c r="F4615" s="5"/>
      <c r="G4615" s="121" t="s">
        <v>27</v>
      </c>
      <c r="H4615" s="122"/>
      <c r="I4615" s="123"/>
      <c r="J4615" s="5"/>
      <c r="K4615" s="12" t="s">
        <v>1</v>
      </c>
      <c r="L4615" s="32">
        <v>1111664</v>
      </c>
    </row>
    <row r="4616" spans="1:12" x14ac:dyDescent="0.25">
      <c r="A4616" s="30" t="s">
        <v>65</v>
      </c>
      <c r="B4616" s="11"/>
      <c r="C4616" s="11"/>
      <c r="D4616" s="11"/>
      <c r="E4616" s="6"/>
      <c r="F4616" s="5"/>
      <c r="G4616" s="30" t="s">
        <v>364</v>
      </c>
      <c r="H4616" s="11"/>
      <c r="I4616" s="11"/>
      <c r="J4616" s="11"/>
      <c r="K4616" s="11"/>
      <c r="L4616" s="6"/>
    </row>
    <row r="4617" spans="1:12" x14ac:dyDescent="0.25">
      <c r="A4617" s="76" t="s">
        <v>568</v>
      </c>
      <c r="B4617" s="11"/>
      <c r="C4617" s="11"/>
      <c r="D4617" s="11"/>
      <c r="E4617" s="6"/>
      <c r="F4617" s="5"/>
      <c r="G4617" s="34"/>
      <c r="H4617" s="11"/>
      <c r="I4617" s="11"/>
      <c r="J4617" s="11"/>
      <c r="K4617" s="11"/>
      <c r="L4617" s="6"/>
    </row>
    <row r="4618" spans="1:12" x14ac:dyDescent="0.25">
      <c r="A4618" s="13"/>
      <c r="B4618" s="11"/>
      <c r="C4618" s="11"/>
      <c r="D4618" s="11"/>
      <c r="E4618" s="6"/>
      <c r="F4618" s="5"/>
      <c r="G4618" s="13"/>
      <c r="H4618" s="11"/>
      <c r="I4618" s="11"/>
      <c r="J4618" s="11"/>
      <c r="K4618" s="11"/>
      <c r="L4618" s="6"/>
    </row>
    <row r="4619" spans="1:12" x14ac:dyDescent="0.25">
      <c r="A4619" s="13"/>
      <c r="B4619" s="11"/>
      <c r="C4619" s="11"/>
      <c r="D4619" s="11"/>
      <c r="E4619" s="6"/>
      <c r="F4619" s="5"/>
      <c r="G4619" s="13"/>
      <c r="H4619" s="11"/>
      <c r="I4619" s="11"/>
      <c r="J4619" s="11"/>
      <c r="K4619" s="11"/>
      <c r="L4619" s="6"/>
    </row>
    <row r="4620" spans="1:12" ht="15.75" thickBot="1" x14ac:dyDescent="0.3">
      <c r="A4620" s="13"/>
      <c r="B4620" s="11"/>
      <c r="C4620" s="11" t="s">
        <v>29</v>
      </c>
      <c r="D4620" s="43"/>
      <c r="E4620" s="6"/>
      <c r="F4620" s="5"/>
      <c r="G4620" s="13"/>
      <c r="H4620" s="11"/>
      <c r="I4620" s="14" t="s">
        <v>28</v>
      </c>
      <c r="J4620" s="43"/>
      <c r="K4620" s="59"/>
      <c r="L4620" s="6"/>
    </row>
    <row r="4621" spans="1:12" ht="15.75" thickBot="1" x14ac:dyDescent="0.3">
      <c r="A4621" s="15" t="s">
        <v>10</v>
      </c>
      <c r="B4621" s="5"/>
      <c r="C4621" s="5"/>
      <c r="D4621" s="5">
        <v>665.64</v>
      </c>
      <c r="E4621" s="5"/>
      <c r="F4621" s="5"/>
      <c r="G4621" s="15" t="s">
        <v>14</v>
      </c>
      <c r="H4621" s="5"/>
      <c r="I4621" s="5"/>
      <c r="J4621" s="5"/>
      <c r="K4621" s="5"/>
      <c r="L4621" s="5"/>
    </row>
    <row r="4622" spans="1:12" ht="15.75" thickBot="1" x14ac:dyDescent="0.3">
      <c r="A4622" s="121" t="s">
        <v>11</v>
      </c>
      <c r="B4622" s="122"/>
      <c r="C4622" s="123"/>
      <c r="D4622" s="16" t="s">
        <v>12</v>
      </c>
      <c r="E4622" s="16" t="s">
        <v>13</v>
      </c>
      <c r="F4622" s="5"/>
      <c r="G4622" s="121" t="s">
        <v>15</v>
      </c>
      <c r="H4622" s="122"/>
      <c r="I4622" s="123"/>
      <c r="J4622" s="121"/>
      <c r="K4622" s="123"/>
      <c r="L4622" s="5"/>
    </row>
    <row r="4623" spans="1:12" x14ac:dyDescent="0.25">
      <c r="A4623" s="94" t="s">
        <v>588</v>
      </c>
      <c r="B4623" s="46" t="s">
        <v>66</v>
      </c>
      <c r="C4623" s="47"/>
      <c r="D4623" s="56">
        <v>300</v>
      </c>
      <c r="E4623" s="57">
        <v>5703</v>
      </c>
      <c r="F4623" s="44">
        <f>E4623/D4623</f>
        <v>19.010000000000002</v>
      </c>
      <c r="G4623" s="125" t="s">
        <v>69</v>
      </c>
      <c r="H4623" s="126"/>
      <c r="I4623" s="127"/>
      <c r="J4623" s="128"/>
      <c r="K4623" s="129"/>
      <c r="L4623" s="5"/>
    </row>
    <row r="4624" spans="1:12" x14ac:dyDescent="0.25">
      <c r="A4624" s="94" t="s">
        <v>589</v>
      </c>
      <c r="B4624" s="46" t="s">
        <v>66</v>
      </c>
      <c r="C4624" s="47"/>
      <c r="D4624" s="56">
        <v>742.85</v>
      </c>
      <c r="E4624" s="57">
        <v>14121.57</v>
      </c>
      <c r="F4624" s="44">
        <f t="shared" ref="F4624:F4625" si="12">E4624/D4624</f>
        <v>19.009988557582282</v>
      </c>
      <c r="G4624" s="110" t="s">
        <v>59</v>
      </c>
      <c r="H4624" s="111"/>
      <c r="I4624" s="112"/>
      <c r="J4624" s="113"/>
      <c r="K4624" s="114"/>
      <c r="L4624" s="5"/>
    </row>
    <row r="4625" spans="1:12" x14ac:dyDescent="0.25">
      <c r="A4625" s="94" t="s">
        <v>590</v>
      </c>
      <c r="B4625" s="46" t="s">
        <v>47</v>
      </c>
      <c r="C4625" s="47"/>
      <c r="D4625" s="56">
        <v>416.05</v>
      </c>
      <c r="E4625" s="57">
        <v>7651.16</v>
      </c>
      <c r="F4625" s="44">
        <f t="shared" si="12"/>
        <v>18.390001201778631</v>
      </c>
      <c r="G4625" s="110" t="s">
        <v>61</v>
      </c>
      <c r="H4625" s="111"/>
      <c r="I4625" s="112"/>
      <c r="J4625" s="113"/>
      <c r="K4625" s="114"/>
      <c r="L4625" s="5"/>
    </row>
    <row r="4626" spans="1:12" x14ac:dyDescent="0.25">
      <c r="A4626" s="94"/>
      <c r="B4626" s="46"/>
      <c r="C4626" s="47"/>
      <c r="D4626" s="56"/>
      <c r="E4626" s="57"/>
      <c r="F4626" s="44"/>
      <c r="G4626" s="110" t="s">
        <v>51</v>
      </c>
      <c r="H4626" s="111"/>
      <c r="I4626" s="112"/>
      <c r="J4626" s="113"/>
      <c r="K4626" s="114"/>
      <c r="L4626" s="5"/>
    </row>
    <row r="4627" spans="1:12" x14ac:dyDescent="0.25">
      <c r="A4627" s="48"/>
      <c r="B4627" s="46"/>
      <c r="C4627" s="39"/>
      <c r="D4627" s="52"/>
      <c r="E4627" s="53"/>
      <c r="F4627" s="44"/>
      <c r="G4627" s="110" t="s">
        <v>58</v>
      </c>
      <c r="H4627" s="111"/>
      <c r="I4627" s="112"/>
      <c r="J4627" s="113"/>
      <c r="K4627" s="114"/>
      <c r="L4627" s="5"/>
    </row>
    <row r="4628" spans="1:12" x14ac:dyDescent="0.25">
      <c r="A4628" s="48"/>
      <c r="B4628" s="35"/>
      <c r="C4628" s="39"/>
      <c r="D4628" s="52"/>
      <c r="E4628" s="53"/>
      <c r="F4628" s="44"/>
      <c r="G4628" s="110" t="s">
        <v>51</v>
      </c>
      <c r="H4628" s="111"/>
      <c r="I4628" s="112"/>
      <c r="J4628" s="113"/>
      <c r="K4628" s="114"/>
      <c r="L4628" s="5"/>
    </row>
    <row r="4629" spans="1:12" x14ac:dyDescent="0.25">
      <c r="A4629" s="48"/>
      <c r="B4629" s="35"/>
      <c r="C4629" s="39"/>
      <c r="D4629" s="52"/>
      <c r="E4629" s="53"/>
      <c r="F4629" s="44"/>
      <c r="G4629" s="77"/>
      <c r="H4629" s="78" t="s">
        <v>69</v>
      </c>
      <c r="I4629" s="79"/>
      <c r="J4629" s="113"/>
      <c r="K4629" s="114"/>
      <c r="L4629" s="5"/>
    </row>
    <row r="4630" spans="1:12" x14ac:dyDescent="0.25">
      <c r="A4630" s="38"/>
      <c r="B4630" s="35"/>
      <c r="C4630" s="39"/>
      <c r="D4630" s="52"/>
      <c r="E4630" s="53"/>
      <c r="F4630" s="44"/>
      <c r="G4630" s="77"/>
      <c r="H4630" s="78" t="s">
        <v>72</v>
      </c>
      <c r="I4630" s="79"/>
      <c r="J4630" s="113"/>
      <c r="K4630" s="114"/>
      <c r="L4630" s="5"/>
    </row>
    <row r="4631" spans="1:12" ht="15.75" thickBot="1" x14ac:dyDescent="0.3">
      <c r="A4631" s="5"/>
      <c r="B4631" s="5"/>
      <c r="C4631" s="7" t="s">
        <v>35</v>
      </c>
      <c r="D4631" s="17">
        <f>SUM(D4623:D4630)</f>
        <v>1458.8999999999999</v>
      </c>
      <c r="E4631" s="17">
        <f>SUM(E4623:E4630)</f>
        <v>27475.73</v>
      </c>
      <c r="F4631" s="89">
        <f>AVERAGE(F4623:F4627)</f>
        <v>18.803329919786972</v>
      </c>
      <c r="G4631" s="110" t="s">
        <v>73</v>
      </c>
      <c r="H4631" s="111"/>
      <c r="I4631" s="112"/>
      <c r="J4631" s="113"/>
      <c r="K4631" s="114"/>
      <c r="L4631" s="7" t="s">
        <v>36</v>
      </c>
    </row>
    <row r="4632" spans="1:12" ht="15.75" thickBot="1" x14ac:dyDescent="0.3">
      <c r="A4632" s="5"/>
      <c r="B4632" s="5"/>
      <c r="C4632" s="5"/>
      <c r="D4632" s="5"/>
      <c r="E4632" s="5"/>
      <c r="F4632" s="5"/>
      <c r="G4632" s="130"/>
      <c r="H4632" s="131"/>
      <c r="I4632" s="132"/>
      <c r="J4632" s="133"/>
      <c r="K4632" s="134"/>
      <c r="L4632" s="18">
        <f>J4623+J4624+J4625+J4626+J4627+J4628+J4629+J4630+J4631</f>
        <v>0</v>
      </c>
    </row>
    <row r="4633" spans="1:12" ht="15.75" thickBot="1" x14ac:dyDescent="0.3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</row>
    <row r="4634" spans="1:12" ht="15.75" thickBot="1" x14ac:dyDescent="0.3">
      <c r="A4634" s="19"/>
      <c r="B4634" s="20"/>
      <c r="C4634" s="20"/>
      <c r="D4634" s="20"/>
      <c r="E4634" s="21" t="s">
        <v>13</v>
      </c>
      <c r="F4634" s="5"/>
      <c r="G4634" s="19"/>
      <c r="H4634" s="20"/>
      <c r="I4634" s="20"/>
      <c r="J4634" s="20"/>
      <c r="K4634" s="21" t="s">
        <v>13</v>
      </c>
      <c r="L4634" s="5"/>
    </row>
    <row r="4635" spans="1:12" x14ac:dyDescent="0.25">
      <c r="A4635" s="22" t="s">
        <v>31</v>
      </c>
      <c r="B4635" s="115">
        <v>19184</v>
      </c>
      <c r="C4635" s="116"/>
      <c r="D4635" s="116"/>
      <c r="E4635" s="117"/>
      <c r="F4635" s="5"/>
      <c r="G4635" s="22" t="s">
        <v>32</v>
      </c>
      <c r="H4635" s="115">
        <v>43604</v>
      </c>
      <c r="I4635" s="116"/>
      <c r="J4635" s="116"/>
      <c r="K4635" s="117"/>
      <c r="L4635" s="5"/>
    </row>
    <row r="4636" spans="1:12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</row>
    <row r="4637" spans="1:12" x14ac:dyDescent="0.25">
      <c r="A4637" s="7" t="s">
        <v>16</v>
      </c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</row>
    <row r="4638" spans="1:12" x14ac:dyDescent="0.25">
      <c r="A4638" s="9" t="s">
        <v>17</v>
      </c>
      <c r="B4638" s="23">
        <f>L4615-C4610</f>
        <v>3100</v>
      </c>
      <c r="C4638" s="5"/>
      <c r="D4638" s="106" t="s">
        <v>18</v>
      </c>
      <c r="E4638" s="107"/>
      <c r="F4638" s="24" t="s">
        <v>19</v>
      </c>
      <c r="G4638" s="9" t="s">
        <v>20</v>
      </c>
      <c r="H4638" s="118">
        <f>B4635+H4635</f>
        <v>62788</v>
      </c>
      <c r="I4638" s="119"/>
      <c r="J4638" s="60"/>
      <c r="K4638" s="5"/>
      <c r="L4638" s="5"/>
    </row>
    <row r="4639" spans="1:12" x14ac:dyDescent="0.25">
      <c r="A4639" s="9" t="s">
        <v>41</v>
      </c>
      <c r="B4639" s="40">
        <f>B4638/D4631</f>
        <v>2.1248886147097128</v>
      </c>
      <c r="C4639" s="5"/>
      <c r="D4639" s="102">
        <f>E4631</f>
        <v>27475.73</v>
      </c>
      <c r="E4639" s="103"/>
      <c r="F4639" s="25">
        <f>H4639/B4638</f>
        <v>9.8502354838709678</v>
      </c>
      <c r="G4639" s="9" t="s">
        <v>21</v>
      </c>
      <c r="H4639" s="104">
        <f>L4632+D4639+D4641+D4643+D4645+A4642</f>
        <v>30535.73</v>
      </c>
      <c r="I4639" s="105"/>
      <c r="J4639" s="5"/>
      <c r="K4639" s="5"/>
      <c r="L4639" s="5"/>
    </row>
    <row r="4640" spans="1:12" x14ac:dyDescent="0.25">
      <c r="A4640" s="9" t="s">
        <v>43</v>
      </c>
      <c r="B4640" s="23">
        <f>D4631/B4638*100</f>
        <v>47.061290322580639</v>
      </c>
      <c r="C4640" s="5"/>
      <c r="D4640" s="106" t="s">
        <v>33</v>
      </c>
      <c r="E4640" s="107"/>
      <c r="F4640" s="5"/>
      <c r="G4640" s="13" t="s">
        <v>22</v>
      </c>
      <c r="H4640" s="6"/>
      <c r="I4640" s="26">
        <f>H4638-H4639</f>
        <v>32252.27</v>
      </c>
      <c r="J4640" s="5"/>
      <c r="K4640" s="5">
        <f>137000+23895</f>
        <v>160895</v>
      </c>
      <c r="L4640" s="5"/>
    </row>
    <row r="4641" spans="1:12" x14ac:dyDescent="0.25">
      <c r="A4641" s="106" t="s">
        <v>40</v>
      </c>
      <c r="B4641" s="107"/>
      <c r="C4641" s="5"/>
      <c r="D4641" s="149">
        <v>1200</v>
      </c>
      <c r="E4641" s="150"/>
      <c r="F4641" s="5"/>
      <c r="G4641" s="5"/>
      <c r="H4641" s="5"/>
      <c r="I4641" s="5"/>
      <c r="J4641" s="5"/>
      <c r="K4641" s="5"/>
      <c r="L4641" s="5"/>
    </row>
    <row r="4642" spans="1:12" x14ac:dyDescent="0.25">
      <c r="A4642" s="108">
        <f>B4638*0.6</f>
        <v>1860</v>
      </c>
      <c r="B4642" s="109"/>
      <c r="C4642" s="5"/>
      <c r="D4642" s="106" t="s">
        <v>34</v>
      </c>
      <c r="E4642" s="107"/>
      <c r="F4642" s="5"/>
      <c r="G4642" s="145" t="s">
        <v>292</v>
      </c>
      <c r="H4642" s="146"/>
      <c r="I4642" s="23">
        <f>B4638/2.3</f>
        <v>1347.8260869565217</v>
      </c>
      <c r="J4642" s="60"/>
      <c r="K4642" s="5"/>
      <c r="L4642" s="5"/>
    </row>
    <row r="4643" spans="1:12" x14ac:dyDescent="0.25">
      <c r="A4643" s="5"/>
      <c r="B4643" s="5"/>
      <c r="C4643" s="5"/>
      <c r="D4643" s="108">
        <v>0</v>
      </c>
      <c r="E4643" s="109"/>
      <c r="F4643" s="5"/>
      <c r="G4643" s="145" t="s">
        <v>294</v>
      </c>
      <c r="H4643" s="146"/>
      <c r="I4643" s="23">
        <f>I4642-D4631</f>
        <v>-111.07391304347811</v>
      </c>
      <c r="J4643" s="5"/>
      <c r="K4643" s="5"/>
      <c r="L4643" s="5"/>
    </row>
    <row r="4644" spans="1:12" x14ac:dyDescent="0.25">
      <c r="A4644" s="5"/>
      <c r="B4644" s="5"/>
      <c r="C4644" s="5"/>
      <c r="D4644" s="106" t="s">
        <v>37</v>
      </c>
      <c r="E4644" s="107"/>
      <c r="F4644" s="5"/>
      <c r="G4644" s="147" t="s">
        <v>295</v>
      </c>
      <c r="H4644" s="148"/>
      <c r="I4644" s="86">
        <f>I4643*F4631</f>
        <v>-2088.5594324382482</v>
      </c>
      <c r="J4644" s="87">
        <f>I4640-I4644</f>
        <v>34340.829432438251</v>
      </c>
      <c r="K4644" s="5"/>
      <c r="L4644" s="5"/>
    </row>
    <row r="4645" spans="1:12" x14ac:dyDescent="0.25">
      <c r="A4645" s="5"/>
      <c r="B4645" s="5"/>
      <c r="C4645" s="5"/>
      <c r="D4645" s="108">
        <v>0</v>
      </c>
      <c r="E4645" s="109"/>
      <c r="F4645" s="5" t="s">
        <v>78</v>
      </c>
      <c r="G4645" s="5"/>
      <c r="H4645" s="5"/>
      <c r="I4645" s="5"/>
      <c r="J4645" s="88" t="s">
        <v>293</v>
      </c>
      <c r="K4645" s="44"/>
      <c r="L4645" s="5"/>
    </row>
    <row r="4647" spans="1:12" s="49" customFormat="1" x14ac:dyDescent="0.25"/>
    <row r="4650" spans="1:12" x14ac:dyDescent="0.25">
      <c r="A4650" s="120" t="s">
        <v>24</v>
      </c>
      <c r="B4650" s="120"/>
      <c r="C4650" s="120"/>
      <c r="D4650" s="120"/>
      <c r="E4650" s="120"/>
      <c r="F4650" s="120"/>
      <c r="G4650" s="120"/>
      <c r="H4650" s="120"/>
      <c r="I4650" s="120"/>
      <c r="J4650" s="120"/>
      <c r="K4650" s="120"/>
      <c r="L4650" s="120"/>
    </row>
    <row r="4651" spans="1:12" x14ac:dyDescent="0.25">
      <c r="A4651" s="120"/>
      <c r="B4651" s="120"/>
      <c r="C4651" s="120"/>
      <c r="D4651" s="120"/>
      <c r="E4651" s="120"/>
      <c r="F4651" s="120"/>
      <c r="G4651" s="120"/>
      <c r="H4651" s="120"/>
      <c r="I4651" s="120"/>
      <c r="J4651" s="120"/>
      <c r="K4651" s="120"/>
      <c r="L4651" s="120"/>
    </row>
    <row r="4652" spans="1:12" x14ac:dyDescent="0.25">
      <c r="A4652" s="1" t="s">
        <v>4</v>
      </c>
      <c r="B4652" s="2"/>
      <c r="C4652" s="90"/>
      <c r="D4652" s="2"/>
      <c r="E4652" s="2"/>
      <c r="F4652" s="2"/>
      <c r="G4652" s="3" t="s">
        <v>5</v>
      </c>
      <c r="H4652" s="3" t="s">
        <v>6</v>
      </c>
      <c r="I4652" s="4" t="s">
        <v>7</v>
      </c>
      <c r="J4652" s="5"/>
      <c r="K4652" s="5"/>
      <c r="L4652" s="5"/>
    </row>
    <row r="4653" spans="1:12" x14ac:dyDescent="0.25">
      <c r="A4653" s="91" t="s">
        <v>549</v>
      </c>
      <c r="B4653" s="92" t="s">
        <v>42</v>
      </c>
      <c r="C4653" s="64"/>
      <c r="D4653" s="66"/>
      <c r="E4653" s="2"/>
      <c r="F4653" s="2"/>
      <c r="G4653" s="91" t="s">
        <v>299</v>
      </c>
      <c r="H4653" s="66"/>
      <c r="I4653" s="33"/>
      <c r="J4653" s="6"/>
      <c r="K4653" s="33"/>
      <c r="L4653" s="6"/>
    </row>
    <row r="4654" spans="1:12" x14ac:dyDescent="0.25">
      <c r="A4654" s="7" t="s">
        <v>2</v>
      </c>
      <c r="B4654" s="5"/>
      <c r="C4654" s="5"/>
      <c r="D4654" s="5"/>
      <c r="E4654" s="5"/>
      <c r="F4654" s="5"/>
      <c r="G4654" s="8" t="s">
        <v>8</v>
      </c>
      <c r="H4654" s="93">
        <v>3</v>
      </c>
      <c r="I4654" s="5"/>
      <c r="J4654" s="5"/>
      <c r="K4654" s="5"/>
      <c r="L4654" s="5"/>
    </row>
    <row r="4655" spans="1:12" x14ac:dyDescent="0.25">
      <c r="A4655" s="7" t="s">
        <v>25</v>
      </c>
      <c r="B4655" s="5"/>
      <c r="C4655" s="7" t="s">
        <v>0</v>
      </c>
      <c r="D4655" s="5"/>
      <c r="E4655" s="5"/>
      <c r="F4655" s="5"/>
      <c r="G4655" s="7" t="s">
        <v>25</v>
      </c>
      <c r="H4655" s="5"/>
      <c r="I4655" s="7" t="s">
        <v>0</v>
      </c>
      <c r="J4655" s="5"/>
      <c r="K4655" s="5"/>
      <c r="L4655" s="5"/>
    </row>
    <row r="4656" spans="1:12" x14ac:dyDescent="0.25">
      <c r="A4656" s="42" t="s">
        <v>590</v>
      </c>
      <c r="B4656" s="6"/>
      <c r="C4656" s="31">
        <f>L4615</f>
        <v>1111664</v>
      </c>
      <c r="D4656" s="5"/>
      <c r="E4656" s="5"/>
      <c r="F4656" s="5"/>
      <c r="G4656" s="42"/>
      <c r="H4656" s="6"/>
      <c r="I4656" s="9"/>
      <c r="J4656" s="5"/>
      <c r="K4656" s="5"/>
      <c r="L4656" s="5"/>
    </row>
    <row r="4657" spans="1:12" ht="16.5" thickBot="1" x14ac:dyDescent="0.3">
      <c r="A4657" s="7"/>
      <c r="B4657" s="62"/>
      <c r="C4657" s="62"/>
      <c r="D4657" s="62"/>
      <c r="E4657" s="5"/>
      <c r="F4657" s="5"/>
      <c r="G4657" s="10"/>
      <c r="H4657" s="5"/>
      <c r="I4657" s="5"/>
      <c r="J4657" s="5"/>
      <c r="K4657" s="5"/>
      <c r="L4657" s="5"/>
    </row>
    <row r="4658" spans="1:12" ht="15.75" thickBot="1" x14ac:dyDescent="0.3">
      <c r="A4658" s="121" t="s">
        <v>9</v>
      </c>
      <c r="B4658" s="122"/>
      <c r="C4658" s="123"/>
      <c r="D4658" s="5"/>
      <c r="E4658" s="5"/>
      <c r="F4658" s="5"/>
      <c r="G4658" s="121" t="s">
        <v>26</v>
      </c>
      <c r="H4658" s="122"/>
      <c r="I4658" s="123"/>
      <c r="J4658" s="5"/>
      <c r="K4658" s="5"/>
      <c r="L4658" s="5"/>
    </row>
    <row r="4659" spans="1:12" x14ac:dyDescent="0.25">
      <c r="A4659" s="30" t="s">
        <v>38</v>
      </c>
      <c r="B4659" s="11"/>
      <c r="C4659" s="11"/>
      <c r="D4659" s="11"/>
      <c r="E4659" s="6"/>
      <c r="F4659" s="5"/>
      <c r="G4659" s="30" t="str">
        <f>A4662</f>
        <v>Cape Town</v>
      </c>
      <c r="H4659" s="11"/>
      <c r="I4659" s="11"/>
      <c r="J4659" s="11"/>
      <c r="K4659" s="11"/>
      <c r="L4659" s="6"/>
    </row>
    <row r="4660" spans="1:12" ht="15.75" thickBot="1" x14ac:dyDescent="0.3">
      <c r="A4660" s="7"/>
      <c r="B4660" s="7"/>
      <c r="C4660" s="7"/>
      <c r="D4660" s="5"/>
      <c r="E4660" s="5"/>
      <c r="F4660" s="5"/>
      <c r="G4660" s="7"/>
      <c r="H4660" s="7"/>
      <c r="I4660" s="7"/>
      <c r="J4660" s="5"/>
      <c r="K4660" s="5"/>
      <c r="L4660" s="5"/>
    </row>
    <row r="4661" spans="1:12" ht="15.75" thickBot="1" x14ac:dyDescent="0.3">
      <c r="A4661" s="121"/>
      <c r="B4661" s="122"/>
      <c r="C4661" s="124"/>
      <c r="D4661" s="12" t="s">
        <v>1</v>
      </c>
      <c r="E4661" s="32"/>
      <c r="F4661" s="5"/>
      <c r="G4661" s="121" t="s">
        <v>27</v>
      </c>
      <c r="H4661" s="122"/>
      <c r="I4661" s="123"/>
      <c r="J4661" s="5"/>
      <c r="K4661" s="12" t="s">
        <v>1</v>
      </c>
      <c r="L4661" s="32">
        <v>1114726</v>
      </c>
    </row>
    <row r="4662" spans="1:12" x14ac:dyDescent="0.25">
      <c r="A4662" s="30" t="s">
        <v>65</v>
      </c>
      <c r="B4662" s="11"/>
      <c r="C4662" s="11"/>
      <c r="D4662" s="11"/>
      <c r="E4662" s="6"/>
      <c r="F4662" s="5"/>
      <c r="G4662" s="30" t="s">
        <v>364</v>
      </c>
      <c r="H4662" s="11"/>
      <c r="I4662" s="11"/>
      <c r="J4662" s="11"/>
      <c r="K4662" s="11"/>
      <c r="L4662" s="6"/>
    </row>
    <row r="4663" spans="1:12" x14ac:dyDescent="0.25">
      <c r="A4663" s="76" t="s">
        <v>591</v>
      </c>
      <c r="B4663" s="11"/>
      <c r="C4663" s="11"/>
      <c r="D4663" s="11"/>
      <c r="E4663" s="6"/>
      <c r="F4663" s="5"/>
      <c r="G4663" s="34"/>
      <c r="H4663" s="11"/>
      <c r="I4663" s="11"/>
      <c r="J4663" s="11"/>
      <c r="K4663" s="11"/>
      <c r="L4663" s="6"/>
    </row>
    <row r="4664" spans="1:12" x14ac:dyDescent="0.25">
      <c r="A4664" s="13"/>
      <c r="B4664" s="11"/>
      <c r="C4664" s="11"/>
      <c r="D4664" s="11"/>
      <c r="E4664" s="6"/>
      <c r="F4664" s="5"/>
      <c r="G4664" s="13"/>
      <c r="H4664" s="11"/>
      <c r="I4664" s="11"/>
      <c r="J4664" s="11"/>
      <c r="K4664" s="11"/>
      <c r="L4664" s="6"/>
    </row>
    <row r="4665" spans="1:12" x14ac:dyDescent="0.25">
      <c r="A4665" s="13"/>
      <c r="B4665" s="11"/>
      <c r="C4665" s="11"/>
      <c r="D4665" s="11"/>
      <c r="E4665" s="6"/>
      <c r="F4665" s="5"/>
      <c r="G4665" s="13"/>
      <c r="H4665" s="11"/>
      <c r="I4665" s="11"/>
      <c r="J4665" s="11"/>
      <c r="K4665" s="11"/>
      <c r="L4665" s="6"/>
    </row>
    <row r="4666" spans="1:12" ht="15.75" thickBot="1" x14ac:dyDescent="0.3">
      <c r="A4666" s="13"/>
      <c r="B4666" s="11"/>
      <c r="C4666" s="11" t="s">
        <v>29</v>
      </c>
      <c r="D4666" s="43"/>
      <c r="E4666" s="6"/>
      <c r="F4666" s="5"/>
      <c r="G4666" s="13"/>
      <c r="H4666" s="11"/>
      <c r="I4666" s="14" t="s">
        <v>28</v>
      </c>
      <c r="J4666" s="43"/>
      <c r="K4666" s="59"/>
      <c r="L4666" s="6"/>
    </row>
    <row r="4667" spans="1:12" ht="15.75" thickBot="1" x14ac:dyDescent="0.3">
      <c r="A4667" s="15" t="s">
        <v>10</v>
      </c>
      <c r="B4667" s="5"/>
      <c r="C4667" s="5"/>
      <c r="D4667" s="5">
        <v>665.64</v>
      </c>
      <c r="E4667" s="5"/>
      <c r="F4667" s="5"/>
      <c r="G4667" s="15" t="s">
        <v>14</v>
      </c>
      <c r="H4667" s="5"/>
      <c r="I4667" s="5"/>
      <c r="J4667" s="5"/>
      <c r="K4667" s="5"/>
      <c r="L4667" s="5"/>
    </row>
    <row r="4668" spans="1:12" ht="15.75" thickBot="1" x14ac:dyDescent="0.3">
      <c r="A4668" s="121" t="s">
        <v>11</v>
      </c>
      <c r="B4668" s="122"/>
      <c r="C4668" s="123"/>
      <c r="D4668" s="16" t="s">
        <v>12</v>
      </c>
      <c r="E4668" s="16" t="s">
        <v>13</v>
      </c>
      <c r="F4668" s="5"/>
      <c r="G4668" s="121" t="s">
        <v>15</v>
      </c>
      <c r="H4668" s="122"/>
      <c r="I4668" s="123"/>
      <c r="J4668" s="121"/>
      <c r="K4668" s="123"/>
      <c r="L4668" s="5"/>
    </row>
    <row r="4669" spans="1:12" x14ac:dyDescent="0.25">
      <c r="A4669" s="94" t="s">
        <v>592</v>
      </c>
      <c r="B4669" s="46" t="s">
        <v>66</v>
      </c>
      <c r="C4669" s="47"/>
      <c r="D4669" s="56">
        <v>314.5</v>
      </c>
      <c r="E4669" s="57">
        <v>5978.64</v>
      </c>
      <c r="F4669" s="44">
        <f>E4669/D4669</f>
        <v>19.00998410174881</v>
      </c>
      <c r="G4669" s="125" t="s">
        <v>69</v>
      </c>
      <c r="H4669" s="126"/>
      <c r="I4669" s="127"/>
      <c r="J4669" s="128"/>
      <c r="K4669" s="129"/>
      <c r="L4669" s="5"/>
    </row>
    <row r="4670" spans="1:12" x14ac:dyDescent="0.25">
      <c r="A4670" s="94" t="s">
        <v>593</v>
      </c>
      <c r="B4670" s="46" t="s">
        <v>305</v>
      </c>
      <c r="C4670" s="47"/>
      <c r="D4670" s="56">
        <v>100</v>
      </c>
      <c r="E4670" s="57">
        <v>2042</v>
      </c>
      <c r="F4670" s="44">
        <f t="shared" ref="F4670:F4672" si="13">E4670/D4670</f>
        <v>20.420000000000002</v>
      </c>
      <c r="G4670" s="110" t="s">
        <v>59</v>
      </c>
      <c r="H4670" s="111"/>
      <c r="I4670" s="112"/>
      <c r="J4670" s="113"/>
      <c r="K4670" s="114"/>
      <c r="L4670" s="5"/>
    </row>
    <row r="4671" spans="1:12" x14ac:dyDescent="0.25">
      <c r="A4671" s="94" t="s">
        <v>594</v>
      </c>
      <c r="B4671" s="46" t="s">
        <v>66</v>
      </c>
      <c r="C4671" s="47"/>
      <c r="D4671" s="56">
        <v>667.03</v>
      </c>
      <c r="E4671" s="57">
        <v>12680.24</v>
      </c>
      <c r="F4671" s="44">
        <f t="shared" si="13"/>
        <v>19.009999550245116</v>
      </c>
      <c r="G4671" s="110" t="s">
        <v>61</v>
      </c>
      <c r="H4671" s="111"/>
      <c r="I4671" s="112"/>
      <c r="J4671" s="113"/>
      <c r="K4671" s="114"/>
      <c r="L4671" s="5"/>
    </row>
    <row r="4672" spans="1:12" x14ac:dyDescent="0.25">
      <c r="A4672" s="94" t="s">
        <v>595</v>
      </c>
      <c r="B4672" s="46" t="s">
        <v>47</v>
      </c>
      <c r="C4672" s="47"/>
      <c r="D4672" s="56">
        <v>436.45</v>
      </c>
      <c r="E4672" s="57">
        <v>8026.32</v>
      </c>
      <c r="F4672" s="44">
        <f t="shared" si="13"/>
        <v>18.390010310459388</v>
      </c>
      <c r="G4672" s="110" t="s">
        <v>51</v>
      </c>
      <c r="H4672" s="111"/>
      <c r="I4672" s="112"/>
      <c r="J4672" s="113"/>
      <c r="K4672" s="114"/>
      <c r="L4672" s="5"/>
    </row>
    <row r="4673" spans="1:12" x14ac:dyDescent="0.25">
      <c r="A4673" s="48"/>
      <c r="B4673" s="46"/>
      <c r="C4673" s="39"/>
      <c r="D4673" s="52"/>
      <c r="E4673" s="53"/>
      <c r="F4673" s="44"/>
      <c r="G4673" s="110" t="s">
        <v>58</v>
      </c>
      <c r="H4673" s="111"/>
      <c r="I4673" s="112"/>
      <c r="J4673" s="113"/>
      <c r="K4673" s="114"/>
      <c r="L4673" s="5"/>
    </row>
    <row r="4674" spans="1:12" x14ac:dyDescent="0.25">
      <c r="A4674" s="48"/>
      <c r="B4674" s="35"/>
      <c r="C4674" s="39"/>
      <c r="D4674" s="52"/>
      <c r="E4674" s="53"/>
      <c r="F4674" s="44"/>
      <c r="G4674" s="110" t="s">
        <v>51</v>
      </c>
      <c r="H4674" s="111"/>
      <c r="I4674" s="112"/>
      <c r="J4674" s="113"/>
      <c r="K4674" s="114"/>
      <c r="L4674" s="5"/>
    </row>
    <row r="4675" spans="1:12" x14ac:dyDescent="0.25">
      <c r="A4675" s="48"/>
      <c r="B4675" s="35"/>
      <c r="C4675" s="39"/>
      <c r="D4675" s="52"/>
      <c r="E4675" s="53"/>
      <c r="F4675" s="44"/>
      <c r="G4675" s="77"/>
      <c r="H4675" s="78" t="s">
        <v>69</v>
      </c>
      <c r="I4675" s="79"/>
      <c r="J4675" s="113"/>
      <c r="K4675" s="114"/>
      <c r="L4675" s="5"/>
    </row>
    <row r="4676" spans="1:12" x14ac:dyDescent="0.25">
      <c r="A4676" s="38"/>
      <c r="B4676" s="35"/>
      <c r="C4676" s="39"/>
      <c r="D4676" s="52"/>
      <c r="E4676" s="53"/>
      <c r="F4676" s="44"/>
      <c r="G4676" s="77"/>
      <c r="H4676" s="78" t="s">
        <v>72</v>
      </c>
      <c r="I4676" s="79"/>
      <c r="J4676" s="113"/>
      <c r="K4676" s="114"/>
      <c r="L4676" s="5"/>
    </row>
    <row r="4677" spans="1:12" ht="15.75" thickBot="1" x14ac:dyDescent="0.3">
      <c r="A4677" s="5"/>
      <c r="B4677" s="5"/>
      <c r="C4677" s="7" t="s">
        <v>35</v>
      </c>
      <c r="D4677" s="17">
        <f>SUM(D4669:D4676)</f>
        <v>1517.98</v>
      </c>
      <c r="E4677" s="17">
        <f>SUM(E4669:E4676)</f>
        <v>28727.200000000001</v>
      </c>
      <c r="F4677" s="89">
        <f>AVERAGE(F4669:F4673)</f>
        <v>19.207498490613329</v>
      </c>
      <c r="G4677" s="110" t="s">
        <v>73</v>
      </c>
      <c r="H4677" s="111"/>
      <c r="I4677" s="112"/>
      <c r="J4677" s="113"/>
      <c r="K4677" s="114"/>
      <c r="L4677" s="7" t="s">
        <v>36</v>
      </c>
    </row>
    <row r="4678" spans="1:12" ht="15.75" thickBot="1" x14ac:dyDescent="0.3">
      <c r="A4678" s="5"/>
      <c r="B4678" s="5"/>
      <c r="C4678" s="5"/>
      <c r="D4678" s="5"/>
      <c r="E4678" s="5"/>
      <c r="F4678" s="5"/>
      <c r="G4678" s="130"/>
      <c r="H4678" s="131"/>
      <c r="I4678" s="132"/>
      <c r="J4678" s="133"/>
      <c r="K4678" s="134"/>
      <c r="L4678" s="18">
        <f>J4669+J4670+J4671+J4672+J4673+J4674+J4675+J4676+J4677</f>
        <v>0</v>
      </c>
    </row>
    <row r="4679" spans="1:12" ht="15.75" thickBot="1" x14ac:dyDescent="0.3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</row>
    <row r="4680" spans="1:12" ht="15.75" thickBot="1" x14ac:dyDescent="0.3">
      <c r="A4680" s="19"/>
      <c r="B4680" s="20"/>
      <c r="C4680" s="20"/>
      <c r="D4680" s="20"/>
      <c r="E4680" s="21" t="s">
        <v>13</v>
      </c>
      <c r="F4680" s="5"/>
      <c r="G4680" s="19"/>
      <c r="H4680" s="20"/>
      <c r="I4680" s="20"/>
      <c r="J4680" s="20"/>
      <c r="K4680" s="21" t="s">
        <v>13</v>
      </c>
      <c r="L4680" s="5"/>
    </row>
    <row r="4681" spans="1:12" x14ac:dyDescent="0.25">
      <c r="A4681" s="22" t="s">
        <v>31</v>
      </c>
      <c r="B4681" s="115">
        <v>19184</v>
      </c>
      <c r="C4681" s="116"/>
      <c r="D4681" s="116"/>
      <c r="E4681" s="117"/>
      <c r="F4681" s="5"/>
      <c r="G4681" s="22" t="s">
        <v>32</v>
      </c>
      <c r="H4681" s="115">
        <v>43604</v>
      </c>
      <c r="I4681" s="116"/>
      <c r="J4681" s="116"/>
      <c r="K4681" s="117"/>
      <c r="L4681" s="5"/>
    </row>
    <row r="4682" spans="1:12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</row>
    <row r="4683" spans="1:12" x14ac:dyDescent="0.25">
      <c r="A4683" s="7" t="s">
        <v>16</v>
      </c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</row>
    <row r="4684" spans="1:12" x14ac:dyDescent="0.25">
      <c r="A4684" s="9" t="s">
        <v>17</v>
      </c>
      <c r="B4684" s="23">
        <f>L4661-C4656</f>
        <v>3062</v>
      </c>
      <c r="C4684" s="5"/>
      <c r="D4684" s="106" t="s">
        <v>18</v>
      </c>
      <c r="E4684" s="107"/>
      <c r="F4684" s="24" t="s">
        <v>19</v>
      </c>
      <c r="G4684" s="9" t="s">
        <v>20</v>
      </c>
      <c r="H4684" s="118">
        <f>B4681+H4681</f>
        <v>62788</v>
      </c>
      <c r="I4684" s="119"/>
      <c r="J4684" s="60"/>
      <c r="K4684" s="5"/>
      <c r="L4684" s="5"/>
    </row>
    <row r="4685" spans="1:12" x14ac:dyDescent="0.25">
      <c r="A4685" s="9" t="s">
        <v>41</v>
      </c>
      <c r="B4685" s="40">
        <f>B4684/D4677</f>
        <v>2.0171543762104904</v>
      </c>
      <c r="C4685" s="5"/>
      <c r="D4685" s="102">
        <f>E4677</f>
        <v>28727.200000000001</v>
      </c>
      <c r="E4685" s="103"/>
      <c r="F4685" s="25">
        <f>H4685/B4684</f>
        <v>10.373742651861528</v>
      </c>
      <c r="G4685" s="9" t="s">
        <v>21</v>
      </c>
      <c r="H4685" s="104">
        <f>L4678+D4685+D4687+D4689+D4691+A4688</f>
        <v>31764.400000000001</v>
      </c>
      <c r="I4685" s="105"/>
      <c r="J4685" s="5"/>
      <c r="K4685" s="5"/>
      <c r="L4685" s="5"/>
    </row>
    <row r="4686" spans="1:12" x14ac:dyDescent="0.25">
      <c r="A4686" s="9" t="s">
        <v>43</v>
      </c>
      <c r="B4686" s="23">
        <f>D4677/B4684*100</f>
        <v>49.574787720444149</v>
      </c>
      <c r="C4686" s="5"/>
      <c r="D4686" s="106" t="s">
        <v>33</v>
      </c>
      <c r="E4686" s="107"/>
      <c r="F4686" s="5"/>
      <c r="G4686" s="13" t="s">
        <v>22</v>
      </c>
      <c r="H4686" s="6"/>
      <c r="I4686" s="26">
        <f>H4684-H4685</f>
        <v>31023.599999999999</v>
      </c>
      <c r="J4686" s="5"/>
      <c r="K4686" s="5">
        <f>137000+23895</f>
        <v>160895</v>
      </c>
      <c r="L4686" s="5"/>
    </row>
    <row r="4687" spans="1:12" x14ac:dyDescent="0.25">
      <c r="A4687" s="106" t="s">
        <v>40</v>
      </c>
      <c r="B4687" s="107"/>
      <c r="C4687" s="5"/>
      <c r="D4687" s="149">
        <v>1200</v>
      </c>
      <c r="E4687" s="150"/>
      <c r="F4687" s="5"/>
      <c r="G4687" s="5"/>
      <c r="H4687" s="5"/>
      <c r="I4687" s="5"/>
      <c r="J4687" s="5"/>
      <c r="K4687" s="5"/>
      <c r="L4687" s="5"/>
    </row>
    <row r="4688" spans="1:12" x14ac:dyDescent="0.25">
      <c r="A4688" s="108">
        <f>B4684*0.6</f>
        <v>1837.2</v>
      </c>
      <c r="B4688" s="109"/>
      <c r="C4688" s="5"/>
      <c r="D4688" s="106" t="s">
        <v>34</v>
      </c>
      <c r="E4688" s="107"/>
      <c r="F4688" s="5"/>
      <c r="G4688" s="145" t="s">
        <v>292</v>
      </c>
      <c r="H4688" s="146"/>
      <c r="I4688" s="23">
        <f>B4684/2.3</f>
        <v>1331.304347826087</v>
      </c>
      <c r="J4688" s="60"/>
      <c r="K4688" s="5"/>
      <c r="L4688" s="5"/>
    </row>
    <row r="4689" spans="1:12" x14ac:dyDescent="0.25">
      <c r="A4689" s="5"/>
      <c r="B4689" s="5"/>
      <c r="C4689" s="5"/>
      <c r="D4689" s="108">
        <v>0</v>
      </c>
      <c r="E4689" s="109"/>
      <c r="F4689" s="5"/>
      <c r="G4689" s="145" t="s">
        <v>294</v>
      </c>
      <c r="H4689" s="146"/>
      <c r="I4689" s="23">
        <f>I4688-D4677</f>
        <v>-186.67565217391302</v>
      </c>
      <c r="J4689" s="5"/>
      <c r="K4689" s="5"/>
      <c r="L4689" s="5"/>
    </row>
    <row r="4690" spans="1:12" x14ac:dyDescent="0.25">
      <c r="A4690" s="5"/>
      <c r="B4690" s="5"/>
      <c r="C4690" s="5"/>
      <c r="D4690" s="106" t="s">
        <v>37</v>
      </c>
      <c r="E4690" s="107"/>
      <c r="F4690" s="5"/>
      <c r="G4690" s="147" t="s">
        <v>295</v>
      </c>
      <c r="H4690" s="148"/>
      <c r="I4690" s="86">
        <f>I4689*F4677</f>
        <v>-3585.5723073646932</v>
      </c>
      <c r="J4690" s="87">
        <f>I4686-I4690</f>
        <v>34609.172307364694</v>
      </c>
      <c r="K4690" s="5"/>
      <c r="L4690" s="5"/>
    </row>
    <row r="4691" spans="1:12" x14ac:dyDescent="0.25">
      <c r="A4691" s="5"/>
      <c r="B4691" s="5"/>
      <c r="C4691" s="5"/>
      <c r="D4691" s="108">
        <v>0</v>
      </c>
      <c r="E4691" s="109"/>
      <c r="F4691" s="5" t="s">
        <v>78</v>
      </c>
      <c r="G4691" s="5"/>
      <c r="H4691" s="5"/>
      <c r="I4691" s="5"/>
      <c r="J4691" s="88" t="s">
        <v>293</v>
      </c>
      <c r="K4691" s="44"/>
      <c r="L4691" s="5"/>
    </row>
    <row r="4693" spans="1:12" s="49" customFormat="1" x14ac:dyDescent="0.25"/>
    <row r="4696" spans="1:12" x14ac:dyDescent="0.25">
      <c r="A4696" s="120" t="s">
        <v>24</v>
      </c>
      <c r="B4696" s="120"/>
      <c r="C4696" s="120"/>
      <c r="D4696" s="120"/>
      <c r="E4696" s="120"/>
      <c r="F4696" s="120"/>
      <c r="G4696" s="120"/>
      <c r="H4696" s="120"/>
      <c r="I4696" s="120"/>
      <c r="J4696" s="120"/>
      <c r="K4696" s="120"/>
      <c r="L4696" s="120"/>
    </row>
    <row r="4697" spans="1:12" x14ac:dyDescent="0.25">
      <c r="A4697" s="120"/>
      <c r="B4697" s="120"/>
      <c r="C4697" s="120"/>
      <c r="D4697" s="120"/>
      <c r="E4697" s="120"/>
      <c r="F4697" s="120"/>
      <c r="G4697" s="120"/>
      <c r="H4697" s="120"/>
      <c r="I4697" s="120"/>
      <c r="J4697" s="120"/>
      <c r="K4697" s="120"/>
      <c r="L4697" s="120"/>
    </row>
    <row r="4698" spans="1:12" x14ac:dyDescent="0.25">
      <c r="A4698" s="1" t="s">
        <v>4</v>
      </c>
      <c r="B4698" s="2"/>
      <c r="C4698" s="90"/>
      <c r="D4698" s="2"/>
      <c r="E4698" s="2"/>
      <c r="F4698" s="2"/>
      <c r="G4698" s="3" t="s">
        <v>5</v>
      </c>
      <c r="H4698" s="3" t="s">
        <v>6</v>
      </c>
      <c r="I4698" s="4" t="s">
        <v>7</v>
      </c>
      <c r="J4698" s="5"/>
      <c r="K4698" s="5"/>
      <c r="L4698" s="5"/>
    </row>
    <row r="4699" spans="1:12" x14ac:dyDescent="0.25">
      <c r="A4699" s="91" t="s">
        <v>549</v>
      </c>
      <c r="B4699" s="92" t="s">
        <v>42</v>
      </c>
      <c r="C4699" s="64"/>
      <c r="D4699" s="66"/>
      <c r="E4699" s="2"/>
      <c r="F4699" s="2"/>
      <c r="G4699" s="91" t="s">
        <v>299</v>
      </c>
      <c r="H4699" s="66"/>
      <c r="I4699" s="33"/>
      <c r="J4699" s="6"/>
      <c r="K4699" s="33"/>
      <c r="L4699" s="6"/>
    </row>
    <row r="4700" spans="1:12" x14ac:dyDescent="0.25">
      <c r="A4700" s="7" t="s">
        <v>2</v>
      </c>
      <c r="B4700" s="5"/>
      <c r="C4700" s="5"/>
      <c r="D4700" s="5"/>
      <c r="E4700" s="5"/>
      <c r="F4700" s="5"/>
      <c r="G4700" s="8" t="s">
        <v>8</v>
      </c>
      <c r="H4700" s="93">
        <v>3</v>
      </c>
      <c r="I4700" s="5"/>
      <c r="J4700" s="5"/>
      <c r="K4700" s="5"/>
      <c r="L4700" s="5"/>
    </row>
    <row r="4701" spans="1:12" x14ac:dyDescent="0.25">
      <c r="A4701" s="7" t="s">
        <v>25</v>
      </c>
      <c r="B4701" s="5"/>
      <c r="C4701" s="7" t="s">
        <v>0</v>
      </c>
      <c r="D4701" s="5"/>
      <c r="E4701" s="5"/>
      <c r="F4701" s="5"/>
      <c r="G4701" s="7" t="s">
        <v>25</v>
      </c>
      <c r="H4701" s="5"/>
      <c r="I4701" s="7" t="s">
        <v>0</v>
      </c>
      <c r="J4701" s="5"/>
      <c r="K4701" s="5"/>
      <c r="L4701" s="5"/>
    </row>
    <row r="4702" spans="1:12" x14ac:dyDescent="0.25">
      <c r="A4702" s="42" t="s">
        <v>594</v>
      </c>
      <c r="B4702" s="6"/>
      <c r="C4702" s="31">
        <f>L4661</f>
        <v>1114726</v>
      </c>
      <c r="D4702" s="5"/>
      <c r="E4702" s="5"/>
      <c r="F4702" s="5"/>
      <c r="G4702" s="42"/>
      <c r="H4702" s="6"/>
      <c r="I4702" s="9"/>
      <c r="J4702" s="5"/>
      <c r="K4702" s="5"/>
      <c r="L4702" s="5"/>
    </row>
    <row r="4703" spans="1:12" ht="16.5" thickBot="1" x14ac:dyDescent="0.3">
      <c r="A4703" s="7"/>
      <c r="B4703" s="62"/>
      <c r="C4703" s="62"/>
      <c r="D4703" s="62"/>
      <c r="E4703" s="5"/>
      <c r="F4703" s="5"/>
      <c r="G4703" s="10"/>
      <c r="H4703" s="5"/>
      <c r="I4703" s="5"/>
      <c r="J4703" s="5"/>
      <c r="K4703" s="5"/>
      <c r="L4703" s="5"/>
    </row>
    <row r="4704" spans="1:12" ht="15.75" thickBot="1" x14ac:dyDescent="0.3">
      <c r="A4704" s="121" t="s">
        <v>9</v>
      </c>
      <c r="B4704" s="122"/>
      <c r="C4704" s="123"/>
      <c r="D4704" s="5"/>
      <c r="E4704" s="5"/>
      <c r="F4704" s="5"/>
      <c r="G4704" s="121" t="s">
        <v>26</v>
      </c>
      <c r="H4704" s="122"/>
      <c r="I4704" s="123"/>
      <c r="J4704" s="5"/>
      <c r="K4704" s="5"/>
      <c r="L4704" s="5"/>
    </row>
    <row r="4705" spans="1:12" x14ac:dyDescent="0.25">
      <c r="A4705" s="30" t="s">
        <v>38</v>
      </c>
      <c r="B4705" s="11"/>
      <c r="C4705" s="11"/>
      <c r="D4705" s="11"/>
      <c r="E4705" s="6"/>
      <c r="F4705" s="5"/>
      <c r="G4705" s="30" t="str">
        <f>A4708</f>
        <v>Johannesburg</v>
      </c>
      <c r="H4705" s="11"/>
      <c r="I4705" s="11"/>
      <c r="J4705" s="11"/>
      <c r="K4705" s="11"/>
      <c r="L4705" s="6"/>
    </row>
    <row r="4706" spans="1:12" ht="15.75" thickBot="1" x14ac:dyDescent="0.3">
      <c r="A4706" s="7"/>
      <c r="B4706" s="7"/>
      <c r="C4706" s="7"/>
      <c r="D4706" s="5"/>
      <c r="E4706" s="5"/>
      <c r="F4706" s="5"/>
      <c r="G4706" s="7"/>
      <c r="H4706" s="7"/>
      <c r="I4706" s="7"/>
      <c r="J4706" s="5"/>
      <c r="K4706" s="5"/>
      <c r="L4706" s="5"/>
    </row>
    <row r="4707" spans="1:12" ht="15.75" thickBot="1" x14ac:dyDescent="0.3">
      <c r="A4707" s="121"/>
      <c r="B4707" s="122"/>
      <c r="C4707" s="124"/>
      <c r="D4707" s="12" t="s">
        <v>1</v>
      </c>
      <c r="E4707" s="32"/>
      <c r="F4707" s="5"/>
      <c r="G4707" s="121" t="s">
        <v>27</v>
      </c>
      <c r="H4707" s="122"/>
      <c r="I4707" s="123"/>
      <c r="J4707" s="5"/>
      <c r="K4707" s="12" t="s">
        <v>1</v>
      </c>
      <c r="L4707" s="32">
        <v>1118154</v>
      </c>
    </row>
    <row r="4708" spans="1:12" x14ac:dyDescent="0.25">
      <c r="A4708" s="30" t="s">
        <v>68</v>
      </c>
      <c r="B4708" s="11"/>
      <c r="C4708" s="11"/>
      <c r="D4708" s="11"/>
      <c r="E4708" s="6"/>
      <c r="F4708" s="5"/>
      <c r="G4708" s="30" t="s">
        <v>364</v>
      </c>
      <c r="H4708" s="11"/>
      <c r="I4708" s="11"/>
      <c r="J4708" s="11"/>
      <c r="K4708" s="11"/>
      <c r="L4708" s="6"/>
    </row>
    <row r="4709" spans="1:12" x14ac:dyDescent="0.25">
      <c r="A4709" s="76" t="s">
        <v>591</v>
      </c>
      <c r="B4709" s="11"/>
      <c r="C4709" s="11"/>
      <c r="D4709" s="11"/>
      <c r="E4709" s="6"/>
      <c r="F4709" s="5"/>
      <c r="G4709" s="34"/>
      <c r="H4709" s="11"/>
      <c r="I4709" s="11"/>
      <c r="J4709" s="11"/>
      <c r="K4709" s="11"/>
      <c r="L4709" s="6"/>
    </row>
    <row r="4710" spans="1:12" x14ac:dyDescent="0.25">
      <c r="A4710" s="13" t="s">
        <v>448</v>
      </c>
      <c r="B4710" s="11"/>
      <c r="C4710" s="11"/>
      <c r="D4710" s="11"/>
      <c r="E4710" s="6"/>
      <c r="F4710" s="5"/>
      <c r="G4710" s="13"/>
      <c r="H4710" s="11"/>
      <c r="I4710" s="11"/>
      <c r="J4710" s="11"/>
      <c r="K4710" s="11"/>
      <c r="L4710" s="6"/>
    </row>
    <row r="4711" spans="1:12" x14ac:dyDescent="0.25">
      <c r="A4711" s="13"/>
      <c r="B4711" s="11"/>
      <c r="C4711" s="11"/>
      <c r="D4711" s="11"/>
      <c r="E4711" s="6"/>
      <c r="F4711" s="5"/>
      <c r="G4711" s="13"/>
      <c r="H4711" s="11"/>
      <c r="I4711" s="11"/>
      <c r="J4711" s="11"/>
      <c r="K4711" s="11"/>
      <c r="L4711" s="6"/>
    </row>
    <row r="4712" spans="1:12" ht="15.75" thickBot="1" x14ac:dyDescent="0.3">
      <c r="A4712" s="13"/>
      <c r="B4712" s="11"/>
      <c r="C4712" s="11" t="s">
        <v>29</v>
      </c>
      <c r="D4712" s="43"/>
      <c r="E4712" s="6"/>
      <c r="F4712" s="5"/>
      <c r="G4712" s="13"/>
      <c r="H4712" s="11"/>
      <c r="I4712" s="14" t="s">
        <v>28</v>
      </c>
      <c r="J4712" s="43"/>
      <c r="K4712" s="59"/>
      <c r="L4712" s="6"/>
    </row>
    <row r="4713" spans="1:12" ht="15.75" thickBot="1" x14ac:dyDescent="0.3">
      <c r="A4713" s="15" t="s">
        <v>10</v>
      </c>
      <c r="B4713" s="5"/>
      <c r="C4713" s="5"/>
      <c r="D4713" s="5">
        <v>665.64</v>
      </c>
      <c r="E4713" s="5"/>
      <c r="F4713" s="5"/>
      <c r="G4713" s="15" t="s">
        <v>14</v>
      </c>
      <c r="H4713" s="5"/>
      <c r="I4713" s="5"/>
      <c r="J4713" s="5"/>
      <c r="K4713" s="5"/>
      <c r="L4713" s="5"/>
    </row>
    <row r="4714" spans="1:12" ht="15.75" thickBot="1" x14ac:dyDescent="0.3">
      <c r="A4714" s="121" t="s">
        <v>11</v>
      </c>
      <c r="B4714" s="122"/>
      <c r="C4714" s="123"/>
      <c r="D4714" s="16" t="s">
        <v>12</v>
      </c>
      <c r="E4714" s="16" t="s">
        <v>13</v>
      </c>
      <c r="F4714" s="5"/>
      <c r="G4714" s="121" t="s">
        <v>15</v>
      </c>
      <c r="H4714" s="122"/>
      <c r="I4714" s="123"/>
      <c r="J4714" s="121"/>
      <c r="K4714" s="123"/>
      <c r="L4714" s="5"/>
    </row>
    <row r="4715" spans="1:12" x14ac:dyDescent="0.25">
      <c r="A4715" s="94" t="s">
        <v>596</v>
      </c>
      <c r="B4715" s="46" t="s">
        <v>597</v>
      </c>
      <c r="C4715" s="47"/>
      <c r="D4715" s="56">
        <f>421.35+327.07</f>
        <v>748.42000000000007</v>
      </c>
      <c r="E4715" s="57">
        <v>15986.25</v>
      </c>
      <c r="F4715" s="44">
        <f>E4715/D4715</f>
        <v>21.359998396622217</v>
      </c>
      <c r="G4715" s="125" t="s">
        <v>69</v>
      </c>
      <c r="H4715" s="126"/>
      <c r="I4715" s="127"/>
      <c r="J4715" s="128"/>
      <c r="K4715" s="129"/>
      <c r="L4715" s="5"/>
    </row>
    <row r="4716" spans="1:12" x14ac:dyDescent="0.25">
      <c r="A4716" s="94" t="s">
        <v>598</v>
      </c>
      <c r="B4716" s="46" t="s">
        <v>332</v>
      </c>
      <c r="C4716" s="47"/>
      <c r="D4716" s="56">
        <v>150</v>
      </c>
      <c r="E4716" s="57">
        <v>3072</v>
      </c>
      <c r="F4716" s="44">
        <f t="shared" ref="F4716:F4717" si="14">E4716/D4716</f>
        <v>20.48</v>
      </c>
      <c r="G4716" s="110" t="s">
        <v>59</v>
      </c>
      <c r="H4716" s="111"/>
      <c r="I4716" s="112"/>
      <c r="J4716" s="113"/>
      <c r="K4716" s="114"/>
      <c r="L4716" s="5"/>
    </row>
    <row r="4717" spans="1:12" x14ac:dyDescent="0.25">
      <c r="A4717" s="94">
        <v>46083</v>
      </c>
      <c r="B4717" s="46" t="s">
        <v>47</v>
      </c>
      <c r="C4717" s="47"/>
      <c r="D4717" s="56">
        <v>652.61</v>
      </c>
      <c r="E4717" s="57">
        <v>12001.49</v>
      </c>
      <c r="F4717" s="44">
        <f t="shared" si="14"/>
        <v>18.389987894761035</v>
      </c>
      <c r="G4717" s="110" t="s">
        <v>61</v>
      </c>
      <c r="H4717" s="111"/>
      <c r="I4717" s="112"/>
      <c r="J4717" s="113"/>
      <c r="K4717" s="114"/>
      <c r="L4717" s="5"/>
    </row>
    <row r="4718" spans="1:12" x14ac:dyDescent="0.25">
      <c r="A4718" s="94"/>
      <c r="B4718" s="46"/>
      <c r="C4718" s="47"/>
      <c r="D4718" s="56"/>
      <c r="E4718" s="57"/>
      <c r="F4718" s="44"/>
      <c r="G4718" s="110" t="s">
        <v>51</v>
      </c>
      <c r="H4718" s="111"/>
      <c r="I4718" s="112"/>
      <c r="J4718" s="113"/>
      <c r="K4718" s="114"/>
      <c r="L4718" s="5"/>
    </row>
    <row r="4719" spans="1:12" x14ac:dyDescent="0.25">
      <c r="A4719" s="48"/>
      <c r="B4719" s="46"/>
      <c r="C4719" s="39"/>
      <c r="D4719" s="52"/>
      <c r="E4719" s="53"/>
      <c r="F4719" s="44"/>
      <c r="G4719" s="110" t="s">
        <v>58</v>
      </c>
      <c r="H4719" s="111"/>
      <c r="I4719" s="112"/>
      <c r="J4719" s="113"/>
      <c r="K4719" s="114"/>
      <c r="L4719" s="5"/>
    </row>
    <row r="4720" spans="1:12" x14ac:dyDescent="0.25">
      <c r="A4720" s="48"/>
      <c r="B4720" s="35"/>
      <c r="C4720" s="39"/>
      <c r="D4720" s="52"/>
      <c r="E4720" s="53"/>
      <c r="F4720" s="44"/>
      <c r="G4720" s="110" t="s">
        <v>51</v>
      </c>
      <c r="H4720" s="111"/>
      <c r="I4720" s="112"/>
      <c r="J4720" s="113"/>
      <c r="K4720" s="114"/>
      <c r="L4720" s="5"/>
    </row>
    <row r="4721" spans="1:12" x14ac:dyDescent="0.25">
      <c r="A4721" s="48"/>
      <c r="B4721" s="35"/>
      <c r="C4721" s="39"/>
      <c r="D4721" s="52"/>
      <c r="E4721" s="53"/>
      <c r="F4721" s="44"/>
      <c r="G4721" s="77"/>
      <c r="H4721" s="78" t="s">
        <v>69</v>
      </c>
      <c r="I4721" s="79"/>
      <c r="J4721" s="113">
        <f>355+355</f>
        <v>710</v>
      </c>
      <c r="K4721" s="114"/>
      <c r="L4721" s="5"/>
    </row>
    <row r="4722" spans="1:12" x14ac:dyDescent="0.25">
      <c r="A4722" s="38"/>
      <c r="B4722" s="35"/>
      <c r="C4722" s="39"/>
      <c r="D4722" s="52"/>
      <c r="E4722" s="53"/>
      <c r="F4722" s="44"/>
      <c r="G4722" s="77"/>
      <c r="H4722" s="78" t="s">
        <v>72</v>
      </c>
      <c r="I4722" s="79"/>
      <c r="J4722" s="113"/>
      <c r="K4722" s="114"/>
      <c r="L4722" s="5"/>
    </row>
    <row r="4723" spans="1:12" ht="15.75" thickBot="1" x14ac:dyDescent="0.3">
      <c r="A4723" s="5"/>
      <c r="B4723" s="5"/>
      <c r="C4723" s="7" t="s">
        <v>35</v>
      </c>
      <c r="D4723" s="17">
        <f>SUM(D4715:D4722)</f>
        <v>1551.0300000000002</v>
      </c>
      <c r="E4723" s="17">
        <f>SUM(E4715:E4722)</f>
        <v>31059.739999999998</v>
      </c>
      <c r="F4723" s="89">
        <f>AVERAGE(F4715:F4719)</f>
        <v>20.076662097127752</v>
      </c>
      <c r="G4723" s="110" t="s">
        <v>73</v>
      </c>
      <c r="H4723" s="111"/>
      <c r="I4723" s="112"/>
      <c r="J4723" s="113"/>
      <c r="K4723" s="114"/>
      <c r="L4723" s="7" t="s">
        <v>36</v>
      </c>
    </row>
    <row r="4724" spans="1:12" ht="15.75" thickBot="1" x14ac:dyDescent="0.3">
      <c r="A4724" s="5"/>
      <c r="B4724" s="5"/>
      <c r="C4724" s="5"/>
      <c r="D4724" s="5"/>
      <c r="E4724" s="5"/>
      <c r="F4724" s="5"/>
      <c r="G4724" s="130"/>
      <c r="H4724" s="131"/>
      <c r="I4724" s="132"/>
      <c r="J4724" s="133"/>
      <c r="K4724" s="134"/>
      <c r="L4724" s="18">
        <f>J4715+J4716+J4717+J4718+J4719+J4720+J4721+J4722+J4723</f>
        <v>710</v>
      </c>
    </row>
    <row r="4725" spans="1:12" ht="15.75" thickBot="1" x14ac:dyDescent="0.3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</row>
    <row r="4726" spans="1:12" ht="15.75" thickBot="1" x14ac:dyDescent="0.3">
      <c r="A4726" s="19"/>
      <c r="B4726" s="20"/>
      <c r="C4726" s="20"/>
      <c r="D4726" s="20"/>
      <c r="E4726" s="21" t="s">
        <v>13</v>
      </c>
      <c r="F4726" s="5"/>
      <c r="G4726" s="19"/>
      <c r="H4726" s="20"/>
      <c r="I4726" s="20"/>
      <c r="J4726" s="20"/>
      <c r="K4726" s="21" t="s">
        <v>13</v>
      </c>
      <c r="L4726" s="5"/>
    </row>
    <row r="4727" spans="1:12" x14ac:dyDescent="0.25">
      <c r="A4727" s="22" t="s">
        <v>31</v>
      </c>
      <c r="B4727" s="115">
        <v>18166</v>
      </c>
      <c r="C4727" s="116"/>
      <c r="D4727" s="116"/>
      <c r="E4727" s="117"/>
      <c r="F4727" s="5"/>
      <c r="G4727" s="22" t="s">
        <v>32</v>
      </c>
      <c r="H4727" s="115">
        <f>43604+7412</f>
        <v>51016</v>
      </c>
      <c r="I4727" s="116"/>
      <c r="J4727" s="116"/>
      <c r="K4727" s="117"/>
      <c r="L4727" s="5"/>
    </row>
    <row r="4728" spans="1:12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</row>
    <row r="4729" spans="1:12" x14ac:dyDescent="0.25">
      <c r="A4729" s="7" t="s">
        <v>16</v>
      </c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</row>
    <row r="4730" spans="1:12" x14ac:dyDescent="0.25">
      <c r="A4730" s="9" t="s">
        <v>17</v>
      </c>
      <c r="B4730" s="23">
        <f>L4707-C4702</f>
        <v>3428</v>
      </c>
      <c r="C4730" s="5"/>
      <c r="D4730" s="106" t="s">
        <v>18</v>
      </c>
      <c r="E4730" s="107"/>
      <c r="F4730" s="24" t="s">
        <v>19</v>
      </c>
      <c r="G4730" s="9" t="s">
        <v>20</v>
      </c>
      <c r="H4730" s="118">
        <f>B4727+H4727</f>
        <v>69182</v>
      </c>
      <c r="I4730" s="119"/>
      <c r="J4730" s="60"/>
      <c r="K4730" s="5"/>
      <c r="L4730" s="5"/>
    </row>
    <row r="4731" spans="1:12" x14ac:dyDescent="0.25">
      <c r="A4731" s="9" t="s">
        <v>41</v>
      </c>
      <c r="B4731" s="40">
        <f>B4730/D4723</f>
        <v>2.2101442267396503</v>
      </c>
      <c r="C4731" s="5"/>
      <c r="D4731" s="102">
        <f>E4723</f>
        <v>31059.739999999998</v>
      </c>
      <c r="E4731" s="103"/>
      <c r="F4731" s="25">
        <f>H4731/B4730</f>
        <v>10.363634772462078</v>
      </c>
      <c r="G4731" s="9" t="s">
        <v>21</v>
      </c>
      <c r="H4731" s="104">
        <f>L4724+D4731+D4733+D4735+D4737+A4734</f>
        <v>35526.54</v>
      </c>
      <c r="I4731" s="105"/>
      <c r="J4731" s="5"/>
      <c r="K4731" s="5"/>
      <c r="L4731" s="5"/>
    </row>
    <row r="4732" spans="1:12" x14ac:dyDescent="0.25">
      <c r="A4732" s="9" t="s">
        <v>43</v>
      </c>
      <c r="B4732" s="23">
        <f>D4723/B4730*100</f>
        <v>45.245915985997669</v>
      </c>
      <c r="C4732" s="5"/>
      <c r="D4732" s="106" t="s">
        <v>33</v>
      </c>
      <c r="E4732" s="107"/>
      <c r="F4732" s="5"/>
      <c r="G4732" s="13" t="s">
        <v>22</v>
      </c>
      <c r="H4732" s="6"/>
      <c r="I4732" s="26">
        <f>H4730-H4731</f>
        <v>33655.46</v>
      </c>
      <c r="J4732" s="5"/>
      <c r="K4732" s="5">
        <f>137000+23895</f>
        <v>160895</v>
      </c>
      <c r="L4732" s="5"/>
    </row>
    <row r="4733" spans="1:12" x14ac:dyDescent="0.25">
      <c r="A4733" s="106" t="s">
        <v>40</v>
      </c>
      <c r="B4733" s="107"/>
      <c r="C4733" s="5"/>
      <c r="D4733" s="149">
        <v>1200</v>
      </c>
      <c r="E4733" s="150"/>
      <c r="F4733" s="5"/>
      <c r="G4733" s="5"/>
      <c r="H4733" s="5"/>
      <c r="I4733" s="5"/>
      <c r="J4733" s="5"/>
      <c r="K4733" s="5"/>
      <c r="L4733" s="5"/>
    </row>
    <row r="4734" spans="1:12" x14ac:dyDescent="0.25">
      <c r="A4734" s="108">
        <f>B4730*0.6</f>
        <v>2056.7999999999997</v>
      </c>
      <c r="B4734" s="109"/>
      <c r="C4734" s="5"/>
      <c r="D4734" s="106" t="s">
        <v>34</v>
      </c>
      <c r="E4734" s="107"/>
      <c r="F4734" s="5"/>
      <c r="G4734" s="145" t="s">
        <v>292</v>
      </c>
      <c r="H4734" s="146"/>
      <c r="I4734" s="23">
        <f>B4730/2.3</f>
        <v>1490.4347826086957</v>
      </c>
      <c r="J4734" s="60"/>
      <c r="K4734" s="5"/>
      <c r="L4734" s="5"/>
    </row>
    <row r="4735" spans="1:12" x14ac:dyDescent="0.25">
      <c r="A4735" s="5"/>
      <c r="B4735" s="5"/>
      <c r="C4735" s="5"/>
      <c r="D4735" s="108">
        <v>500</v>
      </c>
      <c r="E4735" s="109"/>
      <c r="F4735" s="5"/>
      <c r="G4735" s="145" t="s">
        <v>294</v>
      </c>
      <c r="H4735" s="146"/>
      <c r="I4735" s="23">
        <f>I4734-D4723</f>
        <v>-60.595217391304459</v>
      </c>
      <c r="J4735" s="5"/>
      <c r="K4735" s="5"/>
      <c r="L4735" s="5"/>
    </row>
    <row r="4736" spans="1:12" x14ac:dyDescent="0.25">
      <c r="A4736" s="5"/>
      <c r="B4736" s="5"/>
      <c r="C4736" s="5"/>
      <c r="D4736" s="106" t="s">
        <v>37</v>
      </c>
      <c r="E4736" s="107"/>
      <c r="F4736" s="5"/>
      <c r="G4736" s="147" t="s">
        <v>295</v>
      </c>
      <c r="H4736" s="148"/>
      <c r="I4736" s="86">
        <f>I4735*F4723</f>
        <v>-1216.5497042672187</v>
      </c>
      <c r="J4736" s="87">
        <f>I4732-I4736</f>
        <v>34872.009704267221</v>
      </c>
      <c r="K4736" s="5"/>
      <c r="L4736" s="5"/>
    </row>
    <row r="4737" spans="1:12" x14ac:dyDescent="0.25">
      <c r="A4737" s="5"/>
      <c r="B4737" s="5"/>
      <c r="C4737" s="5"/>
      <c r="D4737" s="108">
        <v>0</v>
      </c>
      <c r="E4737" s="109"/>
      <c r="F4737" s="5" t="s">
        <v>78</v>
      </c>
      <c r="G4737" s="5"/>
      <c r="H4737" s="5"/>
      <c r="I4737" s="5"/>
      <c r="J4737" s="88" t="s">
        <v>293</v>
      </c>
      <c r="K4737" s="44"/>
      <c r="L4737" s="5"/>
    </row>
    <row r="4739" spans="1:12" s="49" customFormat="1" x14ac:dyDescent="0.25"/>
    <row r="4742" spans="1:12" x14ac:dyDescent="0.25">
      <c r="A4742" s="120" t="s">
        <v>24</v>
      </c>
      <c r="B4742" s="120"/>
      <c r="C4742" s="120"/>
      <c r="D4742" s="120"/>
      <c r="E4742" s="120"/>
      <c r="F4742" s="120"/>
      <c r="G4742" s="120"/>
      <c r="H4742" s="120"/>
      <c r="I4742" s="120"/>
      <c r="J4742" s="120"/>
      <c r="K4742" s="120"/>
      <c r="L4742" s="120"/>
    </row>
    <row r="4743" spans="1:12" x14ac:dyDescent="0.25">
      <c r="A4743" s="120"/>
      <c r="B4743" s="120"/>
      <c r="C4743" s="120"/>
      <c r="D4743" s="120"/>
      <c r="E4743" s="120"/>
      <c r="F4743" s="120"/>
      <c r="G4743" s="120"/>
      <c r="H4743" s="120"/>
      <c r="I4743" s="120"/>
      <c r="J4743" s="120"/>
      <c r="K4743" s="120"/>
      <c r="L4743" s="120"/>
    </row>
    <row r="4744" spans="1:12" x14ac:dyDescent="0.25">
      <c r="A4744" s="1" t="s">
        <v>4</v>
      </c>
      <c r="B4744" s="2"/>
      <c r="C4744" s="90"/>
      <c r="D4744" s="2"/>
      <c r="E4744" s="2"/>
      <c r="F4744" s="2"/>
      <c r="G4744" s="3" t="s">
        <v>5</v>
      </c>
      <c r="H4744" s="3" t="s">
        <v>6</v>
      </c>
      <c r="I4744" s="4" t="s">
        <v>7</v>
      </c>
      <c r="J4744" s="5"/>
      <c r="K4744" s="5"/>
      <c r="L4744" s="5"/>
    </row>
    <row r="4745" spans="1:12" x14ac:dyDescent="0.25">
      <c r="A4745" s="91" t="s">
        <v>549</v>
      </c>
      <c r="B4745" s="92" t="s">
        <v>599</v>
      </c>
      <c r="C4745" s="64"/>
      <c r="D4745" s="66"/>
      <c r="E4745" s="2"/>
      <c r="F4745" s="2"/>
      <c r="G4745" s="91" t="s">
        <v>299</v>
      </c>
      <c r="H4745" s="66"/>
      <c r="I4745" s="33"/>
      <c r="J4745" s="6"/>
      <c r="K4745" s="33"/>
      <c r="L4745" s="6"/>
    </row>
    <row r="4746" spans="1:12" x14ac:dyDescent="0.25">
      <c r="A4746" s="7" t="s">
        <v>2</v>
      </c>
      <c r="B4746" s="5"/>
      <c r="C4746" s="5"/>
      <c r="D4746" s="5"/>
      <c r="E4746" s="5"/>
      <c r="F4746" s="5"/>
      <c r="G4746" s="8" t="s">
        <v>8</v>
      </c>
      <c r="H4746" s="93">
        <v>3</v>
      </c>
      <c r="I4746" s="5"/>
      <c r="J4746" s="5"/>
      <c r="K4746" s="5"/>
      <c r="L4746" s="5"/>
    </row>
    <row r="4747" spans="1:12" x14ac:dyDescent="0.25">
      <c r="A4747" s="7" t="s">
        <v>25</v>
      </c>
      <c r="B4747" s="5"/>
      <c r="C4747" s="7" t="s">
        <v>0</v>
      </c>
      <c r="D4747" s="5"/>
      <c r="E4747" s="5"/>
      <c r="F4747" s="5"/>
      <c r="G4747" s="7" t="s">
        <v>25</v>
      </c>
      <c r="H4747" s="5"/>
      <c r="I4747" s="7" t="s">
        <v>0</v>
      </c>
      <c r="J4747" s="5"/>
      <c r="K4747" s="5"/>
      <c r="L4747" s="5"/>
    </row>
    <row r="4748" spans="1:12" x14ac:dyDescent="0.25">
      <c r="A4748" s="42" t="s">
        <v>594</v>
      </c>
      <c r="B4748" s="6"/>
      <c r="C4748" s="31">
        <f>L4707</f>
        <v>1118154</v>
      </c>
      <c r="D4748" s="5"/>
      <c r="E4748" s="5"/>
      <c r="F4748" s="5"/>
      <c r="G4748" s="42"/>
      <c r="H4748" s="6"/>
      <c r="I4748" s="9"/>
      <c r="J4748" s="5"/>
      <c r="K4748" s="5"/>
      <c r="L4748" s="5"/>
    </row>
    <row r="4749" spans="1:12" ht="16.5" thickBot="1" x14ac:dyDescent="0.3">
      <c r="A4749" s="7"/>
      <c r="B4749" s="62"/>
      <c r="C4749" s="62"/>
      <c r="D4749" s="62"/>
      <c r="E4749" s="5"/>
      <c r="F4749" s="5"/>
      <c r="G4749" s="10"/>
      <c r="H4749" s="5"/>
      <c r="I4749" s="5"/>
      <c r="J4749" s="5"/>
      <c r="K4749" s="5"/>
      <c r="L4749" s="5"/>
    </row>
    <row r="4750" spans="1:12" ht="15.75" thickBot="1" x14ac:dyDescent="0.3">
      <c r="A4750" s="121" t="s">
        <v>9</v>
      </c>
      <c r="B4750" s="122"/>
      <c r="C4750" s="123"/>
      <c r="D4750" s="5"/>
      <c r="E4750" s="5"/>
      <c r="F4750" s="5"/>
      <c r="G4750" s="121" t="s">
        <v>26</v>
      </c>
      <c r="H4750" s="122"/>
      <c r="I4750" s="123"/>
      <c r="J4750" s="5"/>
      <c r="K4750" s="5"/>
      <c r="L4750" s="5"/>
    </row>
    <row r="4751" spans="1:12" x14ac:dyDescent="0.25">
      <c r="A4751" s="30" t="s">
        <v>38</v>
      </c>
      <c r="B4751" s="11"/>
      <c r="C4751" s="11"/>
      <c r="D4751" s="11"/>
      <c r="E4751" s="6"/>
      <c r="F4751" s="5"/>
      <c r="G4751" s="30" t="str">
        <f>A4754</f>
        <v>Paulpietersburg</v>
      </c>
      <c r="H4751" s="11"/>
      <c r="I4751" s="11"/>
      <c r="J4751" s="11"/>
      <c r="K4751" s="11"/>
      <c r="L4751" s="6"/>
    </row>
    <row r="4752" spans="1:12" ht="15.75" thickBot="1" x14ac:dyDescent="0.3">
      <c r="A4752" s="7"/>
      <c r="B4752" s="7"/>
      <c r="C4752" s="7"/>
      <c r="D4752" s="5"/>
      <c r="E4752" s="5"/>
      <c r="F4752" s="5"/>
      <c r="G4752" s="7"/>
      <c r="H4752" s="7"/>
      <c r="I4752" s="7"/>
      <c r="J4752" s="5"/>
      <c r="K4752" s="5"/>
      <c r="L4752" s="5"/>
    </row>
    <row r="4753" spans="1:12" ht="15.75" thickBot="1" x14ac:dyDescent="0.3">
      <c r="A4753" s="121"/>
      <c r="B4753" s="122"/>
      <c r="C4753" s="124"/>
      <c r="D4753" s="12" t="s">
        <v>1</v>
      </c>
      <c r="E4753" s="32"/>
      <c r="F4753" s="5"/>
      <c r="G4753" s="121" t="s">
        <v>27</v>
      </c>
      <c r="H4753" s="122"/>
      <c r="I4753" s="123"/>
      <c r="J4753" s="5"/>
      <c r="K4753" s="12" t="s">
        <v>1</v>
      </c>
      <c r="L4753" s="32">
        <v>1124902</v>
      </c>
    </row>
    <row r="4754" spans="1:12" x14ac:dyDescent="0.25">
      <c r="A4754" s="30" t="s">
        <v>600</v>
      </c>
      <c r="B4754" s="11"/>
      <c r="C4754" s="11"/>
      <c r="D4754" s="11"/>
      <c r="E4754" s="6"/>
      <c r="F4754" s="5"/>
      <c r="G4754" s="30" t="s">
        <v>606</v>
      </c>
      <c r="H4754" s="11"/>
      <c r="I4754" s="11"/>
      <c r="J4754" s="11"/>
      <c r="K4754" s="11"/>
      <c r="L4754" s="6"/>
    </row>
    <row r="4755" spans="1:12" x14ac:dyDescent="0.25">
      <c r="A4755" s="76" t="s">
        <v>601</v>
      </c>
      <c r="B4755" s="11"/>
      <c r="C4755" s="11"/>
      <c r="D4755" s="11"/>
      <c r="E4755" s="6"/>
      <c r="F4755" s="5"/>
      <c r="G4755" s="34"/>
      <c r="H4755" s="11"/>
      <c r="I4755" s="11"/>
      <c r="J4755" s="11"/>
      <c r="K4755" s="11"/>
      <c r="L4755" s="6"/>
    </row>
    <row r="4756" spans="1:12" x14ac:dyDescent="0.25">
      <c r="A4756" s="13"/>
      <c r="B4756" s="11"/>
      <c r="C4756" s="11"/>
      <c r="D4756" s="11"/>
      <c r="E4756" s="6"/>
      <c r="F4756" s="5"/>
      <c r="G4756" s="13"/>
      <c r="H4756" s="11"/>
      <c r="I4756" s="11"/>
      <c r="J4756" s="11"/>
      <c r="K4756" s="11"/>
      <c r="L4756" s="6"/>
    </row>
    <row r="4757" spans="1:12" x14ac:dyDescent="0.25">
      <c r="A4757" s="13"/>
      <c r="B4757" s="11"/>
      <c r="C4757" s="11"/>
      <c r="D4757" s="11"/>
      <c r="E4757" s="6"/>
      <c r="F4757" s="5"/>
      <c r="G4757" s="13"/>
      <c r="H4757" s="11"/>
      <c r="I4757" s="11"/>
      <c r="J4757" s="11"/>
      <c r="K4757" s="11"/>
      <c r="L4757" s="6"/>
    </row>
    <row r="4758" spans="1:12" ht="15.75" thickBot="1" x14ac:dyDescent="0.3">
      <c r="A4758" s="13"/>
      <c r="B4758" s="11"/>
      <c r="C4758" s="11" t="s">
        <v>29</v>
      </c>
      <c r="D4758" s="43"/>
      <c r="E4758" s="6"/>
      <c r="F4758" s="5"/>
      <c r="G4758" s="13"/>
      <c r="H4758" s="11"/>
      <c r="I4758" s="14" t="s">
        <v>28</v>
      </c>
      <c r="J4758" s="43"/>
      <c r="K4758" s="59"/>
      <c r="L4758" s="6"/>
    </row>
    <row r="4759" spans="1:12" ht="15.75" thickBot="1" x14ac:dyDescent="0.3">
      <c r="A4759" s="15" t="s">
        <v>10</v>
      </c>
      <c r="B4759" s="5"/>
      <c r="C4759" s="5"/>
      <c r="D4759" s="5">
        <v>665.64</v>
      </c>
      <c r="E4759" s="5"/>
      <c r="F4759" s="5"/>
      <c r="G4759" s="15" t="s">
        <v>14</v>
      </c>
      <c r="H4759" s="5"/>
      <c r="I4759" s="5"/>
      <c r="J4759" s="5"/>
      <c r="K4759" s="5"/>
      <c r="L4759" s="5"/>
    </row>
    <row r="4760" spans="1:12" ht="15.75" thickBot="1" x14ac:dyDescent="0.3">
      <c r="A4760" s="121" t="s">
        <v>11</v>
      </c>
      <c r="B4760" s="122"/>
      <c r="C4760" s="123"/>
      <c r="D4760" s="16" t="s">
        <v>12</v>
      </c>
      <c r="E4760" s="16" t="s">
        <v>13</v>
      </c>
      <c r="F4760" s="5"/>
      <c r="G4760" s="121" t="s">
        <v>15</v>
      </c>
      <c r="H4760" s="122"/>
      <c r="I4760" s="123"/>
      <c r="J4760" s="121"/>
      <c r="K4760" s="123"/>
      <c r="L4760" s="5"/>
    </row>
    <row r="4761" spans="1:12" x14ac:dyDescent="0.25">
      <c r="A4761" s="94">
        <v>46057</v>
      </c>
      <c r="B4761" s="46" t="s">
        <v>602</v>
      </c>
      <c r="C4761" s="47"/>
      <c r="D4761" s="56">
        <v>397.99900000000002</v>
      </c>
      <c r="E4761" s="57">
        <v>8242.5499999999993</v>
      </c>
      <c r="F4761" s="44">
        <f>E4761/D4761</f>
        <v>20.709976658232808</v>
      </c>
      <c r="G4761" s="125" t="s">
        <v>69</v>
      </c>
      <c r="H4761" s="126"/>
      <c r="I4761" s="127"/>
      <c r="J4761" s="128">
        <v>321</v>
      </c>
      <c r="K4761" s="129"/>
      <c r="L4761" s="5"/>
    </row>
    <row r="4762" spans="1:12" x14ac:dyDescent="0.25">
      <c r="A4762" s="94">
        <v>46175</v>
      </c>
      <c r="B4762" s="46" t="s">
        <v>603</v>
      </c>
      <c r="C4762" s="47"/>
      <c r="D4762" s="56">
        <v>369.30500000000001</v>
      </c>
      <c r="E4762" s="57">
        <v>7781.25</v>
      </c>
      <c r="F4762" s="44">
        <f t="shared" ref="F4762:F4765" si="15">E4762/D4762</f>
        <v>21.069982805540135</v>
      </c>
      <c r="G4762" s="110" t="s">
        <v>59</v>
      </c>
      <c r="H4762" s="111"/>
      <c r="I4762" s="112"/>
      <c r="J4762" s="113">
        <f>59+67</f>
        <v>126</v>
      </c>
      <c r="K4762" s="114"/>
      <c r="L4762" s="5"/>
    </row>
    <row r="4763" spans="1:12" x14ac:dyDescent="0.25">
      <c r="A4763" s="94">
        <v>46297</v>
      </c>
      <c r="B4763" s="46" t="s">
        <v>604</v>
      </c>
      <c r="C4763" s="47"/>
      <c r="D4763" s="56">
        <v>535.779</v>
      </c>
      <c r="E4763" s="57">
        <v>9697.6</v>
      </c>
      <c r="F4763" s="44">
        <f t="shared" si="15"/>
        <v>18.10000018664412</v>
      </c>
      <c r="G4763" s="110" t="s">
        <v>61</v>
      </c>
      <c r="H4763" s="111"/>
      <c r="I4763" s="112"/>
      <c r="J4763" s="113">
        <v>313</v>
      </c>
      <c r="K4763" s="114"/>
      <c r="L4763" s="5"/>
    </row>
    <row r="4764" spans="1:12" x14ac:dyDescent="0.25">
      <c r="A4764" s="94" t="s">
        <v>605</v>
      </c>
      <c r="B4764" s="46" t="s">
        <v>47</v>
      </c>
      <c r="C4764" s="47"/>
      <c r="D4764" s="56">
        <v>635.86</v>
      </c>
      <c r="E4764" s="57">
        <v>12793.47</v>
      </c>
      <c r="F4764" s="44">
        <f t="shared" si="15"/>
        <v>20.119947787248766</v>
      </c>
      <c r="G4764" s="110" t="s">
        <v>51</v>
      </c>
      <c r="H4764" s="111"/>
      <c r="I4764" s="112"/>
      <c r="J4764" s="113">
        <v>730</v>
      </c>
      <c r="K4764" s="114"/>
      <c r="L4764" s="5"/>
    </row>
    <row r="4765" spans="1:12" x14ac:dyDescent="0.25">
      <c r="A4765" s="48" t="s">
        <v>607</v>
      </c>
      <c r="B4765" s="46" t="s">
        <v>47</v>
      </c>
      <c r="C4765" s="39"/>
      <c r="D4765" s="52">
        <v>590.85</v>
      </c>
      <c r="E4765" s="53">
        <v>11887.87</v>
      </c>
      <c r="F4765" s="44">
        <f t="shared" si="15"/>
        <v>20.11994584073792</v>
      </c>
      <c r="G4765" s="110" t="s">
        <v>58</v>
      </c>
      <c r="H4765" s="111"/>
      <c r="I4765" s="112"/>
      <c r="J4765" s="113">
        <v>122</v>
      </c>
      <c r="K4765" s="114"/>
      <c r="L4765" s="5"/>
    </row>
    <row r="4766" spans="1:12" x14ac:dyDescent="0.25">
      <c r="A4766" s="48"/>
      <c r="B4766" s="35"/>
      <c r="C4766" s="39"/>
      <c r="D4766" s="52"/>
      <c r="E4766" s="53"/>
      <c r="F4766" s="44"/>
      <c r="G4766" s="110" t="s">
        <v>51</v>
      </c>
      <c r="H4766" s="111"/>
      <c r="I4766" s="112"/>
      <c r="J4766" s="113">
        <v>219</v>
      </c>
      <c r="K4766" s="114"/>
      <c r="L4766" s="5"/>
    </row>
    <row r="4767" spans="1:12" x14ac:dyDescent="0.25">
      <c r="A4767" s="48"/>
      <c r="B4767" s="35"/>
      <c r="C4767" s="39"/>
      <c r="D4767" s="52"/>
      <c r="E4767" s="53"/>
      <c r="F4767" s="44"/>
      <c r="G4767" s="77"/>
      <c r="H4767" s="78" t="s">
        <v>69</v>
      </c>
      <c r="I4767" s="79"/>
      <c r="J4767" s="113">
        <v>101</v>
      </c>
      <c r="K4767" s="114"/>
      <c r="L4767" s="5"/>
    </row>
    <row r="4768" spans="1:12" x14ac:dyDescent="0.25">
      <c r="A4768" s="38"/>
      <c r="B4768" s="35"/>
      <c r="C4768" s="39"/>
      <c r="D4768" s="52"/>
      <c r="E4768" s="53"/>
      <c r="F4768" s="44"/>
      <c r="G4768" s="77"/>
      <c r="H4768" s="78" t="s">
        <v>72</v>
      </c>
      <c r="I4768" s="79"/>
      <c r="J4768" s="113">
        <v>55</v>
      </c>
      <c r="K4768" s="114"/>
      <c r="L4768" s="5"/>
    </row>
    <row r="4769" spans="1:12" ht="15.75" thickBot="1" x14ac:dyDescent="0.3">
      <c r="A4769" s="5"/>
      <c r="B4769" s="5"/>
      <c r="C4769" s="7" t="s">
        <v>35</v>
      </c>
      <c r="D4769" s="17">
        <f>SUM(D4761:D4768)</f>
        <v>2529.7930000000001</v>
      </c>
      <c r="E4769" s="17">
        <f>SUM(E4761:E4768)</f>
        <v>50402.740000000005</v>
      </c>
      <c r="F4769" s="89">
        <f>AVERAGE(F4761:F4765)</f>
        <v>20.023970655680749</v>
      </c>
      <c r="G4769" s="110" t="s">
        <v>73</v>
      </c>
      <c r="H4769" s="111"/>
      <c r="I4769" s="112"/>
      <c r="J4769" s="113">
        <v>244</v>
      </c>
      <c r="K4769" s="114"/>
      <c r="L4769" s="7" t="s">
        <v>36</v>
      </c>
    </row>
    <row r="4770" spans="1:12" ht="15.75" thickBot="1" x14ac:dyDescent="0.3">
      <c r="A4770" s="5"/>
      <c r="B4770" s="5"/>
      <c r="C4770" s="5"/>
      <c r="D4770" s="5"/>
      <c r="E4770" s="5"/>
      <c r="F4770" s="5"/>
      <c r="G4770" s="130"/>
      <c r="H4770" s="131"/>
      <c r="I4770" s="132"/>
      <c r="J4770" s="133"/>
      <c r="K4770" s="134"/>
      <c r="L4770" s="18">
        <f>J4761+J4762+J4763+J4764+J4765+J4766+J4767+J4768+J4769</f>
        <v>2231</v>
      </c>
    </row>
    <row r="4771" spans="1:12" ht="15.75" thickBot="1" x14ac:dyDescent="0.3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</row>
    <row r="4772" spans="1:12" ht="15.75" thickBot="1" x14ac:dyDescent="0.3">
      <c r="A4772" s="19"/>
      <c r="B4772" s="20"/>
      <c r="C4772" s="20"/>
      <c r="D4772" s="20"/>
      <c r="E4772" s="21" t="s">
        <v>13</v>
      </c>
      <c r="F4772" s="5"/>
      <c r="G4772" s="19"/>
      <c r="H4772" s="20"/>
      <c r="I4772" s="20"/>
      <c r="J4772" s="20"/>
      <c r="K4772" s="21" t="s">
        <v>13</v>
      </c>
      <c r="L4772" s="5"/>
    </row>
    <row r="4773" spans="1:12" x14ac:dyDescent="0.25">
      <c r="A4773" s="22" t="s">
        <v>31</v>
      </c>
      <c r="B4773" s="115">
        <v>26728</v>
      </c>
      <c r="C4773" s="116"/>
      <c r="D4773" s="116"/>
      <c r="E4773" s="117"/>
      <c r="F4773" s="5"/>
      <c r="G4773" s="22" t="s">
        <v>32</v>
      </c>
      <c r="H4773" s="115">
        <v>76900</v>
      </c>
      <c r="I4773" s="116"/>
      <c r="J4773" s="116"/>
      <c r="K4773" s="117"/>
      <c r="L4773" s="5"/>
    </row>
    <row r="4774" spans="1:12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</row>
    <row r="4775" spans="1:12" x14ac:dyDescent="0.25">
      <c r="A4775" s="7" t="s">
        <v>16</v>
      </c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</row>
    <row r="4776" spans="1:12" x14ac:dyDescent="0.25">
      <c r="A4776" s="9" t="s">
        <v>17</v>
      </c>
      <c r="B4776" s="23">
        <f>L4753-C4748</f>
        <v>6748</v>
      </c>
      <c r="C4776" s="5"/>
      <c r="D4776" s="106" t="s">
        <v>18</v>
      </c>
      <c r="E4776" s="107"/>
      <c r="F4776" s="24" t="s">
        <v>19</v>
      </c>
      <c r="G4776" s="9" t="s">
        <v>20</v>
      </c>
      <c r="H4776" s="118">
        <f>B4773+H4773</f>
        <v>103628</v>
      </c>
      <c r="I4776" s="119"/>
      <c r="J4776" s="60"/>
      <c r="K4776" s="5"/>
      <c r="L4776" s="5"/>
    </row>
    <row r="4777" spans="1:12" x14ac:dyDescent="0.25">
      <c r="A4777" s="9" t="s">
        <v>41</v>
      </c>
      <c r="B4777" s="40">
        <f>B4776/D4769</f>
        <v>2.6674119186826748</v>
      </c>
      <c r="C4777" s="5"/>
      <c r="D4777" s="102">
        <f>E4769</f>
        <v>50402.740000000005</v>
      </c>
      <c r="E4777" s="103"/>
      <c r="F4777" s="25">
        <f>H4777/B4776</f>
        <v>8.9333935981031427</v>
      </c>
      <c r="G4777" s="9" t="s">
        <v>21</v>
      </c>
      <c r="H4777" s="104">
        <f>L4770+D4777+D4779+D4781+D4783+A4780</f>
        <v>60282.540000000008</v>
      </c>
      <c r="I4777" s="105"/>
      <c r="J4777" s="5"/>
      <c r="K4777" s="5"/>
      <c r="L4777" s="5"/>
    </row>
    <row r="4778" spans="1:12" x14ac:dyDescent="0.25">
      <c r="A4778" s="9" t="s">
        <v>43</v>
      </c>
      <c r="B4778" s="23">
        <f>D4769/B4776*100</f>
        <v>37.489522821576763</v>
      </c>
      <c r="C4778" s="5"/>
      <c r="D4778" s="106" t="s">
        <v>33</v>
      </c>
      <c r="E4778" s="107"/>
      <c r="F4778" s="5"/>
      <c r="G4778" s="13" t="s">
        <v>22</v>
      </c>
      <c r="H4778" s="6"/>
      <c r="I4778" s="26">
        <f>H4776-H4777</f>
        <v>43345.459999999992</v>
      </c>
      <c r="J4778" s="5"/>
      <c r="K4778" s="5">
        <f>137000+23895</f>
        <v>160895</v>
      </c>
      <c r="L4778" s="5"/>
    </row>
    <row r="4779" spans="1:12" x14ac:dyDescent="0.25">
      <c r="A4779" s="106" t="s">
        <v>40</v>
      </c>
      <c r="B4779" s="107"/>
      <c r="C4779" s="5"/>
      <c r="D4779" s="149">
        <v>1600</v>
      </c>
      <c r="E4779" s="150"/>
      <c r="F4779" s="5"/>
      <c r="G4779" s="5"/>
      <c r="H4779" s="5"/>
      <c r="I4779" s="5"/>
      <c r="J4779" s="5"/>
      <c r="K4779" s="5"/>
      <c r="L4779" s="5"/>
    </row>
    <row r="4780" spans="1:12" x14ac:dyDescent="0.25">
      <c r="A4780" s="108">
        <f>B4776*0.6</f>
        <v>4048.7999999999997</v>
      </c>
      <c r="B4780" s="109"/>
      <c r="C4780" s="5"/>
      <c r="D4780" s="106" t="s">
        <v>34</v>
      </c>
      <c r="E4780" s="107"/>
      <c r="F4780" s="5"/>
      <c r="G4780" s="145" t="s">
        <v>292</v>
      </c>
      <c r="H4780" s="146"/>
      <c r="I4780" s="23">
        <f>B4776/2.3</f>
        <v>2933.913043478261</v>
      </c>
      <c r="J4780" s="60"/>
      <c r="K4780" s="5"/>
      <c r="L4780" s="5"/>
    </row>
    <row r="4781" spans="1:12" x14ac:dyDescent="0.25">
      <c r="A4781" s="5"/>
      <c r="B4781" s="5"/>
      <c r="C4781" s="5"/>
      <c r="D4781" s="108">
        <v>2000</v>
      </c>
      <c r="E4781" s="109"/>
      <c r="F4781" s="5"/>
      <c r="G4781" s="145" t="s">
        <v>294</v>
      </c>
      <c r="H4781" s="146"/>
      <c r="I4781" s="23">
        <f>I4780-D4769</f>
        <v>404.12004347826087</v>
      </c>
      <c r="J4781" s="5"/>
      <c r="K4781" s="5"/>
      <c r="L4781" s="5"/>
    </row>
    <row r="4782" spans="1:12" x14ac:dyDescent="0.25">
      <c r="A4782" s="5"/>
      <c r="B4782" s="5"/>
      <c r="C4782" s="5"/>
      <c r="D4782" s="106" t="s">
        <v>37</v>
      </c>
      <c r="E4782" s="107"/>
      <c r="F4782" s="5"/>
      <c r="G4782" s="147" t="s">
        <v>295</v>
      </c>
      <c r="H4782" s="148"/>
      <c r="I4782" s="86">
        <f>I4781*F4769</f>
        <v>8092.0878919811239</v>
      </c>
      <c r="J4782" s="87">
        <f>I4778-I4782</f>
        <v>35253.37210801887</v>
      </c>
      <c r="K4782" s="5"/>
      <c r="L4782" s="5"/>
    </row>
    <row r="4783" spans="1:12" x14ac:dyDescent="0.25">
      <c r="A4783" s="5"/>
      <c r="B4783" s="5"/>
      <c r="C4783" s="5"/>
      <c r="D4783" s="108">
        <v>0</v>
      </c>
      <c r="E4783" s="109"/>
      <c r="F4783" s="5" t="s">
        <v>78</v>
      </c>
      <c r="G4783" s="5"/>
      <c r="H4783" s="5"/>
      <c r="I4783" s="5"/>
      <c r="J4783" s="88" t="s">
        <v>293</v>
      </c>
      <c r="K4783" s="44"/>
      <c r="L4783" s="5"/>
    </row>
    <row r="4785" spans="1:12" s="49" customFormat="1" x14ac:dyDescent="0.25"/>
    <row r="4788" spans="1:12" x14ac:dyDescent="0.25">
      <c r="A4788" s="120" t="s">
        <v>24</v>
      </c>
      <c r="B4788" s="120"/>
      <c r="C4788" s="120"/>
      <c r="D4788" s="120"/>
      <c r="E4788" s="120"/>
      <c r="F4788" s="120"/>
      <c r="G4788" s="120"/>
      <c r="H4788" s="120"/>
      <c r="I4788" s="120"/>
      <c r="J4788" s="120"/>
      <c r="K4788" s="120"/>
      <c r="L4788" s="120"/>
    </row>
    <row r="4789" spans="1:12" x14ac:dyDescent="0.25">
      <c r="A4789" s="120"/>
      <c r="B4789" s="120"/>
      <c r="C4789" s="120"/>
      <c r="D4789" s="120"/>
      <c r="E4789" s="120"/>
      <c r="F4789" s="120"/>
      <c r="G4789" s="120"/>
      <c r="H4789" s="120"/>
      <c r="I4789" s="120"/>
      <c r="J4789" s="120"/>
      <c r="K4789" s="120"/>
      <c r="L4789" s="120"/>
    </row>
    <row r="4790" spans="1:12" x14ac:dyDescent="0.25">
      <c r="A4790" s="1" t="s">
        <v>4</v>
      </c>
      <c r="B4790" s="2"/>
      <c r="C4790" s="90"/>
      <c r="D4790" s="2"/>
      <c r="E4790" s="2"/>
      <c r="F4790" s="2"/>
      <c r="G4790" s="3" t="s">
        <v>5</v>
      </c>
      <c r="H4790" s="3" t="s">
        <v>6</v>
      </c>
      <c r="I4790" s="4" t="s">
        <v>7</v>
      </c>
      <c r="J4790" s="5"/>
      <c r="K4790" s="5"/>
      <c r="L4790" s="5"/>
    </row>
    <row r="4791" spans="1:12" x14ac:dyDescent="0.25">
      <c r="A4791" s="91" t="s">
        <v>549</v>
      </c>
      <c r="B4791" s="92" t="s">
        <v>599</v>
      </c>
      <c r="C4791" s="64"/>
      <c r="D4791" s="66"/>
      <c r="E4791" s="2"/>
      <c r="F4791" s="2"/>
      <c r="G4791" s="91" t="s">
        <v>299</v>
      </c>
      <c r="H4791" s="66"/>
      <c r="I4791" s="33"/>
      <c r="J4791" s="6"/>
      <c r="K4791" s="33"/>
      <c r="L4791" s="6"/>
    </row>
    <row r="4792" spans="1:12" x14ac:dyDescent="0.25">
      <c r="A4792" s="7" t="s">
        <v>2</v>
      </c>
      <c r="B4792" s="5"/>
      <c r="C4792" s="5"/>
      <c r="D4792" s="5"/>
      <c r="E4792" s="5"/>
      <c r="F4792" s="5"/>
      <c r="G4792" s="8" t="s">
        <v>8</v>
      </c>
      <c r="H4792" s="93">
        <v>3</v>
      </c>
      <c r="I4792" s="5"/>
      <c r="J4792" s="5"/>
      <c r="K4792" s="5"/>
      <c r="L4792" s="5"/>
    </row>
    <row r="4793" spans="1:12" x14ac:dyDescent="0.25">
      <c r="A4793" s="7" t="s">
        <v>25</v>
      </c>
      <c r="B4793" s="5"/>
      <c r="C4793" s="7" t="s">
        <v>0</v>
      </c>
      <c r="D4793" s="5"/>
      <c r="E4793" s="5"/>
      <c r="F4793" s="5"/>
      <c r="G4793" s="7" t="s">
        <v>25</v>
      </c>
      <c r="H4793" s="5"/>
      <c r="I4793" s="7" t="s">
        <v>0</v>
      </c>
      <c r="J4793" s="5"/>
      <c r="K4793" s="5"/>
      <c r="L4793" s="5"/>
    </row>
    <row r="4794" spans="1:12" x14ac:dyDescent="0.25">
      <c r="A4794" s="42" t="s">
        <v>607</v>
      </c>
      <c r="B4794" s="6"/>
      <c r="C4794" s="31">
        <f>L4753</f>
        <v>1124902</v>
      </c>
      <c r="D4794" s="5"/>
      <c r="E4794" s="5"/>
      <c r="F4794" s="5"/>
      <c r="G4794" s="42"/>
      <c r="H4794" s="6"/>
      <c r="I4794" s="9"/>
      <c r="J4794" s="5"/>
      <c r="K4794" s="5"/>
      <c r="L4794" s="5"/>
    </row>
    <row r="4795" spans="1:12" ht="16.5" thickBot="1" x14ac:dyDescent="0.3">
      <c r="A4795" s="7"/>
      <c r="B4795" s="62"/>
      <c r="C4795" s="62"/>
      <c r="D4795" s="62"/>
      <c r="E4795" s="5"/>
      <c r="F4795" s="5"/>
      <c r="G4795" s="10"/>
      <c r="H4795" s="5"/>
      <c r="I4795" s="5"/>
      <c r="J4795" s="5"/>
      <c r="K4795" s="5"/>
      <c r="L4795" s="5"/>
    </row>
    <row r="4796" spans="1:12" ht="15.75" thickBot="1" x14ac:dyDescent="0.3">
      <c r="A4796" s="121" t="s">
        <v>9</v>
      </c>
      <c r="B4796" s="122"/>
      <c r="C4796" s="123"/>
      <c r="D4796" s="5"/>
      <c r="E4796" s="5"/>
      <c r="F4796" s="5"/>
      <c r="G4796" s="121" t="s">
        <v>26</v>
      </c>
      <c r="H4796" s="122"/>
      <c r="I4796" s="123"/>
      <c r="J4796" s="5"/>
      <c r="K4796" s="5"/>
      <c r="L4796" s="5"/>
    </row>
    <row r="4797" spans="1:12" x14ac:dyDescent="0.25">
      <c r="A4797" s="30" t="s">
        <v>38</v>
      </c>
      <c r="B4797" s="11"/>
      <c r="C4797" s="11"/>
      <c r="D4797" s="11"/>
      <c r="E4797" s="6"/>
      <c r="F4797" s="5"/>
      <c r="G4797" s="30" t="str">
        <f>A4800</f>
        <v>Durban</v>
      </c>
      <c r="H4797" s="11"/>
      <c r="I4797" s="11"/>
      <c r="J4797" s="11"/>
      <c r="K4797" s="11"/>
      <c r="L4797" s="6"/>
    </row>
    <row r="4798" spans="1:12" ht="15.75" thickBot="1" x14ac:dyDescent="0.3">
      <c r="A4798" s="7"/>
      <c r="B4798" s="7"/>
      <c r="C4798" s="7"/>
      <c r="D4798" s="5"/>
      <c r="E4798" s="5"/>
      <c r="F4798" s="5"/>
      <c r="G4798" s="7"/>
      <c r="H4798" s="7"/>
      <c r="I4798" s="7"/>
      <c r="J4798" s="5"/>
      <c r="K4798" s="5"/>
      <c r="L4798" s="5"/>
    </row>
    <row r="4799" spans="1:12" ht="15.75" thickBot="1" x14ac:dyDescent="0.3">
      <c r="A4799" s="121"/>
      <c r="B4799" s="122"/>
      <c r="C4799" s="124"/>
      <c r="D4799" s="12" t="s">
        <v>1</v>
      </c>
      <c r="E4799" s="32"/>
      <c r="F4799" s="5"/>
      <c r="G4799" s="121" t="s">
        <v>27</v>
      </c>
      <c r="H4799" s="122"/>
      <c r="I4799" s="123"/>
      <c r="J4799" s="5"/>
      <c r="K4799" s="12" t="s">
        <v>1</v>
      </c>
      <c r="L4799" s="32">
        <v>1131533</v>
      </c>
    </row>
    <row r="4800" spans="1:12" x14ac:dyDescent="0.25">
      <c r="A4800" s="30" t="s">
        <v>318</v>
      </c>
      <c r="B4800" s="11"/>
      <c r="C4800" s="11"/>
      <c r="D4800" s="11"/>
      <c r="E4800" s="6"/>
      <c r="F4800" s="5"/>
      <c r="G4800" s="30" t="s">
        <v>609</v>
      </c>
      <c r="H4800" s="11"/>
      <c r="I4800" s="11"/>
      <c r="J4800" s="11"/>
      <c r="K4800" s="11"/>
      <c r="L4800" s="6"/>
    </row>
    <row r="4801" spans="1:14" x14ac:dyDescent="0.25">
      <c r="A4801" s="76" t="s">
        <v>608</v>
      </c>
      <c r="B4801" s="11"/>
      <c r="C4801" s="11"/>
      <c r="D4801" s="11"/>
      <c r="E4801" s="6"/>
      <c r="F4801" s="5"/>
      <c r="G4801" s="34"/>
      <c r="H4801" s="11"/>
      <c r="I4801" s="11"/>
      <c r="J4801" s="11"/>
      <c r="K4801" s="11"/>
      <c r="L4801" s="6"/>
    </row>
    <row r="4802" spans="1:14" x14ac:dyDescent="0.25">
      <c r="A4802" s="13"/>
      <c r="B4802" s="11"/>
      <c r="C4802" s="11"/>
      <c r="D4802" s="11"/>
      <c r="E4802" s="6"/>
      <c r="F4802" s="5"/>
      <c r="G4802" s="13"/>
      <c r="H4802" s="11"/>
      <c r="I4802" s="11"/>
      <c r="J4802" s="11"/>
      <c r="K4802" s="11"/>
      <c r="L4802" s="6"/>
    </row>
    <row r="4803" spans="1:14" x14ac:dyDescent="0.25">
      <c r="A4803" s="13"/>
      <c r="B4803" s="11"/>
      <c r="C4803" s="11"/>
      <c r="D4803" s="11"/>
      <c r="E4803" s="6"/>
      <c r="F4803" s="5"/>
      <c r="G4803" s="13"/>
      <c r="H4803" s="11"/>
      <c r="I4803" s="11"/>
      <c r="J4803" s="11"/>
      <c r="K4803" s="11"/>
      <c r="L4803" s="6"/>
    </row>
    <row r="4804" spans="1:14" ht="15.75" thickBot="1" x14ac:dyDescent="0.3">
      <c r="A4804" s="13"/>
      <c r="B4804" s="11"/>
      <c r="C4804" s="11" t="s">
        <v>29</v>
      </c>
      <c r="D4804" s="43"/>
      <c r="E4804" s="6"/>
      <c r="F4804" s="5"/>
      <c r="G4804" s="13"/>
      <c r="H4804" s="11"/>
      <c r="I4804" s="14" t="s">
        <v>28</v>
      </c>
      <c r="J4804" s="43"/>
      <c r="K4804" s="59"/>
      <c r="L4804" s="6"/>
    </row>
    <row r="4805" spans="1:14" ht="15.75" thickBot="1" x14ac:dyDescent="0.3">
      <c r="A4805" s="15" t="s">
        <v>10</v>
      </c>
      <c r="B4805" s="5"/>
      <c r="C4805" s="5"/>
      <c r="D4805" s="5">
        <v>665.64</v>
      </c>
      <c r="E4805" s="5"/>
      <c r="F4805" s="5"/>
      <c r="G4805" s="15" t="s">
        <v>14</v>
      </c>
      <c r="H4805" s="5"/>
      <c r="I4805" s="5"/>
      <c r="J4805" s="5"/>
      <c r="K4805" s="5"/>
      <c r="L4805" s="5"/>
    </row>
    <row r="4806" spans="1:14" ht="15.75" thickBot="1" x14ac:dyDescent="0.3">
      <c r="A4806" s="121" t="s">
        <v>11</v>
      </c>
      <c r="B4806" s="122"/>
      <c r="C4806" s="123"/>
      <c r="D4806" s="16" t="s">
        <v>12</v>
      </c>
      <c r="E4806" s="16" t="s">
        <v>13</v>
      </c>
      <c r="F4806" s="5"/>
      <c r="G4806" s="121" t="s">
        <v>15</v>
      </c>
      <c r="H4806" s="122"/>
      <c r="I4806" s="123"/>
      <c r="J4806" s="121"/>
      <c r="K4806" s="123"/>
      <c r="L4806" s="5"/>
    </row>
    <row r="4807" spans="1:14" x14ac:dyDescent="0.25">
      <c r="A4807" s="94" t="s">
        <v>610</v>
      </c>
      <c r="B4807" s="46" t="s">
        <v>56</v>
      </c>
      <c r="C4807" s="47"/>
      <c r="D4807" s="56">
        <v>269.77999999999997</v>
      </c>
      <c r="E4807" s="57">
        <v>4955.8599999999997</v>
      </c>
      <c r="F4807" s="44">
        <f>E4807/D4807</f>
        <v>18.370005189413597</v>
      </c>
      <c r="G4807" s="125" t="s">
        <v>69</v>
      </c>
      <c r="H4807" s="126"/>
      <c r="I4807" s="127"/>
      <c r="J4807" s="128">
        <f>94+94</f>
        <v>188</v>
      </c>
      <c r="K4807" s="129"/>
      <c r="L4807" s="5"/>
      <c r="M4807" s="96">
        <f>N4807*D4807</f>
        <v>5935.16</v>
      </c>
      <c r="N4807">
        <v>22</v>
      </c>
    </row>
    <row r="4808" spans="1:14" x14ac:dyDescent="0.25">
      <c r="A4808" s="94" t="s">
        <v>611</v>
      </c>
      <c r="B4808" s="46" t="s">
        <v>612</v>
      </c>
      <c r="C4808" s="47"/>
      <c r="D4808" s="56">
        <v>576.04100000000005</v>
      </c>
      <c r="E4808" s="57">
        <v>10426.35</v>
      </c>
      <c r="F4808" s="44">
        <f t="shared" ref="F4808:F4811" si="16">E4808/D4808</f>
        <v>18.100013714301586</v>
      </c>
      <c r="G4808" s="110" t="s">
        <v>59</v>
      </c>
      <c r="H4808" s="111"/>
      <c r="I4808" s="112"/>
      <c r="J4808" s="113">
        <f>59+59</f>
        <v>118</v>
      </c>
      <c r="K4808" s="114"/>
      <c r="L4808" s="5"/>
      <c r="M4808" s="96">
        <f t="shared" ref="M4808:M4810" si="17">N4808*D4808</f>
        <v>14977.066000000001</v>
      </c>
      <c r="N4808">
        <v>26</v>
      </c>
    </row>
    <row r="4809" spans="1:14" x14ac:dyDescent="0.25">
      <c r="A4809" s="94" t="s">
        <v>613</v>
      </c>
      <c r="B4809" s="46" t="s">
        <v>612</v>
      </c>
      <c r="C4809" s="47"/>
      <c r="D4809" s="56">
        <v>318.279</v>
      </c>
      <c r="E4809" s="57">
        <v>5760.85</v>
      </c>
      <c r="F4809" s="44">
        <f t="shared" si="16"/>
        <v>18.100000314189753</v>
      </c>
      <c r="G4809" s="110" t="s">
        <v>61</v>
      </c>
      <c r="H4809" s="111"/>
      <c r="I4809" s="112"/>
      <c r="J4809" s="113">
        <v>219</v>
      </c>
      <c r="K4809" s="114"/>
      <c r="L4809" s="5"/>
      <c r="M4809" s="96">
        <f t="shared" si="17"/>
        <v>8275.2540000000008</v>
      </c>
      <c r="N4809">
        <v>26</v>
      </c>
    </row>
    <row r="4810" spans="1:14" x14ac:dyDescent="0.25">
      <c r="A4810" s="94" t="s">
        <v>614</v>
      </c>
      <c r="B4810" s="46" t="s">
        <v>47</v>
      </c>
      <c r="C4810" s="47"/>
      <c r="D4810" s="56">
        <v>624.88</v>
      </c>
      <c r="E4810" s="57">
        <v>12572.55</v>
      </c>
      <c r="F4810" s="44">
        <f t="shared" si="16"/>
        <v>20.119943029061577</v>
      </c>
      <c r="G4810" s="110" t="s">
        <v>51</v>
      </c>
      <c r="H4810" s="111"/>
      <c r="I4810" s="112"/>
      <c r="J4810" s="113">
        <f>101+101</f>
        <v>202</v>
      </c>
      <c r="K4810" s="114"/>
      <c r="L4810" s="5"/>
      <c r="M4810" s="96">
        <f t="shared" si="17"/>
        <v>14997.119999999999</v>
      </c>
      <c r="N4810">
        <v>24</v>
      </c>
    </row>
    <row r="4811" spans="1:14" x14ac:dyDescent="0.25">
      <c r="A4811" s="48" t="s">
        <v>616</v>
      </c>
      <c r="B4811" s="46" t="s">
        <v>47</v>
      </c>
      <c r="C4811" s="39"/>
      <c r="D4811" s="52">
        <v>699.95</v>
      </c>
      <c r="E4811" s="53">
        <v>14082.96</v>
      </c>
      <c r="F4811" s="44">
        <f t="shared" si="16"/>
        <v>20.119951425101789</v>
      </c>
      <c r="G4811" s="110" t="s">
        <v>58</v>
      </c>
      <c r="H4811" s="111"/>
      <c r="I4811" s="112"/>
      <c r="J4811" s="113">
        <v>321</v>
      </c>
      <c r="K4811" s="114"/>
      <c r="L4811" s="5"/>
      <c r="M4811" s="96">
        <f>24*400</f>
        <v>9600</v>
      </c>
      <c r="N4811">
        <v>24</v>
      </c>
    </row>
    <row r="4812" spans="1:14" x14ac:dyDescent="0.25">
      <c r="A4812" s="48"/>
      <c r="B4812" s="35"/>
      <c r="C4812" s="39"/>
      <c r="D4812" s="52"/>
      <c r="E4812" s="53"/>
      <c r="F4812" s="44"/>
      <c r="G4812" s="110" t="s">
        <v>51</v>
      </c>
      <c r="H4812" s="111"/>
      <c r="I4812" s="112"/>
      <c r="J4812" s="113">
        <f>347+347</f>
        <v>694</v>
      </c>
      <c r="K4812" s="114"/>
      <c r="L4812" s="5"/>
      <c r="M4812" s="96">
        <f>SUM(M4807:M4811)</f>
        <v>53784.600000000006</v>
      </c>
    </row>
    <row r="4813" spans="1:14" x14ac:dyDescent="0.25">
      <c r="A4813" s="48"/>
      <c r="B4813" s="35"/>
      <c r="C4813" s="39"/>
      <c r="D4813" s="52"/>
      <c r="E4813" s="53"/>
      <c r="F4813" s="44"/>
      <c r="G4813" s="77"/>
      <c r="H4813" s="78" t="s">
        <v>69</v>
      </c>
      <c r="I4813" s="79"/>
      <c r="J4813" s="113">
        <v>321</v>
      </c>
      <c r="K4813" s="114"/>
      <c r="L4813" s="5"/>
      <c r="M4813" s="96">
        <f>M4812-E4815</f>
        <v>5986.0300000000061</v>
      </c>
    </row>
    <row r="4814" spans="1:14" x14ac:dyDescent="0.25">
      <c r="A4814" s="38"/>
      <c r="B4814" s="35"/>
      <c r="C4814" s="39"/>
      <c r="D4814" s="52"/>
      <c r="E4814" s="53"/>
      <c r="F4814" s="44"/>
      <c r="G4814" s="77"/>
      <c r="H4814" s="78" t="s">
        <v>72</v>
      </c>
      <c r="I4814" s="79"/>
      <c r="J4814" s="113">
        <f>55+55</f>
        <v>110</v>
      </c>
      <c r="K4814" s="114"/>
      <c r="L4814" s="5"/>
    </row>
    <row r="4815" spans="1:14" ht="15.75" thickBot="1" x14ac:dyDescent="0.3">
      <c r="A4815" s="5"/>
      <c r="B4815" s="5"/>
      <c r="C4815" s="7" t="s">
        <v>35</v>
      </c>
      <c r="D4815" s="17">
        <f>SUM(D4807:D4814)</f>
        <v>2488.9300000000003</v>
      </c>
      <c r="E4815" s="17">
        <f>SUM(E4807:E4814)</f>
        <v>47798.57</v>
      </c>
      <c r="F4815" s="89">
        <f>AVERAGE(F4807:F4811)</f>
        <v>18.96198273441366</v>
      </c>
      <c r="G4815" s="110" t="s">
        <v>73</v>
      </c>
      <c r="H4815" s="111"/>
      <c r="I4815" s="112"/>
      <c r="J4815" s="113"/>
      <c r="K4815" s="114"/>
      <c r="L4815" s="7" t="s">
        <v>36</v>
      </c>
    </row>
    <row r="4816" spans="1:14" ht="15.75" thickBot="1" x14ac:dyDescent="0.3">
      <c r="A4816" s="5"/>
      <c r="B4816" s="5"/>
      <c r="C4816" s="5"/>
      <c r="D4816" s="5"/>
      <c r="E4816" s="5"/>
      <c r="F4816" s="5"/>
      <c r="G4816" s="130"/>
      <c r="H4816" s="131"/>
      <c r="I4816" s="132"/>
      <c r="J4816" s="133"/>
      <c r="K4816" s="134"/>
      <c r="L4816" s="18">
        <f>J4807+J4808+J4809+J4810+J4811+J4812+J4813+J4814+J4815</f>
        <v>2173</v>
      </c>
    </row>
    <row r="4817" spans="1:12" ht="15.75" thickBot="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</row>
    <row r="4818" spans="1:12" ht="15.75" thickBot="1" x14ac:dyDescent="0.3">
      <c r="A4818" s="19"/>
      <c r="B4818" s="20"/>
      <c r="C4818" s="20"/>
      <c r="D4818" s="20"/>
      <c r="E4818" s="21" t="s">
        <v>13</v>
      </c>
      <c r="F4818" s="5"/>
      <c r="G4818" s="19"/>
      <c r="H4818" s="20"/>
      <c r="I4818" s="20"/>
      <c r="J4818" s="20"/>
      <c r="K4818" s="21" t="s">
        <v>13</v>
      </c>
      <c r="L4818" s="5"/>
    </row>
    <row r="4819" spans="1:12" x14ac:dyDescent="0.25">
      <c r="A4819" s="22" t="s">
        <v>31</v>
      </c>
      <c r="B4819" s="115">
        <v>26728</v>
      </c>
      <c r="C4819" s="116"/>
      <c r="D4819" s="116"/>
      <c r="E4819" s="117"/>
      <c r="F4819" s="5"/>
      <c r="G4819" s="22" t="s">
        <v>32</v>
      </c>
      <c r="H4819" s="115">
        <v>76900</v>
      </c>
      <c r="I4819" s="116"/>
      <c r="J4819" s="116"/>
      <c r="K4819" s="117"/>
      <c r="L4819" s="5"/>
    </row>
    <row r="4820" spans="1:12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</row>
    <row r="4821" spans="1:12" x14ac:dyDescent="0.25">
      <c r="A4821" s="7" t="s">
        <v>16</v>
      </c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</row>
    <row r="4822" spans="1:12" x14ac:dyDescent="0.25">
      <c r="A4822" s="9" t="s">
        <v>17</v>
      </c>
      <c r="B4822" s="23">
        <f>L4799-C4794</f>
        <v>6631</v>
      </c>
      <c r="C4822" s="5"/>
      <c r="D4822" s="106" t="s">
        <v>18</v>
      </c>
      <c r="E4822" s="107"/>
      <c r="F4822" s="24" t="s">
        <v>19</v>
      </c>
      <c r="G4822" s="9" t="s">
        <v>20</v>
      </c>
      <c r="H4822" s="118">
        <f>B4819+H4819</f>
        <v>103628</v>
      </c>
      <c r="I4822" s="119"/>
      <c r="J4822" s="60"/>
      <c r="K4822" s="5"/>
      <c r="L4822" s="5"/>
    </row>
    <row r="4823" spans="1:12" x14ac:dyDescent="0.25">
      <c r="A4823" s="9" t="s">
        <v>41</v>
      </c>
      <c r="B4823" s="40">
        <f>B4822/D4815</f>
        <v>2.6641970646020576</v>
      </c>
      <c r="C4823" s="5"/>
      <c r="D4823" s="102">
        <f>E4815</f>
        <v>47798.57</v>
      </c>
      <c r="E4823" s="103"/>
      <c r="F4823" s="25">
        <f>H4823/B4822</f>
        <v>8.6789579248982047</v>
      </c>
      <c r="G4823" s="9" t="s">
        <v>21</v>
      </c>
      <c r="H4823" s="104">
        <f>L4816+D4823+D4825+D4827+D4829+A4826</f>
        <v>57550.17</v>
      </c>
      <c r="I4823" s="105"/>
      <c r="J4823" s="5"/>
      <c r="K4823" s="5"/>
      <c r="L4823" s="5"/>
    </row>
    <row r="4824" spans="1:12" x14ac:dyDescent="0.25">
      <c r="A4824" s="9" t="s">
        <v>43</v>
      </c>
      <c r="B4824" s="23">
        <f>D4815/B4822*100</f>
        <v>37.534760971195901</v>
      </c>
      <c r="C4824" s="5"/>
      <c r="D4824" s="106" t="s">
        <v>33</v>
      </c>
      <c r="E4824" s="107"/>
      <c r="F4824" s="5"/>
      <c r="G4824" s="13" t="s">
        <v>22</v>
      </c>
      <c r="H4824" s="6"/>
      <c r="I4824" s="26">
        <f>H4822-H4823</f>
        <v>46077.83</v>
      </c>
      <c r="J4824" s="5"/>
      <c r="K4824" s="5">
        <f>137000+23895</f>
        <v>160895</v>
      </c>
      <c r="L4824" s="5"/>
    </row>
    <row r="4825" spans="1:12" x14ac:dyDescent="0.25">
      <c r="A4825" s="106" t="s">
        <v>40</v>
      </c>
      <c r="B4825" s="107"/>
      <c r="C4825" s="5"/>
      <c r="D4825" s="149">
        <v>1600</v>
      </c>
      <c r="E4825" s="150"/>
      <c r="F4825" s="5"/>
      <c r="G4825" s="5"/>
      <c r="H4825" s="5"/>
      <c r="I4825" s="5"/>
      <c r="J4825" s="5"/>
      <c r="K4825" s="5"/>
      <c r="L4825" s="5"/>
    </row>
    <row r="4826" spans="1:12" x14ac:dyDescent="0.25">
      <c r="A4826" s="108">
        <f>B4822*0.6</f>
        <v>3978.6</v>
      </c>
      <c r="B4826" s="109"/>
      <c r="C4826" s="5"/>
      <c r="D4826" s="106" t="s">
        <v>34</v>
      </c>
      <c r="E4826" s="107"/>
      <c r="F4826" s="5"/>
      <c r="G4826" s="145" t="s">
        <v>292</v>
      </c>
      <c r="H4826" s="146"/>
      <c r="I4826" s="23">
        <f>B4822/2.3</f>
        <v>2883.04347826087</v>
      </c>
      <c r="J4826" s="60"/>
      <c r="K4826" s="5"/>
      <c r="L4826" s="5"/>
    </row>
    <row r="4827" spans="1:12" x14ac:dyDescent="0.25">
      <c r="A4827" s="5">
        <v>4596</v>
      </c>
      <c r="B4827" s="5">
        <v>2800</v>
      </c>
      <c r="C4827" s="5"/>
      <c r="D4827" s="108">
        <v>2000</v>
      </c>
      <c r="E4827" s="109"/>
      <c r="F4827" s="5"/>
      <c r="G4827" s="145" t="s">
        <v>294</v>
      </c>
      <c r="H4827" s="146"/>
      <c r="I4827" s="23">
        <f>I4826-D4815</f>
        <v>394.11347826086967</v>
      </c>
      <c r="J4827" s="5"/>
      <c r="K4827" s="5"/>
      <c r="L4827" s="5"/>
    </row>
    <row r="4828" spans="1:12" x14ac:dyDescent="0.25">
      <c r="A4828" s="5">
        <v>6631</v>
      </c>
      <c r="B4828" s="5">
        <v>3980</v>
      </c>
      <c r="C4828" s="5"/>
      <c r="D4828" s="106" t="s">
        <v>37</v>
      </c>
      <c r="E4828" s="107"/>
      <c r="F4828" s="5"/>
      <c r="G4828" s="147" t="s">
        <v>295</v>
      </c>
      <c r="H4828" s="148"/>
      <c r="I4828" s="86">
        <f>I4827*F4815</f>
        <v>7473.1729701823242</v>
      </c>
      <c r="J4828" s="87">
        <f>I4824-I4828</f>
        <v>38604.657029817681</v>
      </c>
      <c r="K4828" s="5"/>
      <c r="L4828" s="5"/>
    </row>
    <row r="4829" spans="1:12" x14ac:dyDescent="0.25">
      <c r="A4829" s="5"/>
      <c r="B4829" s="5">
        <f>B4828-B4827</f>
        <v>1180</v>
      </c>
      <c r="C4829" s="5"/>
      <c r="D4829" s="108">
        <v>0</v>
      </c>
      <c r="E4829" s="109"/>
      <c r="F4829" s="5" t="s">
        <v>78</v>
      </c>
      <c r="G4829" s="5"/>
      <c r="H4829" s="5"/>
      <c r="I4829" s="5"/>
      <c r="J4829" s="88" t="s">
        <v>293</v>
      </c>
      <c r="K4829" s="44"/>
      <c r="L4829" s="5"/>
    </row>
    <row r="4831" spans="1:12" s="49" customFormat="1" x14ac:dyDescent="0.25">
      <c r="A4831" s="49" t="s">
        <v>617</v>
      </c>
    </row>
    <row r="4832" spans="1:12" x14ac:dyDescent="0.25">
      <c r="A4832" t="s">
        <v>420</v>
      </c>
    </row>
    <row r="4834" spans="1:12" x14ac:dyDescent="0.25">
      <c r="A4834" s="120" t="s">
        <v>24</v>
      </c>
      <c r="B4834" s="120"/>
      <c r="C4834" s="120"/>
      <c r="D4834" s="120"/>
      <c r="E4834" s="120"/>
      <c r="F4834" s="120"/>
      <c r="G4834" s="120"/>
      <c r="H4834" s="120"/>
      <c r="I4834" s="120"/>
      <c r="J4834" s="120"/>
      <c r="K4834" s="120"/>
      <c r="L4834" s="120"/>
    </row>
    <row r="4835" spans="1:12" x14ac:dyDescent="0.25">
      <c r="A4835" s="120"/>
      <c r="B4835" s="120"/>
      <c r="C4835" s="120"/>
      <c r="D4835" s="120"/>
      <c r="E4835" s="120"/>
      <c r="F4835" s="120"/>
      <c r="G4835" s="120"/>
      <c r="H4835" s="120"/>
      <c r="I4835" s="120"/>
      <c r="J4835" s="120"/>
      <c r="K4835" s="120"/>
      <c r="L4835" s="120"/>
    </row>
    <row r="4836" spans="1:12" x14ac:dyDescent="0.25">
      <c r="A4836" s="1" t="s">
        <v>4</v>
      </c>
      <c r="B4836" s="2"/>
      <c r="C4836" s="90"/>
      <c r="D4836" s="2"/>
      <c r="E4836" s="2"/>
      <c r="F4836" s="2"/>
      <c r="G4836" s="3" t="s">
        <v>5</v>
      </c>
      <c r="H4836" s="3" t="s">
        <v>6</v>
      </c>
      <c r="I4836" s="4" t="s">
        <v>7</v>
      </c>
      <c r="J4836" s="5"/>
      <c r="K4836" s="5"/>
      <c r="L4836" s="5"/>
    </row>
    <row r="4837" spans="1:12" x14ac:dyDescent="0.25">
      <c r="A4837" s="91" t="s">
        <v>549</v>
      </c>
      <c r="B4837" s="92" t="s">
        <v>599</v>
      </c>
      <c r="C4837" s="64"/>
      <c r="D4837" s="66"/>
      <c r="E4837" s="2"/>
      <c r="F4837" s="2"/>
      <c r="G4837" s="91" t="s">
        <v>299</v>
      </c>
      <c r="H4837" s="66"/>
      <c r="I4837" s="33"/>
      <c r="J4837" s="6"/>
      <c r="K4837" s="33"/>
      <c r="L4837" s="6"/>
    </row>
    <row r="4838" spans="1:12" x14ac:dyDescent="0.25">
      <c r="A4838" s="7" t="s">
        <v>2</v>
      </c>
      <c r="B4838" s="5"/>
      <c r="C4838" s="5"/>
      <c r="D4838" s="5"/>
      <c r="E4838" s="5"/>
      <c r="F4838" s="5"/>
      <c r="G4838" s="8" t="s">
        <v>8</v>
      </c>
      <c r="H4838" s="93">
        <v>3</v>
      </c>
      <c r="I4838" s="5"/>
      <c r="J4838" s="5"/>
      <c r="K4838" s="5"/>
      <c r="L4838" s="5"/>
    </row>
    <row r="4839" spans="1:12" x14ac:dyDescent="0.25">
      <c r="A4839" s="7" t="s">
        <v>25</v>
      </c>
      <c r="B4839" s="5"/>
      <c r="C4839" s="7" t="s">
        <v>0</v>
      </c>
      <c r="D4839" s="5"/>
      <c r="E4839" s="5"/>
      <c r="F4839" s="5"/>
      <c r="G4839" s="7" t="s">
        <v>25</v>
      </c>
      <c r="H4839" s="5"/>
      <c r="I4839" s="7" t="s">
        <v>0</v>
      </c>
      <c r="J4839" s="5"/>
      <c r="K4839" s="5"/>
      <c r="L4839" s="5"/>
    </row>
    <row r="4840" spans="1:12" x14ac:dyDescent="0.25">
      <c r="A4840" s="42" t="s">
        <v>615</v>
      </c>
      <c r="B4840" s="6"/>
      <c r="C4840" s="31">
        <f>L4799</f>
        <v>1131533</v>
      </c>
      <c r="D4840" s="5"/>
      <c r="E4840" s="5"/>
      <c r="F4840" s="5"/>
      <c r="G4840" s="42"/>
      <c r="H4840" s="6"/>
      <c r="I4840" s="9"/>
      <c r="J4840" s="5"/>
      <c r="K4840" s="5"/>
      <c r="L4840" s="5"/>
    </row>
    <row r="4841" spans="1:12" ht="16.5" thickBot="1" x14ac:dyDescent="0.3">
      <c r="A4841" s="7"/>
      <c r="B4841" s="62"/>
      <c r="C4841" s="62"/>
      <c r="D4841" s="62"/>
      <c r="E4841" s="5"/>
      <c r="F4841" s="5"/>
      <c r="G4841" s="10"/>
      <c r="H4841" s="5"/>
      <c r="I4841" s="5"/>
      <c r="J4841" s="5"/>
      <c r="K4841" s="5"/>
      <c r="L4841" s="5"/>
    </row>
    <row r="4842" spans="1:12" ht="15.75" thickBot="1" x14ac:dyDescent="0.3">
      <c r="A4842" s="121" t="s">
        <v>9</v>
      </c>
      <c r="B4842" s="122"/>
      <c r="C4842" s="123"/>
      <c r="D4842" s="5"/>
      <c r="E4842" s="5"/>
      <c r="F4842" s="5"/>
      <c r="G4842" s="121" t="s">
        <v>26</v>
      </c>
      <c r="H4842" s="122"/>
      <c r="I4842" s="123"/>
      <c r="J4842" s="5"/>
      <c r="K4842" s="5"/>
      <c r="L4842" s="5"/>
    </row>
    <row r="4843" spans="1:12" x14ac:dyDescent="0.25">
      <c r="A4843" s="30" t="s">
        <v>38</v>
      </c>
      <c r="B4843" s="11"/>
      <c r="C4843" s="11"/>
      <c r="D4843" s="11"/>
      <c r="E4843" s="6"/>
      <c r="F4843" s="5"/>
      <c r="G4843" s="30" t="str">
        <f>A4846</f>
        <v>Durban</v>
      </c>
      <c r="H4843" s="11"/>
      <c r="I4843" s="11"/>
      <c r="J4843" s="11"/>
      <c r="K4843" s="11"/>
      <c r="L4843" s="6"/>
    </row>
    <row r="4844" spans="1:12" ht="15.75" thickBot="1" x14ac:dyDescent="0.3">
      <c r="A4844" s="7"/>
      <c r="B4844" s="7"/>
      <c r="C4844" s="7"/>
      <c r="D4844" s="5"/>
      <c r="E4844" s="5"/>
      <c r="F4844" s="5"/>
      <c r="G4844" s="7"/>
      <c r="H4844" s="7"/>
      <c r="I4844" s="7"/>
      <c r="J4844" s="5"/>
      <c r="K4844" s="5"/>
      <c r="L4844" s="5"/>
    </row>
    <row r="4845" spans="1:12" ht="15.75" thickBot="1" x14ac:dyDescent="0.3">
      <c r="A4845" s="121"/>
      <c r="B4845" s="122"/>
      <c r="C4845" s="124"/>
      <c r="D4845" s="12" t="s">
        <v>1</v>
      </c>
      <c r="E4845" s="32"/>
      <c r="F4845" s="5"/>
      <c r="G4845" s="121" t="s">
        <v>27</v>
      </c>
      <c r="H4845" s="122"/>
      <c r="I4845" s="123"/>
      <c r="J4845" s="5"/>
      <c r="K4845" s="12" t="s">
        <v>1</v>
      </c>
      <c r="L4845" s="32">
        <v>1135907</v>
      </c>
    </row>
    <row r="4846" spans="1:12" x14ac:dyDescent="0.25">
      <c r="A4846" s="30" t="s">
        <v>318</v>
      </c>
      <c r="B4846" s="11"/>
      <c r="C4846" s="11"/>
      <c r="D4846" s="11"/>
      <c r="E4846" s="6"/>
      <c r="F4846" s="5"/>
      <c r="G4846" s="30" t="s">
        <v>620</v>
      </c>
      <c r="H4846" s="11"/>
      <c r="I4846" s="11"/>
      <c r="J4846" s="11"/>
      <c r="K4846" s="11"/>
      <c r="L4846" s="6"/>
    </row>
    <row r="4847" spans="1:12" x14ac:dyDescent="0.25">
      <c r="A4847" s="76" t="s">
        <v>618</v>
      </c>
      <c r="B4847" s="11"/>
      <c r="C4847" s="11"/>
      <c r="D4847" s="11"/>
      <c r="E4847" s="6"/>
      <c r="F4847" s="5"/>
      <c r="G4847" s="34"/>
      <c r="H4847" s="11"/>
      <c r="I4847" s="11"/>
      <c r="J4847" s="11"/>
      <c r="K4847" s="11"/>
      <c r="L4847" s="6"/>
    </row>
    <row r="4848" spans="1:12" x14ac:dyDescent="0.25">
      <c r="A4848" s="13" t="s">
        <v>619</v>
      </c>
      <c r="B4848" s="11"/>
      <c r="C4848" s="11"/>
      <c r="D4848" s="11"/>
      <c r="E4848" s="6"/>
      <c r="F4848" s="5"/>
      <c r="G4848" s="13"/>
      <c r="H4848" s="11"/>
      <c r="I4848" s="11"/>
      <c r="J4848" s="11"/>
      <c r="K4848" s="11"/>
      <c r="L4848" s="6"/>
    </row>
    <row r="4849" spans="1:12" x14ac:dyDescent="0.25">
      <c r="A4849" s="13"/>
      <c r="B4849" s="11"/>
      <c r="C4849" s="11"/>
      <c r="D4849" s="11"/>
      <c r="E4849" s="6"/>
      <c r="F4849" s="5"/>
      <c r="G4849" s="13"/>
      <c r="H4849" s="11"/>
      <c r="I4849" s="11"/>
      <c r="J4849" s="11"/>
      <c r="K4849" s="11"/>
      <c r="L4849" s="6"/>
    </row>
    <row r="4850" spans="1:12" ht="15.75" thickBot="1" x14ac:dyDescent="0.3">
      <c r="A4850" s="13"/>
      <c r="B4850" s="11"/>
      <c r="C4850" s="11" t="s">
        <v>29</v>
      </c>
      <c r="D4850" s="43"/>
      <c r="E4850" s="6"/>
      <c r="F4850" s="5"/>
      <c r="G4850" s="13"/>
      <c r="H4850" s="11"/>
      <c r="I4850" s="14" t="s">
        <v>28</v>
      </c>
      <c r="J4850" s="43"/>
      <c r="K4850" s="59"/>
      <c r="L4850" s="6"/>
    </row>
    <row r="4851" spans="1:12" ht="15.75" thickBot="1" x14ac:dyDescent="0.3">
      <c r="A4851" s="15" t="s">
        <v>10</v>
      </c>
      <c r="B4851" s="5"/>
      <c r="C4851" s="5"/>
      <c r="D4851" s="5">
        <v>665.64</v>
      </c>
      <c r="E4851" s="5"/>
      <c r="F4851" s="5"/>
      <c r="G4851" s="15" t="s">
        <v>14</v>
      </c>
      <c r="H4851" s="5"/>
      <c r="I4851" s="5"/>
      <c r="J4851" s="5"/>
      <c r="K4851" s="5"/>
      <c r="L4851" s="5"/>
    </row>
    <row r="4852" spans="1:12" ht="15.75" thickBot="1" x14ac:dyDescent="0.3">
      <c r="A4852" s="121" t="s">
        <v>11</v>
      </c>
      <c r="B4852" s="122"/>
      <c r="C4852" s="123"/>
      <c r="D4852" s="16" t="s">
        <v>12</v>
      </c>
      <c r="E4852" s="16" t="s">
        <v>13</v>
      </c>
      <c r="F4852" s="5"/>
      <c r="G4852" s="121" t="s">
        <v>15</v>
      </c>
      <c r="H4852" s="122"/>
      <c r="I4852" s="123"/>
      <c r="J4852" s="121"/>
      <c r="K4852" s="123"/>
      <c r="L4852" s="5"/>
    </row>
    <row r="4853" spans="1:12" x14ac:dyDescent="0.25">
      <c r="A4853" s="94">
        <v>46056</v>
      </c>
      <c r="B4853" s="46" t="s">
        <v>621</v>
      </c>
      <c r="C4853" s="47"/>
      <c r="D4853" s="56">
        <f>431.45+168.58</f>
        <v>600.03</v>
      </c>
      <c r="E4853" s="57">
        <v>12516.65</v>
      </c>
      <c r="F4853" s="44">
        <f>E4853/D4853</f>
        <v>20.860040331316767</v>
      </c>
      <c r="G4853" s="125" t="s">
        <v>69</v>
      </c>
      <c r="H4853" s="126"/>
      <c r="I4853" s="127"/>
      <c r="J4853" s="128">
        <f>57+57</f>
        <v>114</v>
      </c>
      <c r="K4853" s="129"/>
      <c r="L4853" s="5"/>
    </row>
    <row r="4854" spans="1:12" x14ac:dyDescent="0.25">
      <c r="A4854" s="94">
        <v>46115</v>
      </c>
      <c r="B4854" s="46" t="s">
        <v>612</v>
      </c>
      <c r="C4854" s="47"/>
      <c r="D4854" s="56">
        <v>351</v>
      </c>
      <c r="E4854" s="57">
        <v>6581.25</v>
      </c>
      <c r="F4854" s="44">
        <f t="shared" ref="F4854:F4855" si="18">E4854/D4854</f>
        <v>18.75</v>
      </c>
      <c r="G4854" s="110" t="s">
        <v>59</v>
      </c>
      <c r="H4854" s="111"/>
      <c r="I4854" s="112"/>
      <c r="J4854" s="113">
        <f>62+62</f>
        <v>124</v>
      </c>
      <c r="K4854" s="114"/>
      <c r="L4854" s="5"/>
    </row>
    <row r="4855" spans="1:12" x14ac:dyDescent="0.25">
      <c r="A4855" s="94">
        <v>46298</v>
      </c>
      <c r="B4855" s="46" t="s">
        <v>47</v>
      </c>
      <c r="C4855" s="47"/>
      <c r="D4855" s="56">
        <v>643.32000000000005</v>
      </c>
      <c r="E4855" s="57">
        <v>12943.56</v>
      </c>
      <c r="F4855" s="44">
        <f t="shared" si="18"/>
        <v>20.11994030964372</v>
      </c>
      <c r="G4855" s="110" t="s">
        <v>61</v>
      </c>
      <c r="H4855" s="111"/>
      <c r="I4855" s="112"/>
      <c r="J4855" s="113">
        <v>304</v>
      </c>
      <c r="K4855" s="114"/>
      <c r="L4855" s="5"/>
    </row>
    <row r="4856" spans="1:12" x14ac:dyDescent="0.25">
      <c r="A4856" s="94"/>
      <c r="B4856" s="46"/>
      <c r="C4856" s="47"/>
      <c r="D4856" s="56"/>
      <c r="E4856" s="57"/>
      <c r="F4856" s="44"/>
      <c r="G4856" s="110" t="s">
        <v>51</v>
      </c>
      <c r="H4856" s="111"/>
      <c r="I4856" s="112"/>
      <c r="J4856" s="113">
        <f>104+104</f>
        <v>208</v>
      </c>
      <c r="K4856" s="114"/>
      <c r="L4856" s="5"/>
    </row>
    <row r="4857" spans="1:12" x14ac:dyDescent="0.25">
      <c r="A4857" s="48"/>
      <c r="B4857" s="46"/>
      <c r="C4857" s="39"/>
      <c r="D4857" s="52"/>
      <c r="E4857" s="53"/>
      <c r="F4857" s="44"/>
      <c r="G4857" s="110" t="s">
        <v>58</v>
      </c>
      <c r="H4857" s="111"/>
      <c r="I4857" s="112"/>
      <c r="J4857" s="113">
        <f>359+359</f>
        <v>718</v>
      </c>
      <c r="K4857" s="114"/>
      <c r="L4857" s="5"/>
    </row>
    <row r="4858" spans="1:12" x14ac:dyDescent="0.25">
      <c r="A4858" s="48"/>
      <c r="B4858" s="35"/>
      <c r="C4858" s="39"/>
      <c r="D4858" s="52"/>
      <c r="E4858" s="53"/>
      <c r="F4858" s="44"/>
      <c r="G4858" s="110" t="s">
        <v>51</v>
      </c>
      <c r="H4858" s="111"/>
      <c r="I4858" s="112"/>
      <c r="J4858" s="113">
        <v>331</v>
      </c>
      <c r="K4858" s="114"/>
      <c r="L4858" s="5"/>
    </row>
    <row r="4859" spans="1:12" x14ac:dyDescent="0.25">
      <c r="A4859" s="48"/>
      <c r="B4859" s="35"/>
      <c r="C4859" s="39"/>
      <c r="D4859" s="52"/>
      <c r="E4859" s="53"/>
      <c r="F4859" s="44"/>
      <c r="G4859" s="77"/>
      <c r="H4859" s="78" t="s">
        <v>69</v>
      </c>
      <c r="I4859" s="79"/>
      <c r="J4859" s="113">
        <f>324+324</f>
        <v>648</v>
      </c>
      <c r="K4859" s="114"/>
      <c r="L4859" s="5"/>
    </row>
    <row r="4860" spans="1:12" x14ac:dyDescent="0.25">
      <c r="A4860" s="38"/>
      <c r="B4860" s="35"/>
      <c r="C4860" s="39"/>
      <c r="D4860" s="52"/>
      <c r="E4860" s="53"/>
      <c r="F4860" s="44"/>
      <c r="G4860" s="77"/>
      <c r="H4860" s="78" t="s">
        <v>72</v>
      </c>
      <c r="I4860" s="79"/>
      <c r="J4860" s="113">
        <v>230</v>
      </c>
      <c r="K4860" s="114"/>
      <c r="L4860" s="5"/>
    </row>
    <row r="4861" spans="1:12" ht="15.75" thickBot="1" x14ac:dyDescent="0.3">
      <c r="A4861" s="5"/>
      <c r="B4861" s="5"/>
      <c r="C4861" s="7" t="s">
        <v>35</v>
      </c>
      <c r="D4861" s="17">
        <f>SUM(D4853:D4860)</f>
        <v>1594.35</v>
      </c>
      <c r="E4861" s="17">
        <f>SUM(E4853:E4860)</f>
        <v>32041.46</v>
      </c>
      <c r="F4861" s="89">
        <f>AVERAGE(F4853:F4857)</f>
        <v>19.909993546986829</v>
      </c>
      <c r="G4861" s="110" t="s">
        <v>73</v>
      </c>
      <c r="H4861" s="111"/>
      <c r="I4861" s="112"/>
      <c r="J4861" s="113">
        <v>368</v>
      </c>
      <c r="K4861" s="114"/>
      <c r="L4861" s="7" t="s">
        <v>36</v>
      </c>
    </row>
    <row r="4862" spans="1:12" ht="15.75" thickBot="1" x14ac:dyDescent="0.3">
      <c r="A4862" s="5"/>
      <c r="B4862" s="5"/>
      <c r="C4862" s="5"/>
      <c r="D4862" s="5"/>
      <c r="E4862" s="5"/>
      <c r="F4862" s="5"/>
      <c r="G4862" s="130"/>
      <c r="H4862" s="131"/>
      <c r="I4862" s="132"/>
      <c r="J4862" s="133"/>
      <c r="K4862" s="134"/>
      <c r="L4862" s="18">
        <f>J4853+J4854+J4855+J4856+J4857+J4858+J4859+J4860+J4861</f>
        <v>3045</v>
      </c>
    </row>
    <row r="4863" spans="1:12" ht="15.75" thickBot="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</row>
    <row r="4864" spans="1:12" ht="15.75" thickBot="1" x14ac:dyDescent="0.3">
      <c r="A4864" s="19"/>
      <c r="B4864" s="20"/>
      <c r="C4864" s="20"/>
      <c r="D4864" s="20"/>
      <c r="E4864" s="21" t="s">
        <v>13</v>
      </c>
      <c r="F4864" s="5"/>
      <c r="G4864" s="19"/>
      <c r="H4864" s="20"/>
      <c r="I4864" s="20"/>
      <c r="J4864" s="20"/>
      <c r="K4864" s="21" t="s">
        <v>13</v>
      </c>
      <c r="L4864" s="5"/>
    </row>
    <row r="4865" spans="1:12" x14ac:dyDescent="0.25">
      <c r="A4865" s="22" t="s">
        <v>31</v>
      </c>
      <c r="B4865" s="115">
        <v>23728</v>
      </c>
      <c r="C4865" s="116"/>
      <c r="D4865" s="116"/>
      <c r="E4865" s="117"/>
      <c r="F4865" s="5"/>
      <c r="G4865" s="22" t="s">
        <v>32</v>
      </c>
      <c r="H4865" s="115">
        <v>63000</v>
      </c>
      <c r="I4865" s="116"/>
      <c r="J4865" s="116"/>
      <c r="K4865" s="117"/>
      <c r="L4865" s="5"/>
    </row>
    <row r="4866" spans="1:12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</row>
    <row r="4867" spans="1:12" x14ac:dyDescent="0.25">
      <c r="A4867" s="7" t="s">
        <v>16</v>
      </c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</row>
    <row r="4868" spans="1:12" x14ac:dyDescent="0.25">
      <c r="A4868" s="9" t="s">
        <v>17</v>
      </c>
      <c r="B4868" s="23">
        <f>L4845-C4840</f>
        <v>4374</v>
      </c>
      <c r="C4868" s="5"/>
      <c r="D4868" s="106" t="s">
        <v>18</v>
      </c>
      <c r="E4868" s="107"/>
      <c r="F4868" s="24" t="s">
        <v>19</v>
      </c>
      <c r="G4868" s="9" t="s">
        <v>20</v>
      </c>
      <c r="H4868" s="118">
        <f>B4865+H4865</f>
        <v>86728</v>
      </c>
      <c r="I4868" s="119"/>
      <c r="J4868" s="60"/>
      <c r="K4868" s="5"/>
      <c r="L4868" s="5"/>
    </row>
    <row r="4869" spans="1:12" x14ac:dyDescent="0.25">
      <c r="A4869" s="9" t="s">
        <v>41</v>
      </c>
      <c r="B4869" s="40">
        <f>B4868/D4861</f>
        <v>2.743437764606266</v>
      </c>
      <c r="C4869" s="5"/>
      <c r="D4869" s="102">
        <f>E4861</f>
        <v>32041.46</v>
      </c>
      <c r="E4869" s="103"/>
      <c r="F4869" s="25">
        <f>H4869/B4868</f>
        <v>9.1017055326931864</v>
      </c>
      <c r="G4869" s="9" t="s">
        <v>21</v>
      </c>
      <c r="H4869" s="104">
        <f>L4862+D4869+D4871+D4873+D4875+A4872</f>
        <v>39810.86</v>
      </c>
      <c r="I4869" s="105"/>
      <c r="J4869" s="5"/>
      <c r="K4869" s="5"/>
      <c r="L4869" s="5"/>
    </row>
    <row r="4870" spans="1:12" x14ac:dyDescent="0.25">
      <c r="A4870" s="9" t="s">
        <v>43</v>
      </c>
      <c r="B4870" s="23">
        <f>D4861/B4868*100</f>
        <v>36.450617283950614</v>
      </c>
      <c r="C4870" s="5"/>
      <c r="D4870" s="106" t="s">
        <v>33</v>
      </c>
      <c r="E4870" s="107"/>
      <c r="F4870" s="5"/>
      <c r="G4870" s="13" t="s">
        <v>22</v>
      </c>
      <c r="H4870" s="6"/>
      <c r="I4870" s="26">
        <f>H4868-H4869</f>
        <v>46917.14</v>
      </c>
      <c r="J4870" s="5"/>
      <c r="K4870" s="5">
        <f>137000+23895</f>
        <v>160895</v>
      </c>
      <c r="L4870" s="5"/>
    </row>
    <row r="4871" spans="1:12" x14ac:dyDescent="0.25">
      <c r="A4871" s="106" t="s">
        <v>40</v>
      </c>
      <c r="B4871" s="107"/>
      <c r="C4871" s="5"/>
      <c r="D4871" s="149">
        <v>1600</v>
      </c>
      <c r="E4871" s="150"/>
      <c r="F4871" s="5"/>
      <c r="G4871" s="5"/>
      <c r="H4871" s="5"/>
      <c r="I4871" s="5"/>
      <c r="J4871" s="5"/>
      <c r="K4871" s="5"/>
      <c r="L4871" s="5"/>
    </row>
    <row r="4872" spans="1:12" x14ac:dyDescent="0.25">
      <c r="A4872" s="108">
        <f>B4868*0.6</f>
        <v>2624.4</v>
      </c>
      <c r="B4872" s="109"/>
      <c r="C4872" s="5"/>
      <c r="D4872" s="106" t="s">
        <v>34</v>
      </c>
      <c r="E4872" s="107"/>
      <c r="F4872" s="5"/>
      <c r="G4872" s="145" t="s">
        <v>292</v>
      </c>
      <c r="H4872" s="146"/>
      <c r="I4872" s="23">
        <f>B4868/2.3</f>
        <v>1901.7391304347827</v>
      </c>
      <c r="J4872" s="60"/>
      <c r="K4872" s="5"/>
      <c r="L4872" s="5"/>
    </row>
    <row r="4873" spans="1:12" x14ac:dyDescent="0.25">
      <c r="A4873" s="5"/>
      <c r="B4873" s="5"/>
      <c r="C4873" s="5"/>
      <c r="D4873" s="108">
        <v>500</v>
      </c>
      <c r="E4873" s="109"/>
      <c r="F4873" s="5"/>
      <c r="G4873" s="145" t="s">
        <v>294</v>
      </c>
      <c r="H4873" s="146"/>
      <c r="I4873" s="23">
        <f>I4872-D4861</f>
        <v>307.38913043478283</v>
      </c>
      <c r="J4873" s="5"/>
      <c r="K4873" s="5"/>
      <c r="L4873" s="5"/>
    </row>
    <row r="4874" spans="1:12" x14ac:dyDescent="0.25">
      <c r="A4874" s="5"/>
      <c r="B4874" s="5"/>
      <c r="C4874" s="5"/>
      <c r="D4874" s="106" t="s">
        <v>37</v>
      </c>
      <c r="E4874" s="107"/>
      <c r="F4874" s="5"/>
      <c r="G4874" s="147" t="s">
        <v>295</v>
      </c>
      <c r="H4874" s="148"/>
      <c r="I4874" s="86">
        <f>I4873*F4861</f>
        <v>6120.1156033704192</v>
      </c>
      <c r="J4874" s="87">
        <f>I4870-I4874</f>
        <v>40797.024396629582</v>
      </c>
      <c r="K4874" s="5"/>
      <c r="L4874" s="5"/>
    </row>
    <row r="4875" spans="1:12" x14ac:dyDescent="0.25">
      <c r="A4875" s="5"/>
      <c r="B4875" s="5"/>
      <c r="C4875" s="5"/>
      <c r="D4875" s="108">
        <v>0</v>
      </c>
      <c r="E4875" s="109"/>
      <c r="F4875" s="5" t="s">
        <v>78</v>
      </c>
      <c r="G4875" s="5"/>
      <c r="H4875" s="5"/>
      <c r="I4875" s="5"/>
      <c r="J4875" s="88" t="s">
        <v>293</v>
      </c>
      <c r="K4875" s="44"/>
      <c r="L4875" s="5"/>
    </row>
    <row r="4877" spans="1:12" s="49" customFormat="1" x14ac:dyDescent="0.25"/>
    <row r="4880" spans="1:12" x14ac:dyDescent="0.25">
      <c r="A4880" s="120" t="s">
        <v>24</v>
      </c>
      <c r="B4880" s="120"/>
      <c r="C4880" s="120"/>
      <c r="D4880" s="120"/>
      <c r="E4880" s="120"/>
      <c r="F4880" s="120"/>
      <c r="G4880" s="120"/>
      <c r="H4880" s="120"/>
      <c r="I4880" s="120"/>
      <c r="J4880" s="120"/>
      <c r="K4880" s="120"/>
      <c r="L4880" s="120"/>
    </row>
    <row r="4881" spans="1:12" x14ac:dyDescent="0.25">
      <c r="A4881" s="120"/>
      <c r="B4881" s="120"/>
      <c r="C4881" s="120"/>
      <c r="D4881" s="120"/>
      <c r="E4881" s="120"/>
      <c r="F4881" s="120"/>
      <c r="G4881" s="120"/>
      <c r="H4881" s="120"/>
      <c r="I4881" s="120"/>
      <c r="J4881" s="120"/>
      <c r="K4881" s="120"/>
      <c r="L4881" s="120"/>
    </row>
    <row r="4882" spans="1:12" x14ac:dyDescent="0.25">
      <c r="A4882" s="1" t="s">
        <v>4</v>
      </c>
      <c r="B4882" s="2"/>
      <c r="C4882" s="90"/>
      <c r="D4882" s="2"/>
      <c r="E4882" s="2"/>
      <c r="F4882" s="2"/>
      <c r="G4882" s="3" t="s">
        <v>5</v>
      </c>
      <c r="H4882" s="3" t="s">
        <v>6</v>
      </c>
      <c r="I4882" s="4" t="s">
        <v>7</v>
      </c>
      <c r="J4882" s="5"/>
      <c r="K4882" s="5"/>
      <c r="L4882" s="5"/>
    </row>
    <row r="4883" spans="1:12" x14ac:dyDescent="0.25">
      <c r="A4883" s="91" t="s">
        <v>549</v>
      </c>
      <c r="B4883" s="92" t="s">
        <v>599</v>
      </c>
      <c r="C4883" s="64"/>
      <c r="D4883" s="66"/>
      <c r="E4883" s="2"/>
      <c r="F4883" s="2"/>
      <c r="G4883" s="91" t="s">
        <v>299</v>
      </c>
      <c r="H4883" s="66"/>
      <c r="I4883" s="33"/>
      <c r="J4883" s="6"/>
      <c r="K4883" s="33"/>
      <c r="L4883" s="6"/>
    </row>
    <row r="4884" spans="1:12" x14ac:dyDescent="0.25">
      <c r="A4884" s="7" t="s">
        <v>2</v>
      </c>
      <c r="B4884" s="5"/>
      <c r="C4884" s="5"/>
      <c r="D4884" s="5"/>
      <c r="E4884" s="5"/>
      <c r="F4884" s="5"/>
      <c r="G4884" s="8" t="s">
        <v>8</v>
      </c>
      <c r="H4884" s="93">
        <v>3</v>
      </c>
      <c r="I4884" s="5"/>
      <c r="J4884" s="5"/>
      <c r="K4884" s="5"/>
      <c r="L4884" s="5"/>
    </row>
    <row r="4885" spans="1:12" x14ac:dyDescent="0.25">
      <c r="A4885" s="7" t="s">
        <v>25</v>
      </c>
      <c r="B4885" s="5"/>
      <c r="C4885" s="7" t="s">
        <v>0</v>
      </c>
      <c r="D4885" s="5"/>
      <c r="E4885" s="5"/>
      <c r="F4885" s="5"/>
      <c r="G4885" s="7" t="s">
        <v>25</v>
      </c>
      <c r="H4885" s="5"/>
      <c r="I4885" s="7" t="s">
        <v>0</v>
      </c>
      <c r="J4885" s="5"/>
      <c r="K4885" s="5"/>
      <c r="L4885" s="5"/>
    </row>
    <row r="4886" spans="1:12" x14ac:dyDescent="0.25">
      <c r="A4886" s="42">
        <v>46298</v>
      </c>
      <c r="B4886" s="6"/>
      <c r="C4886" s="31">
        <f>L4845</f>
        <v>1135907</v>
      </c>
      <c r="D4886" s="5"/>
      <c r="E4886" s="5"/>
      <c r="F4886" s="5"/>
      <c r="G4886" s="42"/>
      <c r="H4886" s="6"/>
      <c r="I4886" s="9"/>
      <c r="J4886" s="5"/>
      <c r="K4886" s="5"/>
      <c r="L4886" s="5"/>
    </row>
    <row r="4887" spans="1:12" ht="16.5" thickBot="1" x14ac:dyDescent="0.3">
      <c r="A4887" s="7"/>
      <c r="B4887" s="62"/>
      <c r="C4887" s="62"/>
      <c r="D4887" s="62"/>
      <c r="E4887" s="5"/>
      <c r="F4887" s="5"/>
      <c r="G4887" s="10"/>
      <c r="H4887" s="5"/>
      <c r="I4887" s="5"/>
      <c r="J4887" s="5"/>
      <c r="K4887" s="5"/>
      <c r="L4887" s="5"/>
    </row>
    <row r="4888" spans="1:12" ht="15.75" thickBot="1" x14ac:dyDescent="0.3">
      <c r="A4888" s="121" t="s">
        <v>9</v>
      </c>
      <c r="B4888" s="122"/>
      <c r="C4888" s="123"/>
      <c r="D4888" s="5"/>
      <c r="E4888" s="5"/>
      <c r="F4888" s="5"/>
      <c r="G4888" s="121" t="s">
        <v>26</v>
      </c>
      <c r="H4888" s="122"/>
      <c r="I4888" s="123"/>
      <c r="J4888" s="5"/>
      <c r="K4888" s="5"/>
      <c r="L4888" s="5"/>
    </row>
    <row r="4889" spans="1:12" x14ac:dyDescent="0.25">
      <c r="A4889" s="30" t="s">
        <v>38</v>
      </c>
      <c r="B4889" s="11"/>
      <c r="C4889" s="11"/>
      <c r="D4889" s="11"/>
      <c r="E4889" s="6"/>
      <c r="F4889" s="5"/>
      <c r="G4889" s="30" t="str">
        <f>A4892</f>
        <v>Oshakati</v>
      </c>
      <c r="H4889" s="11"/>
      <c r="I4889" s="11"/>
      <c r="J4889" s="11"/>
      <c r="K4889" s="11"/>
      <c r="L4889" s="6"/>
    </row>
    <row r="4890" spans="1:12" ht="15.75" thickBot="1" x14ac:dyDescent="0.3">
      <c r="A4890" s="7"/>
      <c r="B4890" s="7"/>
      <c r="C4890" s="7"/>
      <c r="D4890" s="5"/>
      <c r="E4890" s="5"/>
      <c r="F4890" s="5"/>
      <c r="G4890" s="7"/>
      <c r="H4890" s="7"/>
      <c r="I4890" s="7"/>
      <c r="J4890" s="5"/>
      <c r="K4890" s="5"/>
      <c r="L4890" s="5"/>
    </row>
    <row r="4891" spans="1:12" ht="15.75" thickBot="1" x14ac:dyDescent="0.3">
      <c r="A4891" s="121"/>
      <c r="B4891" s="122"/>
      <c r="C4891" s="124"/>
      <c r="D4891" s="12" t="s">
        <v>1</v>
      </c>
      <c r="E4891" s="32"/>
      <c r="F4891" s="5"/>
      <c r="G4891" s="121" t="s">
        <v>27</v>
      </c>
      <c r="H4891" s="122"/>
      <c r="I4891" s="123"/>
      <c r="J4891" s="5"/>
      <c r="K4891" s="12" t="s">
        <v>1</v>
      </c>
      <c r="L4891" s="32">
        <v>1138114</v>
      </c>
    </row>
    <row r="4892" spans="1:12" x14ac:dyDescent="0.25">
      <c r="A4892" s="30" t="s">
        <v>39</v>
      </c>
      <c r="B4892" s="11"/>
      <c r="C4892" s="11"/>
      <c r="D4892" s="11"/>
      <c r="E4892" s="6"/>
      <c r="F4892" s="5"/>
      <c r="G4892" s="30"/>
      <c r="H4892" s="11"/>
      <c r="I4892" s="11"/>
      <c r="J4892" s="11"/>
      <c r="K4892" s="11"/>
      <c r="L4892" s="6"/>
    </row>
    <row r="4893" spans="1:12" x14ac:dyDescent="0.25">
      <c r="A4893" s="76" t="s">
        <v>42</v>
      </c>
      <c r="B4893" s="11"/>
      <c r="C4893" s="11"/>
      <c r="D4893" s="11"/>
      <c r="E4893" s="6"/>
      <c r="F4893" s="5"/>
      <c r="G4893" s="34"/>
      <c r="H4893" s="11"/>
      <c r="I4893" s="11"/>
      <c r="J4893" s="11"/>
      <c r="K4893" s="11"/>
      <c r="L4893" s="6"/>
    </row>
    <row r="4894" spans="1:12" x14ac:dyDescent="0.25">
      <c r="A4894" s="13" t="s">
        <v>622</v>
      </c>
      <c r="B4894" s="11"/>
      <c r="C4894" s="11"/>
      <c r="D4894" s="11"/>
      <c r="E4894" s="6"/>
      <c r="F4894" s="5"/>
      <c r="G4894" s="13"/>
      <c r="H4894" s="11"/>
      <c r="I4894" s="11"/>
      <c r="J4894" s="11"/>
      <c r="K4894" s="11"/>
      <c r="L4894" s="6"/>
    </row>
    <row r="4895" spans="1:12" x14ac:dyDescent="0.25">
      <c r="A4895" s="13"/>
      <c r="B4895" s="11"/>
      <c r="C4895" s="11"/>
      <c r="D4895" s="11"/>
      <c r="E4895" s="6"/>
      <c r="F4895" s="5"/>
      <c r="G4895" s="13"/>
      <c r="H4895" s="11"/>
      <c r="I4895" s="11"/>
      <c r="J4895" s="11"/>
      <c r="K4895" s="11"/>
      <c r="L4895" s="6"/>
    </row>
    <row r="4896" spans="1:12" ht="15.75" thickBot="1" x14ac:dyDescent="0.3">
      <c r="A4896" s="13"/>
      <c r="B4896" s="11"/>
      <c r="C4896" s="11" t="s">
        <v>29</v>
      </c>
      <c r="D4896" s="43"/>
      <c r="E4896" s="6"/>
      <c r="F4896" s="5"/>
      <c r="G4896" s="13"/>
      <c r="H4896" s="11"/>
      <c r="I4896" s="14" t="s">
        <v>28</v>
      </c>
      <c r="J4896" s="43"/>
      <c r="K4896" s="59"/>
      <c r="L4896" s="6"/>
    </row>
    <row r="4897" spans="1:12" ht="15.75" thickBot="1" x14ac:dyDescent="0.3">
      <c r="A4897" s="15" t="s">
        <v>10</v>
      </c>
      <c r="B4897" s="5"/>
      <c r="C4897" s="5"/>
      <c r="D4897" s="5">
        <v>665.64</v>
      </c>
      <c r="E4897" s="5"/>
      <c r="F4897" s="5"/>
      <c r="G4897" s="15" t="s">
        <v>14</v>
      </c>
      <c r="H4897" s="5"/>
      <c r="I4897" s="5"/>
      <c r="J4897" s="5"/>
      <c r="K4897" s="5"/>
      <c r="L4897" s="5"/>
    </row>
    <row r="4898" spans="1:12" ht="15.75" thickBot="1" x14ac:dyDescent="0.3">
      <c r="A4898" s="121" t="s">
        <v>11</v>
      </c>
      <c r="B4898" s="122"/>
      <c r="C4898" s="123"/>
      <c r="D4898" s="16" t="s">
        <v>12</v>
      </c>
      <c r="E4898" s="16" t="s">
        <v>13</v>
      </c>
      <c r="F4898" s="5"/>
      <c r="G4898" s="121" t="s">
        <v>15</v>
      </c>
      <c r="H4898" s="122"/>
      <c r="I4898" s="123"/>
      <c r="J4898" s="121"/>
      <c r="K4898" s="123"/>
      <c r="L4898" s="5"/>
    </row>
    <row r="4899" spans="1:12" x14ac:dyDescent="0.25">
      <c r="A4899" s="94">
        <v>46359</v>
      </c>
      <c r="B4899" s="46" t="s">
        <v>47</v>
      </c>
      <c r="C4899" s="47"/>
      <c r="D4899" s="56">
        <v>200</v>
      </c>
      <c r="E4899" s="57">
        <v>4024</v>
      </c>
      <c r="F4899" s="44">
        <f>E4899/D4899</f>
        <v>20.12</v>
      </c>
      <c r="G4899" s="125" t="s">
        <v>69</v>
      </c>
      <c r="H4899" s="126"/>
      <c r="I4899" s="127"/>
      <c r="J4899" s="128"/>
      <c r="K4899" s="129"/>
      <c r="L4899" s="5"/>
    </row>
    <row r="4900" spans="1:12" x14ac:dyDescent="0.25">
      <c r="A4900" s="94" t="s">
        <v>605</v>
      </c>
      <c r="B4900" s="46" t="s">
        <v>623</v>
      </c>
      <c r="C4900" s="47"/>
      <c r="D4900" s="56">
        <v>534.89</v>
      </c>
      <c r="E4900" s="57">
        <v>10548</v>
      </c>
      <c r="F4900" s="44">
        <f t="shared" ref="F4900:F4901" si="19">E4900/D4900</f>
        <v>19.719942418067266</v>
      </c>
      <c r="G4900" s="110" t="s">
        <v>59</v>
      </c>
      <c r="H4900" s="111"/>
      <c r="I4900" s="112"/>
      <c r="J4900" s="113"/>
      <c r="K4900" s="114"/>
      <c r="L4900" s="5"/>
    </row>
    <row r="4901" spans="1:12" x14ac:dyDescent="0.25">
      <c r="A4901" s="94" t="s">
        <v>624</v>
      </c>
      <c r="B4901" s="46" t="s">
        <v>47</v>
      </c>
      <c r="C4901" s="47"/>
      <c r="D4901" s="56">
        <v>174.88</v>
      </c>
      <c r="E4901" s="57">
        <v>3518.59</v>
      </c>
      <c r="F4901" s="44">
        <f t="shared" si="19"/>
        <v>20.12002516010979</v>
      </c>
      <c r="G4901" s="110" t="s">
        <v>61</v>
      </c>
      <c r="H4901" s="111"/>
      <c r="I4901" s="112"/>
      <c r="J4901" s="113"/>
      <c r="K4901" s="114"/>
      <c r="L4901" s="5"/>
    </row>
    <row r="4902" spans="1:12" x14ac:dyDescent="0.25">
      <c r="A4902" s="94"/>
      <c r="B4902" s="46"/>
      <c r="C4902" s="47"/>
      <c r="D4902" s="56"/>
      <c r="E4902" s="57"/>
      <c r="F4902" s="44"/>
      <c r="G4902" s="110" t="s">
        <v>51</v>
      </c>
      <c r="H4902" s="111"/>
      <c r="I4902" s="112"/>
      <c r="J4902" s="113"/>
      <c r="K4902" s="114"/>
      <c r="L4902" s="5"/>
    </row>
    <row r="4903" spans="1:12" x14ac:dyDescent="0.25">
      <c r="A4903" s="48"/>
      <c r="B4903" s="46"/>
      <c r="C4903" s="39"/>
      <c r="D4903" s="52"/>
      <c r="E4903" s="53"/>
      <c r="F4903" s="44"/>
      <c r="G4903" s="110" t="s">
        <v>58</v>
      </c>
      <c r="H4903" s="111"/>
      <c r="I4903" s="112"/>
      <c r="J4903" s="113"/>
      <c r="K4903" s="114"/>
      <c r="L4903" s="5"/>
    </row>
    <row r="4904" spans="1:12" x14ac:dyDescent="0.25">
      <c r="A4904" s="48"/>
      <c r="B4904" s="35"/>
      <c r="C4904" s="39"/>
      <c r="D4904" s="52"/>
      <c r="E4904" s="53"/>
      <c r="F4904" s="44"/>
      <c r="G4904" s="110" t="s">
        <v>51</v>
      </c>
      <c r="H4904" s="111"/>
      <c r="I4904" s="112"/>
      <c r="J4904" s="113"/>
      <c r="K4904" s="114"/>
      <c r="L4904" s="5"/>
    </row>
    <row r="4905" spans="1:12" x14ac:dyDescent="0.25">
      <c r="A4905" s="48"/>
      <c r="B4905" s="35"/>
      <c r="C4905" s="39"/>
      <c r="D4905" s="52"/>
      <c r="E4905" s="53"/>
      <c r="F4905" s="44"/>
      <c r="G4905" s="77"/>
      <c r="H4905" s="78" t="s">
        <v>69</v>
      </c>
      <c r="I4905" s="79"/>
      <c r="J4905" s="113"/>
      <c r="K4905" s="114"/>
      <c r="L4905" s="5"/>
    </row>
    <row r="4906" spans="1:12" x14ac:dyDescent="0.25">
      <c r="A4906" s="38"/>
      <c r="B4906" s="35"/>
      <c r="C4906" s="39"/>
      <c r="D4906" s="52"/>
      <c r="E4906" s="53"/>
      <c r="F4906" s="44"/>
      <c r="G4906" s="77"/>
      <c r="H4906" s="78" t="s">
        <v>72</v>
      </c>
      <c r="I4906" s="79"/>
      <c r="J4906" s="113"/>
      <c r="K4906" s="114"/>
      <c r="L4906" s="5"/>
    </row>
    <row r="4907" spans="1:12" ht="15.75" thickBot="1" x14ac:dyDescent="0.3">
      <c r="A4907" s="5"/>
      <c r="B4907" s="5"/>
      <c r="C4907" s="7" t="s">
        <v>35</v>
      </c>
      <c r="D4907" s="17">
        <f>SUM(D4899:D4906)</f>
        <v>909.77</v>
      </c>
      <c r="E4907" s="17">
        <f>SUM(E4899:E4906)</f>
        <v>18090.59</v>
      </c>
      <c r="F4907" s="89">
        <f>AVERAGE(F4899:F4903)</f>
        <v>19.986655859392354</v>
      </c>
      <c r="G4907" s="110" t="s">
        <v>73</v>
      </c>
      <c r="H4907" s="111"/>
      <c r="I4907" s="112"/>
      <c r="J4907" s="113"/>
      <c r="K4907" s="114"/>
      <c r="L4907" s="7" t="s">
        <v>36</v>
      </c>
    </row>
    <row r="4908" spans="1:12" ht="15.75" thickBot="1" x14ac:dyDescent="0.3">
      <c r="A4908" s="5"/>
      <c r="B4908" s="5"/>
      <c r="C4908" s="5"/>
      <c r="D4908" s="5"/>
      <c r="E4908" s="5"/>
      <c r="F4908" s="5"/>
      <c r="G4908" s="130"/>
      <c r="H4908" s="131"/>
      <c r="I4908" s="132"/>
      <c r="J4908" s="133"/>
      <c r="K4908" s="134"/>
      <c r="L4908" s="18">
        <f>J4899+J4900+J4901+J4902+J4903+J4904+J4905+J4906+J4907</f>
        <v>0</v>
      </c>
    </row>
    <row r="4909" spans="1:12" ht="15.75" thickBot="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</row>
    <row r="4910" spans="1:12" ht="15.75" thickBot="1" x14ac:dyDescent="0.3">
      <c r="A4910" s="19"/>
      <c r="B4910" s="20"/>
      <c r="C4910" s="20"/>
      <c r="D4910" s="20"/>
      <c r="E4910" s="21" t="s">
        <v>13</v>
      </c>
      <c r="F4910" s="5"/>
      <c r="G4910" s="19"/>
      <c r="H4910" s="20"/>
      <c r="I4910" s="20"/>
      <c r="J4910" s="20"/>
      <c r="K4910" s="21" t="s">
        <v>13</v>
      </c>
      <c r="L4910" s="5"/>
    </row>
    <row r="4911" spans="1:12" x14ac:dyDescent="0.25">
      <c r="A4911" s="22" t="s">
        <v>31</v>
      </c>
      <c r="B4911" s="115">
        <v>28661</v>
      </c>
      <c r="C4911" s="116"/>
      <c r="D4911" s="116"/>
      <c r="E4911" s="117"/>
      <c r="F4911" s="5"/>
      <c r="G4911" s="22" t="s">
        <v>32</v>
      </c>
      <c r="H4911" s="115">
        <v>14813</v>
      </c>
      <c r="I4911" s="116"/>
      <c r="J4911" s="116"/>
      <c r="K4911" s="117"/>
      <c r="L4911" s="5"/>
    </row>
    <row r="4912" spans="1:12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</row>
    <row r="4913" spans="1:12" x14ac:dyDescent="0.25">
      <c r="A4913" s="7" t="s">
        <v>16</v>
      </c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</row>
    <row r="4914" spans="1:12" x14ac:dyDescent="0.25">
      <c r="A4914" s="9" t="s">
        <v>17</v>
      </c>
      <c r="B4914" s="23">
        <f>L4891-C4886</f>
        <v>2207</v>
      </c>
      <c r="C4914" s="5"/>
      <c r="D4914" s="106" t="s">
        <v>18</v>
      </c>
      <c r="E4914" s="107"/>
      <c r="F4914" s="24" t="s">
        <v>19</v>
      </c>
      <c r="G4914" s="9" t="s">
        <v>20</v>
      </c>
      <c r="H4914" s="118">
        <f>B4911+H4911</f>
        <v>43474</v>
      </c>
      <c r="I4914" s="119"/>
      <c r="J4914" s="60"/>
      <c r="K4914" s="5"/>
      <c r="L4914" s="5"/>
    </row>
    <row r="4915" spans="1:12" x14ac:dyDescent="0.25">
      <c r="A4915" s="9" t="s">
        <v>41</v>
      </c>
      <c r="B4915" s="40">
        <f>B4914/D4907</f>
        <v>2.4258878617672601</v>
      </c>
      <c r="C4915" s="5"/>
      <c r="D4915" s="102">
        <f>E4907</f>
        <v>18090.59</v>
      </c>
      <c r="E4915" s="103"/>
      <c r="F4915" s="25">
        <f>H4915/B4914</f>
        <v>9.2500181241504311</v>
      </c>
      <c r="G4915" s="9" t="s">
        <v>21</v>
      </c>
      <c r="H4915" s="104">
        <f>L4908+D4915+D4917+D4919+D4921+A4918</f>
        <v>20414.79</v>
      </c>
      <c r="I4915" s="105"/>
      <c r="J4915" s="5"/>
      <c r="K4915" s="5"/>
      <c r="L4915" s="5"/>
    </row>
    <row r="4916" spans="1:12" x14ac:dyDescent="0.25">
      <c r="A4916" s="9" t="s">
        <v>43</v>
      </c>
      <c r="B4916" s="23">
        <f>D4907/B4914*100</f>
        <v>41.222020842772992</v>
      </c>
      <c r="C4916" s="5"/>
      <c r="D4916" s="106" t="s">
        <v>33</v>
      </c>
      <c r="E4916" s="107"/>
      <c r="F4916" s="5"/>
      <c r="G4916" s="13" t="s">
        <v>22</v>
      </c>
      <c r="H4916" s="6"/>
      <c r="I4916" s="26">
        <f>H4914-H4915</f>
        <v>23059.21</v>
      </c>
      <c r="J4916" s="5"/>
      <c r="K4916" s="5">
        <f>137000+23895</f>
        <v>160895</v>
      </c>
      <c r="L4916" s="5"/>
    </row>
    <row r="4917" spans="1:12" x14ac:dyDescent="0.25">
      <c r="A4917" s="106" t="s">
        <v>40</v>
      </c>
      <c r="B4917" s="107"/>
      <c r="C4917" s="5"/>
      <c r="D4917" s="149">
        <v>1000</v>
      </c>
      <c r="E4917" s="150"/>
      <c r="F4917" s="5"/>
      <c r="G4917" s="5"/>
      <c r="H4917" s="5"/>
      <c r="I4917" s="5"/>
      <c r="J4917" s="5"/>
      <c r="K4917" s="5"/>
      <c r="L4917" s="5"/>
    </row>
    <row r="4918" spans="1:12" x14ac:dyDescent="0.25">
      <c r="A4918" s="108">
        <f>B4914*0.6</f>
        <v>1324.2</v>
      </c>
      <c r="B4918" s="109"/>
      <c r="C4918" s="5"/>
      <c r="D4918" s="106" t="s">
        <v>34</v>
      </c>
      <c r="E4918" s="107"/>
      <c r="F4918" s="5"/>
      <c r="G4918" s="145" t="s">
        <v>292</v>
      </c>
      <c r="H4918" s="146"/>
      <c r="I4918" s="23">
        <f>B4914/2.3</f>
        <v>959.56521739130437</v>
      </c>
      <c r="J4918" s="60"/>
      <c r="K4918" s="5"/>
      <c r="L4918" s="5"/>
    </row>
    <row r="4919" spans="1:12" x14ac:dyDescent="0.25">
      <c r="A4919" s="5"/>
      <c r="B4919" s="5"/>
      <c r="C4919" s="5"/>
      <c r="D4919" s="108">
        <v>0</v>
      </c>
      <c r="E4919" s="109"/>
      <c r="F4919" s="5"/>
      <c r="G4919" s="145" t="s">
        <v>294</v>
      </c>
      <c r="H4919" s="146"/>
      <c r="I4919" s="23">
        <f>I4918-D4907</f>
        <v>49.795217391304391</v>
      </c>
      <c r="J4919" s="5"/>
      <c r="K4919" s="5"/>
      <c r="L4919" s="5"/>
    </row>
    <row r="4920" spans="1:12" x14ac:dyDescent="0.25">
      <c r="A4920" s="5"/>
      <c r="B4920" s="5"/>
      <c r="C4920" s="5"/>
      <c r="D4920" s="106" t="s">
        <v>37</v>
      </c>
      <c r="E4920" s="107"/>
      <c r="F4920" s="5"/>
      <c r="G4920" s="147" t="s">
        <v>295</v>
      </c>
      <c r="H4920" s="148"/>
      <c r="I4920" s="86">
        <f>I4919*F4907</f>
        <v>995.2398734436299</v>
      </c>
      <c r="J4920" s="87">
        <f>I4916-I4920</f>
        <v>22063.970126556371</v>
      </c>
      <c r="K4920" s="5"/>
      <c r="L4920" s="5"/>
    </row>
    <row r="4921" spans="1:12" x14ac:dyDescent="0.25">
      <c r="A4921" s="5"/>
      <c r="B4921" s="5"/>
      <c r="C4921" s="5"/>
      <c r="D4921" s="108">
        <v>0</v>
      </c>
      <c r="E4921" s="109"/>
      <c r="F4921" s="5" t="s">
        <v>78</v>
      </c>
      <c r="G4921" s="5"/>
      <c r="H4921" s="5"/>
      <c r="I4921" s="5"/>
      <c r="J4921" s="88" t="s">
        <v>293</v>
      </c>
      <c r="K4921" s="44"/>
      <c r="L4921" s="5"/>
    </row>
    <row r="4923" spans="1:12" s="49" customFormat="1" x14ac:dyDescent="0.25"/>
    <row r="4926" spans="1:12" x14ac:dyDescent="0.25">
      <c r="A4926" s="120" t="s">
        <v>24</v>
      </c>
      <c r="B4926" s="120"/>
      <c r="C4926" s="120"/>
      <c r="D4926" s="120"/>
      <c r="E4926" s="120"/>
      <c r="F4926" s="120"/>
      <c r="G4926" s="120"/>
      <c r="H4926" s="120"/>
      <c r="I4926" s="120"/>
      <c r="J4926" s="120"/>
      <c r="K4926" s="120"/>
      <c r="L4926" s="120"/>
    </row>
    <row r="4927" spans="1:12" x14ac:dyDescent="0.25">
      <c r="A4927" s="120"/>
      <c r="B4927" s="120"/>
      <c r="C4927" s="120"/>
      <c r="D4927" s="120"/>
      <c r="E4927" s="120"/>
      <c r="F4927" s="120"/>
      <c r="G4927" s="120"/>
      <c r="H4927" s="120"/>
      <c r="I4927" s="120"/>
      <c r="J4927" s="120"/>
      <c r="K4927" s="120"/>
      <c r="L4927" s="120"/>
    </row>
    <row r="4928" spans="1:12" x14ac:dyDescent="0.25">
      <c r="A4928" s="1" t="s">
        <v>4</v>
      </c>
      <c r="B4928" s="2"/>
      <c r="C4928" s="90"/>
      <c r="D4928" s="2"/>
      <c r="E4928" s="2"/>
      <c r="F4928" s="2"/>
      <c r="G4928" s="3" t="s">
        <v>5</v>
      </c>
      <c r="H4928" s="3" t="s">
        <v>6</v>
      </c>
      <c r="I4928" s="4" t="s">
        <v>7</v>
      </c>
      <c r="J4928" s="5"/>
      <c r="K4928" s="5"/>
      <c r="L4928" s="5"/>
    </row>
    <row r="4929" spans="1:12" x14ac:dyDescent="0.25">
      <c r="A4929" s="91" t="s">
        <v>549</v>
      </c>
      <c r="B4929" s="92" t="s">
        <v>599</v>
      </c>
      <c r="C4929" s="64"/>
      <c r="D4929" s="66"/>
      <c r="E4929" s="2"/>
      <c r="F4929" s="2"/>
      <c r="G4929" s="91" t="s">
        <v>299</v>
      </c>
      <c r="H4929" s="66"/>
      <c r="I4929" s="33"/>
      <c r="J4929" s="6"/>
      <c r="K4929" s="33"/>
      <c r="L4929" s="6"/>
    </row>
    <row r="4930" spans="1:12" x14ac:dyDescent="0.25">
      <c r="A4930" s="7" t="s">
        <v>2</v>
      </c>
      <c r="B4930" s="5"/>
      <c r="C4930" s="5"/>
      <c r="D4930" s="5"/>
      <c r="E4930" s="5"/>
      <c r="F4930" s="5"/>
      <c r="G4930" s="8" t="s">
        <v>8</v>
      </c>
      <c r="H4930" s="93">
        <v>3</v>
      </c>
      <c r="I4930" s="5"/>
      <c r="J4930" s="5"/>
      <c r="K4930" s="5"/>
      <c r="L4930" s="5"/>
    </row>
    <row r="4931" spans="1:12" x14ac:dyDescent="0.25">
      <c r="A4931" s="7" t="s">
        <v>25</v>
      </c>
      <c r="B4931" s="5"/>
      <c r="C4931" s="7" t="s">
        <v>0</v>
      </c>
      <c r="D4931" s="5"/>
      <c r="E4931" s="5"/>
      <c r="F4931" s="5"/>
      <c r="G4931" s="7" t="s">
        <v>25</v>
      </c>
      <c r="H4931" s="5"/>
      <c r="I4931" s="7" t="s">
        <v>0</v>
      </c>
      <c r="J4931" s="5"/>
      <c r="K4931" s="5"/>
      <c r="L4931" s="5"/>
    </row>
    <row r="4932" spans="1:12" x14ac:dyDescent="0.25">
      <c r="A4932" s="42" t="s">
        <v>624</v>
      </c>
      <c r="B4932" s="6"/>
      <c r="C4932" s="31">
        <f>L4891</f>
        <v>1138114</v>
      </c>
      <c r="D4932" s="5"/>
      <c r="E4932" s="5"/>
      <c r="F4932" s="5"/>
      <c r="G4932" s="42"/>
      <c r="H4932" s="6"/>
      <c r="I4932" s="9"/>
      <c r="J4932" s="5"/>
      <c r="K4932" s="5"/>
      <c r="L4932" s="5"/>
    </row>
    <row r="4933" spans="1:12" ht="16.5" thickBot="1" x14ac:dyDescent="0.3">
      <c r="A4933" s="7"/>
      <c r="B4933" s="62"/>
      <c r="C4933" s="62"/>
      <c r="D4933" s="62"/>
      <c r="E4933" s="5"/>
      <c r="F4933" s="5"/>
      <c r="G4933" s="10"/>
      <c r="H4933" s="5"/>
      <c r="I4933" s="5"/>
      <c r="J4933" s="5"/>
      <c r="K4933" s="5"/>
      <c r="L4933" s="5"/>
    </row>
    <row r="4934" spans="1:12" ht="15.75" thickBot="1" x14ac:dyDescent="0.3">
      <c r="A4934" s="121" t="s">
        <v>9</v>
      </c>
      <c r="B4934" s="122"/>
      <c r="C4934" s="123"/>
      <c r="D4934" s="5"/>
      <c r="E4934" s="5"/>
      <c r="F4934" s="5"/>
      <c r="G4934" s="121" t="s">
        <v>26</v>
      </c>
      <c r="H4934" s="122"/>
      <c r="I4934" s="123"/>
      <c r="J4934" s="5"/>
      <c r="K4934" s="5"/>
      <c r="L4934" s="5"/>
    </row>
    <row r="4935" spans="1:12" x14ac:dyDescent="0.25">
      <c r="A4935" s="30" t="s">
        <v>38</v>
      </c>
      <c r="B4935" s="11"/>
      <c r="C4935" s="11"/>
      <c r="D4935" s="11"/>
      <c r="E4935" s="6"/>
      <c r="F4935" s="5"/>
      <c r="G4935" s="30" t="str">
        <f>A4938</f>
        <v>Grootfontein</v>
      </c>
      <c r="H4935" s="11"/>
      <c r="I4935" s="11"/>
      <c r="J4935" s="11"/>
      <c r="K4935" s="11"/>
      <c r="L4935" s="6"/>
    </row>
    <row r="4936" spans="1:12" ht="15.75" thickBot="1" x14ac:dyDescent="0.3">
      <c r="A4936" s="7"/>
      <c r="B4936" s="7"/>
      <c r="C4936" s="7"/>
      <c r="D4936" s="5"/>
      <c r="E4936" s="5"/>
      <c r="F4936" s="5"/>
      <c r="G4936" s="7"/>
      <c r="H4936" s="7"/>
      <c r="I4936" s="7"/>
      <c r="J4936" s="5"/>
      <c r="K4936" s="5"/>
      <c r="L4936" s="5"/>
    </row>
    <row r="4937" spans="1:12" ht="15.75" thickBot="1" x14ac:dyDescent="0.3">
      <c r="A4937" s="121"/>
      <c r="B4937" s="122"/>
      <c r="C4937" s="124"/>
      <c r="D4937" s="12" t="s">
        <v>1</v>
      </c>
      <c r="E4937" s="32"/>
      <c r="F4937" s="5"/>
      <c r="G4937" s="121" t="s">
        <v>27</v>
      </c>
      <c r="H4937" s="122"/>
      <c r="I4937" s="123"/>
      <c r="J4937" s="5"/>
      <c r="K4937" s="12" t="s">
        <v>1</v>
      </c>
      <c r="L4937" s="32">
        <v>1145618</v>
      </c>
    </row>
    <row r="4938" spans="1:12" x14ac:dyDescent="0.25">
      <c r="A4938" s="30" t="s">
        <v>340</v>
      </c>
      <c r="B4938" s="11"/>
      <c r="C4938" s="11"/>
      <c r="D4938" s="11"/>
      <c r="E4938" s="6"/>
      <c r="F4938" s="5"/>
      <c r="G4938" s="30" t="s">
        <v>630</v>
      </c>
      <c r="H4938" s="11"/>
      <c r="I4938" s="11"/>
      <c r="J4938" s="11"/>
      <c r="K4938" s="11"/>
      <c r="L4938" s="6"/>
    </row>
    <row r="4939" spans="1:12" x14ac:dyDescent="0.25">
      <c r="A4939" s="30" t="s">
        <v>318</v>
      </c>
      <c r="B4939" s="11" t="s">
        <v>625</v>
      </c>
      <c r="C4939" s="11"/>
      <c r="D4939" s="11"/>
      <c r="E4939" s="6"/>
      <c r="F4939" s="5"/>
      <c r="G4939" s="34"/>
      <c r="H4939" s="11"/>
      <c r="I4939" s="11"/>
      <c r="J4939" s="11"/>
      <c r="K4939" s="11"/>
      <c r="L4939" s="6"/>
    </row>
    <row r="4940" spans="1:12" x14ac:dyDescent="0.25">
      <c r="A4940" s="76" t="s">
        <v>629</v>
      </c>
      <c r="B4940" s="11"/>
      <c r="C4940" s="11"/>
      <c r="D4940" s="11"/>
      <c r="E4940" s="6"/>
      <c r="F4940" s="5"/>
      <c r="G4940" s="13"/>
      <c r="H4940" s="11"/>
      <c r="I4940" s="11"/>
      <c r="J4940" s="11"/>
      <c r="K4940" s="11"/>
      <c r="L4940" s="6"/>
    </row>
    <row r="4941" spans="1:12" x14ac:dyDescent="0.25">
      <c r="A4941" s="13"/>
      <c r="B4941" s="11"/>
      <c r="C4941" s="11"/>
      <c r="D4941" s="11"/>
      <c r="E4941" s="6"/>
      <c r="F4941" s="5"/>
      <c r="G4941" s="13"/>
      <c r="H4941" s="11"/>
      <c r="I4941" s="11"/>
      <c r="J4941" s="11"/>
      <c r="K4941" s="11"/>
      <c r="L4941" s="6"/>
    </row>
    <row r="4942" spans="1:12" ht="15.75" thickBot="1" x14ac:dyDescent="0.3">
      <c r="A4942" s="13"/>
      <c r="B4942" s="11"/>
      <c r="C4942" s="11" t="s">
        <v>29</v>
      </c>
      <c r="D4942" s="43"/>
      <c r="E4942" s="6"/>
      <c r="F4942" s="5"/>
      <c r="G4942" s="13"/>
      <c r="H4942" s="11"/>
      <c r="I4942" s="14" t="s">
        <v>28</v>
      </c>
      <c r="J4942" s="43"/>
      <c r="K4942" s="59"/>
      <c r="L4942" s="6"/>
    </row>
    <row r="4943" spans="1:12" ht="15.75" thickBot="1" x14ac:dyDescent="0.3">
      <c r="A4943" s="15" t="s">
        <v>10</v>
      </c>
      <c r="B4943" s="5"/>
      <c r="C4943" s="5"/>
      <c r="D4943" s="5">
        <v>665.64</v>
      </c>
      <c r="E4943" s="5"/>
      <c r="F4943" s="5"/>
      <c r="G4943" s="15" t="s">
        <v>14</v>
      </c>
      <c r="H4943" s="5"/>
      <c r="I4943" s="5"/>
      <c r="J4943" s="5"/>
      <c r="K4943" s="5"/>
      <c r="L4943" s="5"/>
    </row>
    <row r="4944" spans="1:12" ht="15.75" thickBot="1" x14ac:dyDescent="0.3">
      <c r="A4944" s="121" t="s">
        <v>11</v>
      </c>
      <c r="B4944" s="122"/>
      <c r="C4944" s="123"/>
      <c r="D4944" s="16" t="s">
        <v>12</v>
      </c>
      <c r="E4944" s="16" t="s">
        <v>13</v>
      </c>
      <c r="F4944" s="5"/>
      <c r="G4944" s="121" t="s">
        <v>15</v>
      </c>
      <c r="H4944" s="122"/>
      <c r="I4944" s="123"/>
      <c r="J4944" s="121"/>
      <c r="K4944" s="123"/>
      <c r="L4944" s="5"/>
    </row>
    <row r="4945" spans="1:15" x14ac:dyDescent="0.25">
      <c r="A4945" s="94" t="s">
        <v>633</v>
      </c>
      <c r="B4945" s="46" t="s">
        <v>56</v>
      </c>
      <c r="C4945" s="47"/>
      <c r="D4945" s="56">
        <v>737.32</v>
      </c>
      <c r="E4945" s="57">
        <v>13529.82</v>
      </c>
      <c r="F4945" s="44">
        <f>E4945/D4945</f>
        <v>18.349997287473553</v>
      </c>
      <c r="G4945" s="125" t="s">
        <v>69</v>
      </c>
      <c r="H4945" s="126"/>
      <c r="I4945" s="127"/>
      <c r="J4945" s="128">
        <f>331+331</f>
        <v>662</v>
      </c>
      <c r="K4945" s="129"/>
      <c r="L4945" s="5"/>
    </row>
    <row r="4946" spans="1:15" x14ac:dyDescent="0.25">
      <c r="A4946" s="94" t="s">
        <v>628</v>
      </c>
      <c r="B4946" s="46" t="s">
        <v>353</v>
      </c>
      <c r="C4946" s="47"/>
      <c r="D4946" s="56">
        <v>400.18</v>
      </c>
      <c r="E4946" s="57">
        <v>8879.99</v>
      </c>
      <c r="F4946" s="44">
        <f t="shared" ref="F4946:F4951" si="20">E4946/D4946</f>
        <v>22.189989504722874</v>
      </c>
      <c r="G4946" s="110" t="s">
        <v>59</v>
      </c>
      <c r="H4946" s="111"/>
      <c r="I4946" s="112"/>
      <c r="J4946" s="113">
        <f>324+324</f>
        <v>648</v>
      </c>
      <c r="K4946" s="114"/>
      <c r="L4946" s="5"/>
      <c r="M4946">
        <v>290</v>
      </c>
      <c r="N4946">
        <v>6481.5</v>
      </c>
    </row>
    <row r="4947" spans="1:15" x14ac:dyDescent="0.25">
      <c r="A4947" s="94" t="s">
        <v>626</v>
      </c>
      <c r="B4947" s="46" t="s">
        <v>612</v>
      </c>
      <c r="C4947" s="47"/>
      <c r="D4947" s="56">
        <v>180</v>
      </c>
      <c r="E4947" s="57">
        <v>3375</v>
      </c>
      <c r="F4947" s="44">
        <f t="shared" si="20"/>
        <v>18.75</v>
      </c>
      <c r="G4947" s="110" t="s">
        <v>61</v>
      </c>
      <c r="H4947" s="111"/>
      <c r="I4947" s="112"/>
      <c r="J4947" s="113">
        <f>57+57</f>
        <v>114</v>
      </c>
      <c r="K4947" s="114"/>
      <c r="L4947" s="5"/>
      <c r="N4947">
        <v>8406.4</v>
      </c>
    </row>
    <row r="4948" spans="1:15" x14ac:dyDescent="0.25">
      <c r="A4948" s="94" t="s">
        <v>634</v>
      </c>
      <c r="B4948" s="46" t="s">
        <v>353</v>
      </c>
      <c r="C4948" s="47"/>
      <c r="D4948" s="56">
        <v>450.65300000000002</v>
      </c>
      <c r="E4948" s="57">
        <v>9999.99</v>
      </c>
      <c r="F4948" s="44">
        <f t="shared" si="20"/>
        <v>22.189999844669845</v>
      </c>
      <c r="G4948" s="110" t="s">
        <v>51</v>
      </c>
      <c r="H4948" s="111"/>
      <c r="I4948" s="112"/>
      <c r="J4948" s="113">
        <f>359+359</f>
        <v>718</v>
      </c>
      <c r="K4948" s="114"/>
      <c r="L4948" s="5"/>
      <c r="N4948">
        <v>15357.45</v>
      </c>
    </row>
    <row r="4949" spans="1:15" x14ac:dyDescent="0.25">
      <c r="A4949" s="48" t="s">
        <v>627</v>
      </c>
      <c r="B4949" s="46" t="s">
        <v>46</v>
      </c>
      <c r="C4949" s="39"/>
      <c r="D4949" s="52">
        <v>356</v>
      </c>
      <c r="E4949" s="53">
        <v>7358.52</v>
      </c>
      <c r="F4949" s="44">
        <f t="shared" si="20"/>
        <v>20.67</v>
      </c>
      <c r="G4949" s="110" t="s">
        <v>58</v>
      </c>
      <c r="H4949" s="111"/>
      <c r="I4949" s="112"/>
      <c r="J4949" s="113">
        <f>62+62</f>
        <v>124</v>
      </c>
      <c r="K4949" s="114"/>
      <c r="L4949" s="5"/>
      <c r="N4949">
        <v>15453.01</v>
      </c>
    </row>
    <row r="4950" spans="1:15" x14ac:dyDescent="0.25">
      <c r="A4950" s="48" t="s">
        <v>637</v>
      </c>
      <c r="B4950" s="35" t="s">
        <v>377</v>
      </c>
      <c r="C4950" s="39"/>
      <c r="D4950" s="52">
        <v>483.03</v>
      </c>
      <c r="E4950" s="53">
        <v>9718.56</v>
      </c>
      <c r="F4950" s="44">
        <f t="shared" si="20"/>
        <v>20.119992547046767</v>
      </c>
      <c r="G4950" s="110" t="s">
        <v>51</v>
      </c>
      <c r="H4950" s="111"/>
      <c r="I4950" s="112"/>
      <c r="J4950" s="113">
        <f>104+104</f>
        <v>208</v>
      </c>
      <c r="K4950" s="114"/>
      <c r="L4950" s="5"/>
      <c r="N4950">
        <f>SUM(N4946:N4949)</f>
        <v>45698.36</v>
      </c>
      <c r="O4950">
        <f>N4950+10000</f>
        <v>55698.36</v>
      </c>
    </row>
    <row r="4951" spans="1:15" x14ac:dyDescent="0.25">
      <c r="A4951" s="48" t="s">
        <v>636</v>
      </c>
      <c r="B4951" s="35" t="s">
        <v>642</v>
      </c>
      <c r="C4951" s="39"/>
      <c r="D4951" s="52">
        <v>323.06</v>
      </c>
      <c r="E4951" s="53">
        <v>6619.5</v>
      </c>
      <c r="F4951" s="44">
        <f t="shared" si="20"/>
        <v>20.490001857240141</v>
      </c>
      <c r="G4951" s="77"/>
      <c r="H4951" s="78" t="s">
        <v>69</v>
      </c>
      <c r="I4951" s="79"/>
      <c r="J4951" s="113"/>
      <c r="K4951" s="114"/>
      <c r="L4951" s="5"/>
    </row>
    <row r="4952" spans="1:15" x14ac:dyDescent="0.25">
      <c r="A4952" s="38"/>
      <c r="B4952" s="35"/>
      <c r="C4952" s="39"/>
      <c r="D4952" s="52"/>
      <c r="E4952" s="53"/>
      <c r="F4952" s="44"/>
      <c r="G4952" s="77"/>
      <c r="H4952" s="78" t="s">
        <v>72</v>
      </c>
      <c r="I4952" s="79"/>
      <c r="J4952" s="113"/>
      <c r="K4952" s="114"/>
      <c r="L4952" s="5"/>
    </row>
    <row r="4953" spans="1:15" ht="15.75" thickBot="1" x14ac:dyDescent="0.3">
      <c r="A4953" s="5"/>
      <c r="B4953" s="5"/>
      <c r="C4953" s="7" t="s">
        <v>35</v>
      </c>
      <c r="D4953" s="17">
        <f>SUM(D4945:D4952)</f>
        <v>2930.2429999999999</v>
      </c>
      <c r="E4953" s="17">
        <f>SUM(E4945:E4952)</f>
        <v>59481.37999999999</v>
      </c>
      <c r="F4953" s="89">
        <f>AVERAGE(F4945:F4951)</f>
        <v>20.394283005879025</v>
      </c>
      <c r="G4953" s="110" t="s">
        <v>73</v>
      </c>
      <c r="H4953" s="111"/>
      <c r="I4953" s="112"/>
      <c r="J4953" s="113"/>
      <c r="K4953" s="114"/>
      <c r="L4953" s="7" t="s">
        <v>36</v>
      </c>
    </row>
    <row r="4954" spans="1:15" ht="15.75" thickBot="1" x14ac:dyDescent="0.3">
      <c r="A4954" s="5"/>
      <c r="B4954" s="5"/>
      <c r="C4954" s="5"/>
      <c r="D4954" s="5"/>
      <c r="E4954" s="5"/>
      <c r="F4954" s="5"/>
      <c r="G4954" s="130"/>
      <c r="H4954" s="131"/>
      <c r="I4954" s="132"/>
      <c r="J4954" s="133"/>
      <c r="K4954" s="134"/>
      <c r="L4954" s="18">
        <f>J4945+J4946+J4947+J4948+J4949+J4950+J4951+J4952+J4953</f>
        <v>2474</v>
      </c>
      <c r="M4954">
        <v>2200</v>
      </c>
      <c r="N4954" s="96">
        <f>L4954-M4954</f>
        <v>274</v>
      </c>
    </row>
    <row r="4955" spans="1:15" ht="15.75" thickBot="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</row>
    <row r="4956" spans="1:15" ht="15.75" thickBot="1" x14ac:dyDescent="0.3">
      <c r="A4956" s="19"/>
      <c r="B4956" s="20"/>
      <c r="C4956" s="20"/>
      <c r="D4956" s="20"/>
      <c r="E4956" s="21" t="s">
        <v>13</v>
      </c>
      <c r="F4956" s="5"/>
      <c r="G4956" s="19"/>
      <c r="H4956" s="20"/>
      <c r="I4956" s="20"/>
      <c r="J4956" s="20"/>
      <c r="K4956" s="21" t="s">
        <v>13</v>
      </c>
      <c r="L4956" s="5"/>
    </row>
    <row r="4957" spans="1:15" x14ac:dyDescent="0.25">
      <c r="A4957" s="22" t="s">
        <v>31</v>
      </c>
      <c r="B4957" s="115">
        <v>17569</v>
      </c>
      <c r="C4957" s="116"/>
      <c r="D4957" s="116"/>
      <c r="E4957" s="117"/>
      <c r="F4957" s="5"/>
      <c r="G4957" s="22" t="s">
        <v>32</v>
      </c>
      <c r="H4957" s="115">
        <f>28113.9+75000</f>
        <v>103113.9</v>
      </c>
      <c r="I4957" s="116"/>
      <c r="J4957" s="116"/>
      <c r="K4957" s="117"/>
      <c r="L4957" s="5"/>
    </row>
    <row r="4958" spans="1:15" x14ac:dyDescent="0.25">
      <c r="A4958" s="5"/>
      <c r="B4958" s="5"/>
      <c r="C4958" s="5"/>
      <c r="D4958" s="5"/>
      <c r="E4958" s="5" t="s">
        <v>632</v>
      </c>
      <c r="F4958" s="5"/>
      <c r="G4958" s="5"/>
      <c r="H4958" s="5"/>
      <c r="I4958" s="5"/>
      <c r="J4958" s="100" t="s">
        <v>631</v>
      </c>
      <c r="K4958" s="5"/>
      <c r="L4958" s="5"/>
    </row>
    <row r="4959" spans="1:15" x14ac:dyDescent="0.25">
      <c r="A4959" s="7" t="s">
        <v>16</v>
      </c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</row>
    <row r="4960" spans="1:15" x14ac:dyDescent="0.25">
      <c r="A4960" s="9" t="s">
        <v>17</v>
      </c>
      <c r="B4960" s="23">
        <f>L4937-C4932</f>
        <v>7504</v>
      </c>
      <c r="C4960" s="5"/>
      <c r="D4960" s="106" t="s">
        <v>18</v>
      </c>
      <c r="E4960" s="107"/>
      <c r="F4960" s="24" t="s">
        <v>19</v>
      </c>
      <c r="G4960" s="9" t="s">
        <v>20</v>
      </c>
      <c r="H4960" s="118">
        <f>B4957+H4957</f>
        <v>120682.9</v>
      </c>
      <c r="I4960" s="119"/>
      <c r="J4960" s="60"/>
      <c r="K4960" s="5"/>
      <c r="L4960" s="5"/>
    </row>
    <row r="4961" spans="1:12" x14ac:dyDescent="0.25">
      <c r="A4961" s="9" t="s">
        <v>41</v>
      </c>
      <c r="B4961" s="40">
        <f>B4960/D4953</f>
        <v>2.5608797632141771</v>
      </c>
      <c r="C4961" s="5"/>
      <c r="D4961" s="102">
        <f>E4953</f>
        <v>59481.37999999999</v>
      </c>
      <c r="E4961" s="103"/>
      <c r="F4961" s="25">
        <f>H4961/B4960</f>
        <v>9.4026892324093794</v>
      </c>
      <c r="G4961" s="9" t="s">
        <v>21</v>
      </c>
      <c r="H4961" s="104">
        <f>L4954+D4961+D4963+D4965+D4967+A4964</f>
        <v>70557.779999999984</v>
      </c>
      <c r="I4961" s="105"/>
      <c r="J4961" s="5"/>
      <c r="K4961" s="5"/>
      <c r="L4961" s="5"/>
    </row>
    <row r="4962" spans="1:12" x14ac:dyDescent="0.25">
      <c r="A4962" s="9" t="s">
        <v>43</v>
      </c>
      <c r="B4962" s="23">
        <f>D4953/B4960*100</f>
        <v>39.049080490405117</v>
      </c>
      <c r="C4962" s="5"/>
      <c r="D4962" s="106" t="s">
        <v>33</v>
      </c>
      <c r="E4962" s="107"/>
      <c r="F4962" s="5"/>
      <c r="G4962" s="13" t="s">
        <v>22</v>
      </c>
      <c r="H4962" s="6"/>
      <c r="I4962" s="26">
        <f>H4960-H4961</f>
        <v>50125.12000000001</v>
      </c>
      <c r="J4962" s="5"/>
      <c r="K4962" s="5">
        <f>137000+23895</f>
        <v>160895</v>
      </c>
      <c r="L4962" s="5"/>
    </row>
    <row r="4963" spans="1:12" x14ac:dyDescent="0.25">
      <c r="A4963" s="106" t="s">
        <v>40</v>
      </c>
      <c r="B4963" s="107"/>
      <c r="C4963" s="5"/>
      <c r="D4963" s="149">
        <f>500+1600</f>
        <v>2100</v>
      </c>
      <c r="E4963" s="150"/>
      <c r="F4963" s="5"/>
      <c r="G4963" s="5"/>
      <c r="H4963" s="5"/>
      <c r="I4963" s="5"/>
      <c r="J4963" s="5"/>
      <c r="K4963" s="5"/>
      <c r="L4963" s="5"/>
    </row>
    <row r="4964" spans="1:12" x14ac:dyDescent="0.25">
      <c r="A4964" s="108">
        <f>B4960*0.6</f>
        <v>4502.3999999999996</v>
      </c>
      <c r="B4964" s="109"/>
      <c r="C4964" s="5"/>
      <c r="D4964" s="106" t="s">
        <v>34</v>
      </c>
      <c r="E4964" s="107"/>
      <c r="F4964" s="5"/>
      <c r="G4964" s="145" t="s">
        <v>292</v>
      </c>
      <c r="H4964" s="146"/>
      <c r="I4964" s="23">
        <f>B4960/2.3</f>
        <v>3262.608695652174</v>
      </c>
      <c r="J4964" s="60"/>
      <c r="K4964" s="5"/>
      <c r="L4964" s="5"/>
    </row>
    <row r="4965" spans="1:12" x14ac:dyDescent="0.25">
      <c r="A4965" s="5"/>
      <c r="B4965" s="5">
        <v>3110</v>
      </c>
      <c r="C4965" s="5"/>
      <c r="D4965" s="108">
        <v>2000</v>
      </c>
      <c r="E4965" s="109"/>
      <c r="F4965" s="5"/>
      <c r="G4965" s="145" t="s">
        <v>294</v>
      </c>
      <c r="H4965" s="146"/>
      <c r="I4965" s="23">
        <f>I4964-D4953</f>
        <v>332.36569565217405</v>
      </c>
      <c r="J4965" s="5"/>
      <c r="K4965" s="5"/>
      <c r="L4965" s="5"/>
    </row>
    <row r="4966" spans="1:12" x14ac:dyDescent="0.25">
      <c r="A4966" s="5"/>
      <c r="B4966" s="60">
        <f>A4964-B4965</f>
        <v>1392.3999999999996</v>
      </c>
      <c r="C4966" s="5"/>
      <c r="D4966" s="106" t="s">
        <v>37</v>
      </c>
      <c r="E4966" s="107"/>
      <c r="F4966" s="5"/>
      <c r="G4966" s="147" t="s">
        <v>295</v>
      </c>
      <c r="H4966" s="148"/>
      <c r="I4966" s="86">
        <f>I4965*F4953</f>
        <v>6778.3600585762933</v>
      </c>
      <c r="J4966" s="87">
        <f>I4962-I4966</f>
        <v>43346.759941423719</v>
      </c>
      <c r="K4966" s="5"/>
      <c r="L4966" s="5"/>
    </row>
    <row r="4967" spans="1:12" x14ac:dyDescent="0.25">
      <c r="A4967" s="5"/>
      <c r="B4967" s="5"/>
      <c r="C4967" s="5"/>
      <c r="D4967" s="108">
        <v>0</v>
      </c>
      <c r="E4967" s="109"/>
      <c r="F4967" s="5" t="s">
        <v>78</v>
      </c>
      <c r="G4967" s="5"/>
      <c r="H4967" s="5"/>
      <c r="I4967" s="5"/>
      <c r="J4967" s="88" t="s">
        <v>293</v>
      </c>
      <c r="K4967" s="44"/>
      <c r="L4967" s="5"/>
    </row>
    <row r="4969" spans="1:12" s="49" customFormat="1" x14ac:dyDescent="0.25">
      <c r="A4969" s="49" t="s">
        <v>635</v>
      </c>
    </row>
    <row r="4972" spans="1:12" x14ac:dyDescent="0.25">
      <c r="A4972" s="120" t="s">
        <v>24</v>
      </c>
      <c r="B4972" s="120"/>
      <c r="C4972" s="120"/>
      <c r="D4972" s="120"/>
      <c r="E4972" s="120"/>
      <c r="F4972" s="120"/>
      <c r="G4972" s="120"/>
      <c r="H4972" s="120"/>
      <c r="I4972" s="120"/>
      <c r="J4972" s="120"/>
      <c r="K4972" s="120"/>
      <c r="L4972" s="120"/>
    </row>
    <row r="4973" spans="1:12" x14ac:dyDescent="0.25">
      <c r="A4973" s="120"/>
      <c r="B4973" s="120"/>
      <c r="C4973" s="120"/>
      <c r="D4973" s="120"/>
      <c r="E4973" s="120"/>
      <c r="F4973" s="120"/>
      <c r="G4973" s="120"/>
      <c r="H4973" s="120"/>
      <c r="I4973" s="120"/>
      <c r="J4973" s="120"/>
      <c r="K4973" s="120"/>
      <c r="L4973" s="120"/>
    </row>
    <row r="4974" spans="1:12" x14ac:dyDescent="0.25">
      <c r="A4974" s="1" t="s">
        <v>4</v>
      </c>
      <c r="B4974" s="2"/>
      <c r="C4974" s="90"/>
      <c r="D4974" s="2"/>
      <c r="E4974" s="2"/>
      <c r="F4974" s="2"/>
      <c r="G4974" s="3" t="s">
        <v>5</v>
      </c>
      <c r="H4974" s="3" t="s">
        <v>6</v>
      </c>
      <c r="I4974" s="4" t="s">
        <v>7</v>
      </c>
      <c r="J4974" s="5"/>
      <c r="K4974" s="5"/>
      <c r="L4974" s="5"/>
    </row>
    <row r="4975" spans="1:12" x14ac:dyDescent="0.25">
      <c r="A4975" s="91" t="s">
        <v>549</v>
      </c>
      <c r="B4975" s="92" t="s">
        <v>599</v>
      </c>
      <c r="C4975" s="64"/>
      <c r="D4975" s="66"/>
      <c r="E4975" s="2"/>
      <c r="F4975" s="2"/>
      <c r="G4975" s="91" t="s">
        <v>299</v>
      </c>
      <c r="H4975" s="66"/>
      <c r="I4975" s="33"/>
      <c r="J4975" s="6"/>
      <c r="K4975" s="33"/>
      <c r="L4975" s="6"/>
    </row>
    <row r="4976" spans="1:12" x14ac:dyDescent="0.25">
      <c r="A4976" s="7" t="s">
        <v>2</v>
      </c>
      <c r="B4976" s="5"/>
      <c r="C4976" s="5"/>
      <c r="D4976" s="5"/>
      <c r="E4976" s="5"/>
      <c r="F4976" s="5"/>
      <c r="G4976" s="8" t="s">
        <v>8</v>
      </c>
      <c r="H4976" s="93">
        <v>3</v>
      </c>
      <c r="I4976" s="5"/>
      <c r="J4976" s="5"/>
      <c r="K4976" s="5"/>
      <c r="L4976" s="5"/>
    </row>
    <row r="4977" spans="1:12" x14ac:dyDescent="0.25">
      <c r="A4977" s="7" t="s">
        <v>25</v>
      </c>
      <c r="B4977" s="5"/>
      <c r="C4977" s="7" t="s">
        <v>0</v>
      </c>
      <c r="D4977" s="5"/>
      <c r="E4977" s="5"/>
      <c r="F4977" s="5"/>
      <c r="G4977" s="7" t="s">
        <v>25</v>
      </c>
      <c r="H4977" s="5"/>
      <c r="I4977" s="7" t="s">
        <v>0</v>
      </c>
      <c r="J4977" s="5"/>
      <c r="K4977" s="5"/>
      <c r="L4977" s="5"/>
    </row>
    <row r="4978" spans="1:12" x14ac:dyDescent="0.25">
      <c r="A4978" s="42" t="s">
        <v>637</v>
      </c>
      <c r="B4978" s="6"/>
      <c r="C4978" s="31">
        <f>L4937</f>
        <v>1145618</v>
      </c>
      <c r="D4978" s="5"/>
      <c r="E4978" s="5"/>
      <c r="F4978" s="5"/>
      <c r="G4978" s="42"/>
      <c r="H4978" s="6"/>
      <c r="I4978" s="9"/>
      <c r="J4978" s="5"/>
      <c r="K4978" s="5"/>
      <c r="L4978" s="5"/>
    </row>
    <row r="4979" spans="1:12" ht="16.5" thickBot="1" x14ac:dyDescent="0.3">
      <c r="A4979" s="7"/>
      <c r="B4979" s="62"/>
      <c r="C4979" s="62"/>
      <c r="D4979" s="62"/>
      <c r="E4979" s="5"/>
      <c r="F4979" s="5"/>
      <c r="G4979" s="10"/>
      <c r="H4979" s="5"/>
      <c r="I4979" s="5"/>
      <c r="J4979" s="5"/>
      <c r="K4979" s="5"/>
      <c r="L4979" s="5"/>
    </row>
    <row r="4980" spans="1:12" ht="15.75" thickBot="1" x14ac:dyDescent="0.3">
      <c r="A4980" s="121" t="s">
        <v>9</v>
      </c>
      <c r="B4980" s="122"/>
      <c r="C4980" s="123"/>
      <c r="D4980" s="5"/>
      <c r="E4980" s="5"/>
      <c r="F4980" s="5"/>
      <c r="G4980" s="121" t="s">
        <v>26</v>
      </c>
      <c r="H4980" s="122"/>
      <c r="I4980" s="123"/>
      <c r="J4980" s="5"/>
      <c r="K4980" s="5"/>
      <c r="L4980" s="5"/>
    </row>
    <row r="4981" spans="1:12" x14ac:dyDescent="0.25">
      <c r="A4981" s="30" t="s">
        <v>38</v>
      </c>
      <c r="B4981" s="11"/>
      <c r="C4981" s="11"/>
      <c r="D4981" s="11"/>
      <c r="E4981" s="6"/>
      <c r="F4981" s="5"/>
      <c r="G4981" s="30" t="str">
        <f>A4984</f>
        <v>Oshakati</v>
      </c>
      <c r="H4981" s="11"/>
      <c r="I4981" s="11"/>
      <c r="J4981" s="11"/>
      <c r="K4981" s="11"/>
      <c r="L4981" s="6"/>
    </row>
    <row r="4982" spans="1:12" ht="15.75" thickBot="1" x14ac:dyDescent="0.3">
      <c r="A4982" s="7"/>
      <c r="B4982" s="7"/>
      <c r="C4982" s="7"/>
      <c r="D4982" s="5"/>
      <c r="E4982" s="5"/>
      <c r="F4982" s="5"/>
      <c r="G4982" s="7"/>
      <c r="H4982" s="7"/>
      <c r="I4982" s="7"/>
      <c r="J4982" s="5"/>
      <c r="K4982" s="5"/>
      <c r="L4982" s="5"/>
    </row>
    <row r="4983" spans="1:12" ht="15.75" thickBot="1" x14ac:dyDescent="0.3">
      <c r="A4983" s="121"/>
      <c r="B4983" s="122"/>
      <c r="C4983" s="124"/>
      <c r="D4983" s="12" t="s">
        <v>1</v>
      </c>
      <c r="E4983" s="32"/>
      <c r="F4983" s="5"/>
      <c r="G4983" s="121" t="s">
        <v>27</v>
      </c>
      <c r="H4983" s="122"/>
      <c r="I4983" s="123"/>
      <c r="J4983" s="5"/>
      <c r="K4983" s="12" t="s">
        <v>1</v>
      </c>
      <c r="L4983" s="32">
        <v>1147076</v>
      </c>
    </row>
    <row r="4984" spans="1:12" x14ac:dyDescent="0.25">
      <c r="A4984" s="30" t="s">
        <v>39</v>
      </c>
      <c r="B4984" s="11"/>
      <c r="C4984" s="11"/>
      <c r="D4984" s="11"/>
      <c r="E4984" s="6"/>
      <c r="F4984" s="5"/>
      <c r="G4984" s="30"/>
      <c r="H4984" s="11"/>
      <c r="I4984" s="11"/>
      <c r="J4984" s="11"/>
      <c r="K4984" s="11"/>
      <c r="L4984" s="6"/>
    </row>
    <row r="4985" spans="1:12" x14ac:dyDescent="0.25">
      <c r="A4985" s="76"/>
      <c r="B4985" s="11"/>
      <c r="C4985" s="11"/>
      <c r="D4985" s="11"/>
      <c r="E4985" s="6"/>
      <c r="F4985" s="5"/>
      <c r="G4985" s="34"/>
      <c r="H4985" s="11"/>
      <c r="I4985" s="11"/>
      <c r="J4985" s="11"/>
      <c r="K4985" s="11"/>
      <c r="L4985" s="6"/>
    </row>
    <row r="4986" spans="1:12" x14ac:dyDescent="0.25">
      <c r="A4986" s="13"/>
      <c r="B4986" s="11"/>
      <c r="C4986" s="11"/>
      <c r="D4986" s="11"/>
      <c r="E4986" s="6"/>
      <c r="F4986" s="5"/>
      <c r="G4986" s="13"/>
      <c r="H4986" s="11"/>
      <c r="I4986" s="11"/>
      <c r="J4986" s="11"/>
      <c r="K4986" s="11"/>
      <c r="L4986" s="6"/>
    </row>
    <row r="4987" spans="1:12" x14ac:dyDescent="0.25">
      <c r="A4987" s="13"/>
      <c r="B4987" s="11"/>
      <c r="C4987" s="11"/>
      <c r="D4987" s="11"/>
      <c r="E4987" s="6"/>
      <c r="F4987" s="5"/>
      <c r="G4987" s="13"/>
      <c r="H4987" s="11"/>
      <c r="I4987" s="11"/>
      <c r="J4987" s="11"/>
      <c r="K4987" s="11"/>
      <c r="L4987" s="6"/>
    </row>
    <row r="4988" spans="1:12" ht="15.75" thickBot="1" x14ac:dyDescent="0.3">
      <c r="A4988" s="13"/>
      <c r="B4988" s="11"/>
      <c r="C4988" s="11" t="s">
        <v>29</v>
      </c>
      <c r="D4988" s="43"/>
      <c r="E4988" s="6"/>
      <c r="F4988" s="5"/>
      <c r="G4988" s="13"/>
      <c r="H4988" s="11"/>
      <c r="I4988" s="14" t="s">
        <v>28</v>
      </c>
      <c r="J4988" s="43"/>
      <c r="K4988" s="59"/>
      <c r="L4988" s="6"/>
    </row>
    <row r="4989" spans="1:12" ht="15.75" thickBot="1" x14ac:dyDescent="0.3">
      <c r="A4989" s="15" t="s">
        <v>10</v>
      </c>
      <c r="B4989" s="5"/>
      <c r="C4989" s="5"/>
      <c r="D4989" s="5"/>
      <c r="E4989" s="5"/>
      <c r="F4989" s="5"/>
      <c r="G4989" s="15" t="s">
        <v>14</v>
      </c>
      <c r="H4989" s="5"/>
      <c r="I4989" s="5"/>
      <c r="J4989" s="5"/>
      <c r="K4989" s="5"/>
      <c r="L4989" s="5"/>
    </row>
    <row r="4990" spans="1:12" ht="15.75" thickBot="1" x14ac:dyDescent="0.3">
      <c r="A4990" s="121" t="s">
        <v>11</v>
      </c>
      <c r="B4990" s="122"/>
      <c r="C4990" s="123"/>
      <c r="D4990" s="16" t="s">
        <v>12</v>
      </c>
      <c r="E4990" s="16" t="s">
        <v>13</v>
      </c>
      <c r="F4990" s="5"/>
      <c r="G4990" s="121" t="s">
        <v>15</v>
      </c>
      <c r="H4990" s="122"/>
      <c r="I4990" s="123"/>
      <c r="J4990" s="121"/>
      <c r="K4990" s="123"/>
      <c r="L4990" s="5"/>
    </row>
    <row r="4991" spans="1:12" x14ac:dyDescent="0.25">
      <c r="A4991" s="94">
        <v>46146</v>
      </c>
      <c r="B4991" s="46" t="s">
        <v>47</v>
      </c>
      <c r="C4991" s="47"/>
      <c r="D4991" s="56">
        <v>619.94000000000005</v>
      </c>
      <c r="E4991" s="57">
        <v>14953.01</v>
      </c>
      <c r="F4991" s="44">
        <f>E4991/D4991</f>
        <v>24.120092266993577</v>
      </c>
      <c r="G4991" s="125" t="s">
        <v>69</v>
      </c>
      <c r="H4991" s="126"/>
      <c r="I4991" s="127"/>
      <c r="J4991" s="128"/>
      <c r="K4991" s="129"/>
      <c r="L4991" s="5"/>
    </row>
    <row r="4992" spans="1:12" x14ac:dyDescent="0.25">
      <c r="A4992" s="94"/>
      <c r="B4992" s="46"/>
      <c r="C4992" s="47"/>
      <c r="D4992" s="56"/>
      <c r="E4992" s="57"/>
      <c r="F4992" s="44"/>
      <c r="G4992" s="110" t="s">
        <v>59</v>
      </c>
      <c r="H4992" s="111"/>
      <c r="I4992" s="112"/>
      <c r="J4992" s="113"/>
      <c r="K4992" s="114"/>
      <c r="L4992" s="5"/>
    </row>
    <row r="4993" spans="1:12" x14ac:dyDescent="0.25">
      <c r="A4993" s="94"/>
      <c r="B4993" s="46"/>
      <c r="C4993" s="47"/>
      <c r="D4993" s="56"/>
      <c r="E4993" s="57"/>
      <c r="F4993" s="44"/>
      <c r="G4993" s="110" t="s">
        <v>61</v>
      </c>
      <c r="H4993" s="111"/>
      <c r="I4993" s="112"/>
      <c r="J4993" s="113"/>
      <c r="K4993" s="114"/>
      <c r="L4993" s="5"/>
    </row>
    <row r="4994" spans="1:12" x14ac:dyDescent="0.25">
      <c r="A4994" s="94"/>
      <c r="B4994" s="46"/>
      <c r="C4994" s="47"/>
      <c r="D4994" s="56"/>
      <c r="E4994" s="57"/>
      <c r="F4994" s="44"/>
      <c r="G4994" s="110" t="s">
        <v>51</v>
      </c>
      <c r="H4994" s="111"/>
      <c r="I4994" s="112"/>
      <c r="J4994" s="113"/>
      <c r="K4994" s="114"/>
      <c r="L4994" s="5"/>
    </row>
    <row r="4995" spans="1:12" x14ac:dyDescent="0.25">
      <c r="A4995" s="48"/>
      <c r="B4995" s="46"/>
      <c r="C4995" s="39"/>
      <c r="D4995" s="52"/>
      <c r="E4995" s="53"/>
      <c r="F4995" s="44"/>
      <c r="G4995" s="110" t="s">
        <v>58</v>
      </c>
      <c r="H4995" s="111"/>
      <c r="I4995" s="112"/>
      <c r="J4995" s="113"/>
      <c r="K4995" s="114"/>
      <c r="L4995" s="5"/>
    </row>
    <row r="4996" spans="1:12" x14ac:dyDescent="0.25">
      <c r="A4996" s="48"/>
      <c r="B4996" s="35"/>
      <c r="C4996" s="39"/>
      <c r="D4996" s="52"/>
      <c r="E4996" s="53"/>
      <c r="F4996" s="44"/>
      <c r="G4996" s="110" t="s">
        <v>51</v>
      </c>
      <c r="H4996" s="111"/>
      <c r="I4996" s="112"/>
      <c r="J4996" s="113"/>
      <c r="K4996" s="114"/>
      <c r="L4996" s="5"/>
    </row>
    <row r="4997" spans="1:12" x14ac:dyDescent="0.25">
      <c r="A4997" s="48"/>
      <c r="B4997" s="35"/>
      <c r="C4997" s="39"/>
      <c r="D4997" s="52"/>
      <c r="E4997" s="53"/>
      <c r="F4997" s="44"/>
      <c r="G4997" s="77"/>
      <c r="H4997" s="78" t="s">
        <v>69</v>
      </c>
      <c r="I4997" s="79"/>
      <c r="J4997" s="113"/>
      <c r="K4997" s="114"/>
      <c r="L4997" s="5"/>
    </row>
    <row r="4998" spans="1:12" x14ac:dyDescent="0.25">
      <c r="A4998" s="38"/>
      <c r="B4998" s="35"/>
      <c r="C4998" s="39"/>
      <c r="D4998" s="52"/>
      <c r="E4998" s="53"/>
      <c r="F4998" s="44"/>
      <c r="G4998" s="77"/>
      <c r="H4998" s="78" t="s">
        <v>72</v>
      </c>
      <c r="I4998" s="79"/>
      <c r="J4998" s="113"/>
      <c r="K4998" s="114"/>
      <c r="L4998" s="5"/>
    </row>
    <row r="4999" spans="1:12" ht="15.75" thickBot="1" x14ac:dyDescent="0.3">
      <c r="A4999" s="5"/>
      <c r="B4999" s="5"/>
      <c r="C4999" s="7" t="s">
        <v>35</v>
      </c>
      <c r="D4999" s="17">
        <f>SUM(D4991:D4998)</f>
        <v>619.94000000000005</v>
      </c>
      <c r="E4999" s="17">
        <f>SUM(E4991:E4998)</f>
        <v>14953.01</v>
      </c>
      <c r="F4999" s="89">
        <f>AVERAGE(F4991:F4995)</f>
        <v>24.120092266993577</v>
      </c>
      <c r="G4999" s="110" t="s">
        <v>73</v>
      </c>
      <c r="H4999" s="111"/>
      <c r="I4999" s="112"/>
      <c r="J4999" s="113"/>
      <c r="K4999" s="114"/>
      <c r="L4999" s="7" t="s">
        <v>36</v>
      </c>
    </row>
    <row r="5000" spans="1:12" ht="15.75" thickBot="1" x14ac:dyDescent="0.3">
      <c r="A5000" s="5"/>
      <c r="B5000" s="5"/>
      <c r="C5000" s="5"/>
      <c r="D5000" s="5"/>
      <c r="E5000" s="5"/>
      <c r="F5000" s="5"/>
      <c r="G5000" s="130"/>
      <c r="H5000" s="131"/>
      <c r="I5000" s="132"/>
      <c r="J5000" s="133"/>
      <c r="K5000" s="134"/>
      <c r="L5000" s="18">
        <f>J4991+J4992+J4993+J4994+J4995+J4996+J4997+J4998+J4999</f>
        <v>0</v>
      </c>
    </row>
    <row r="5001" spans="1:12" ht="15.75" thickBot="1" x14ac:dyDescent="0.3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</row>
    <row r="5002" spans="1:12" ht="15.75" thickBot="1" x14ac:dyDescent="0.3">
      <c r="A5002" s="19"/>
      <c r="B5002" s="20"/>
      <c r="C5002" s="20"/>
      <c r="D5002" s="20"/>
      <c r="E5002" s="21" t="s">
        <v>13</v>
      </c>
      <c r="F5002" s="5"/>
      <c r="G5002" s="19"/>
      <c r="H5002" s="20"/>
      <c r="I5002" s="20"/>
      <c r="J5002" s="20"/>
      <c r="K5002" s="21" t="s">
        <v>13</v>
      </c>
      <c r="L5002" s="5"/>
    </row>
    <row r="5003" spans="1:12" x14ac:dyDescent="0.25">
      <c r="A5003" s="22" t="s">
        <v>31</v>
      </c>
      <c r="B5003" s="115">
        <v>28661</v>
      </c>
      <c r="C5003" s="116"/>
      <c r="D5003" s="116"/>
      <c r="E5003" s="117"/>
      <c r="F5003" s="5"/>
      <c r="G5003" s="22" t="s">
        <v>32</v>
      </c>
      <c r="H5003" s="115">
        <v>0</v>
      </c>
      <c r="I5003" s="116"/>
      <c r="J5003" s="116"/>
      <c r="K5003" s="117"/>
      <c r="L5003" s="5"/>
    </row>
    <row r="5004" spans="1:12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</row>
    <row r="5005" spans="1:12" x14ac:dyDescent="0.25">
      <c r="A5005" s="7" t="s">
        <v>16</v>
      </c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</row>
    <row r="5006" spans="1:12" x14ac:dyDescent="0.25">
      <c r="A5006" s="9" t="s">
        <v>17</v>
      </c>
      <c r="B5006" s="23">
        <f>L4983-C4978</f>
        <v>1458</v>
      </c>
      <c r="C5006" s="5"/>
      <c r="D5006" s="106" t="s">
        <v>18</v>
      </c>
      <c r="E5006" s="107"/>
      <c r="F5006" s="24" t="s">
        <v>19</v>
      </c>
      <c r="G5006" s="9" t="s">
        <v>20</v>
      </c>
      <c r="H5006" s="118">
        <f>B5003+H5003</f>
        <v>28661</v>
      </c>
      <c r="I5006" s="119"/>
      <c r="J5006" s="60"/>
      <c r="K5006" s="5"/>
      <c r="L5006" s="5"/>
    </row>
    <row r="5007" spans="1:12" x14ac:dyDescent="0.25">
      <c r="A5007" s="9" t="s">
        <v>41</v>
      </c>
      <c r="B5007" s="40">
        <f>B5006/D4999</f>
        <v>2.3518405006936152</v>
      </c>
      <c r="C5007" s="5"/>
      <c r="D5007" s="102">
        <f>E4999</f>
        <v>14953.01</v>
      </c>
      <c r="E5007" s="103"/>
      <c r="F5007" s="25">
        <f>H5007/B5006</f>
        <v>13.324972565157751</v>
      </c>
      <c r="G5007" s="9" t="s">
        <v>21</v>
      </c>
      <c r="H5007" s="104">
        <f>L5000+D5007+D5009+D5011+D5013+A5010</f>
        <v>19427.810000000001</v>
      </c>
      <c r="I5007" s="105"/>
      <c r="J5007" s="5"/>
      <c r="K5007" s="5"/>
      <c r="L5007" s="5"/>
    </row>
    <row r="5008" spans="1:12" x14ac:dyDescent="0.25">
      <c r="A5008" s="9" t="s">
        <v>43</v>
      </c>
      <c r="B5008" s="23">
        <f>D4999/B5006*100</f>
        <v>42.519890260631001</v>
      </c>
      <c r="C5008" s="5"/>
      <c r="D5008" s="106" t="s">
        <v>33</v>
      </c>
      <c r="E5008" s="107"/>
      <c r="F5008" s="5"/>
      <c r="G5008" s="13" t="s">
        <v>22</v>
      </c>
      <c r="H5008" s="6"/>
      <c r="I5008" s="26">
        <f>H5006-H5007</f>
        <v>9233.1899999999987</v>
      </c>
      <c r="J5008" s="5"/>
      <c r="K5008" s="5">
        <f>137000+23895</f>
        <v>160895</v>
      </c>
      <c r="L5008" s="5"/>
    </row>
    <row r="5009" spans="1:12" x14ac:dyDescent="0.25">
      <c r="A5009" s="106" t="s">
        <v>40</v>
      </c>
      <c r="B5009" s="107"/>
      <c r="C5009" s="5"/>
      <c r="D5009" s="149">
        <v>1600</v>
      </c>
      <c r="E5009" s="150"/>
      <c r="F5009" s="5"/>
      <c r="G5009" s="5"/>
      <c r="H5009" s="5"/>
      <c r="I5009" s="5"/>
      <c r="J5009" s="5"/>
      <c r="K5009" s="5"/>
      <c r="L5009" s="5"/>
    </row>
    <row r="5010" spans="1:12" x14ac:dyDescent="0.25">
      <c r="A5010" s="108">
        <f>B5006*0.6</f>
        <v>874.8</v>
      </c>
      <c r="B5010" s="109"/>
      <c r="C5010" s="5"/>
      <c r="D5010" s="106" t="s">
        <v>34</v>
      </c>
      <c r="E5010" s="107"/>
      <c r="F5010" s="5"/>
      <c r="G5010" s="145" t="s">
        <v>292</v>
      </c>
      <c r="H5010" s="146"/>
      <c r="I5010" s="23">
        <f>B5006/2.3</f>
        <v>633.91304347826087</v>
      </c>
      <c r="J5010" s="60"/>
      <c r="K5010" s="5"/>
      <c r="L5010" s="5"/>
    </row>
    <row r="5011" spans="1:12" x14ac:dyDescent="0.25">
      <c r="A5011" s="5"/>
      <c r="B5011" s="5"/>
      <c r="C5011" s="5"/>
      <c r="D5011" s="108">
        <v>2000</v>
      </c>
      <c r="E5011" s="109"/>
      <c r="F5011" s="5"/>
      <c r="G5011" s="145" t="s">
        <v>294</v>
      </c>
      <c r="H5011" s="146"/>
      <c r="I5011" s="23">
        <f>I5010-D4999</f>
        <v>13.97304347826082</v>
      </c>
      <c r="J5011" s="5"/>
      <c r="K5011" s="5"/>
      <c r="L5011" s="5"/>
    </row>
    <row r="5012" spans="1:12" x14ac:dyDescent="0.25">
      <c r="A5012" s="5"/>
      <c r="B5012" s="5"/>
      <c r="C5012" s="5"/>
      <c r="D5012" s="106" t="s">
        <v>37</v>
      </c>
      <c r="E5012" s="107"/>
      <c r="F5012" s="5"/>
      <c r="G5012" s="147" t="s">
        <v>295</v>
      </c>
      <c r="H5012" s="148"/>
      <c r="I5012" s="86">
        <f>I5011*F4999</f>
        <v>337.03109794636384</v>
      </c>
      <c r="J5012" s="87">
        <f>I5008-I5012</f>
        <v>8896.1589020536339</v>
      </c>
      <c r="K5012" s="5"/>
      <c r="L5012" s="5"/>
    </row>
    <row r="5013" spans="1:12" x14ac:dyDescent="0.25">
      <c r="A5013" s="5"/>
      <c r="B5013" s="5"/>
      <c r="C5013" s="5"/>
      <c r="D5013" s="108">
        <v>0</v>
      </c>
      <c r="E5013" s="109"/>
      <c r="F5013" s="5" t="s">
        <v>78</v>
      </c>
      <c r="G5013" s="5"/>
      <c r="H5013" s="5"/>
      <c r="I5013" s="5"/>
      <c r="J5013" s="88" t="s">
        <v>293</v>
      </c>
      <c r="K5013" s="44"/>
      <c r="L5013" s="5"/>
    </row>
    <row r="5015" spans="1:12" s="49" customFormat="1" x14ac:dyDescent="0.25"/>
    <row r="5018" spans="1:12" x14ac:dyDescent="0.25">
      <c r="A5018" s="120" t="s">
        <v>24</v>
      </c>
      <c r="B5018" s="120"/>
      <c r="C5018" s="120"/>
      <c r="D5018" s="120"/>
      <c r="E5018" s="120"/>
      <c r="F5018" s="120"/>
      <c r="G5018" s="120"/>
      <c r="H5018" s="120"/>
      <c r="I5018" s="120"/>
      <c r="J5018" s="120"/>
      <c r="K5018" s="120"/>
      <c r="L5018" s="120"/>
    </row>
    <row r="5019" spans="1:12" x14ac:dyDescent="0.25">
      <c r="A5019" s="120"/>
      <c r="B5019" s="120"/>
      <c r="C5019" s="120"/>
      <c r="D5019" s="120"/>
      <c r="E5019" s="120"/>
      <c r="F5019" s="120"/>
      <c r="G5019" s="120"/>
      <c r="H5019" s="120"/>
      <c r="I5019" s="120"/>
      <c r="J5019" s="120"/>
      <c r="K5019" s="120"/>
      <c r="L5019" s="120"/>
    </row>
    <row r="5020" spans="1:12" x14ac:dyDescent="0.25">
      <c r="A5020" s="1" t="s">
        <v>4</v>
      </c>
      <c r="B5020" s="2"/>
      <c r="C5020" s="90"/>
      <c r="D5020" s="2"/>
      <c r="E5020" s="2"/>
      <c r="F5020" s="2"/>
      <c r="G5020" s="3" t="s">
        <v>5</v>
      </c>
      <c r="H5020" s="3" t="s">
        <v>6</v>
      </c>
      <c r="I5020" s="4" t="s">
        <v>7</v>
      </c>
      <c r="J5020" s="5"/>
      <c r="K5020" s="5"/>
      <c r="L5020" s="5"/>
    </row>
    <row r="5021" spans="1:12" x14ac:dyDescent="0.25">
      <c r="A5021" s="91" t="s">
        <v>549</v>
      </c>
      <c r="B5021" s="92" t="s">
        <v>599</v>
      </c>
      <c r="C5021" s="64"/>
      <c r="D5021" s="66"/>
      <c r="E5021" s="2"/>
      <c r="F5021" s="2"/>
      <c r="G5021" s="91" t="s">
        <v>299</v>
      </c>
      <c r="H5021" s="66"/>
      <c r="I5021" s="33"/>
      <c r="J5021" s="6"/>
      <c r="K5021" s="33"/>
      <c r="L5021" s="6"/>
    </row>
    <row r="5022" spans="1:12" x14ac:dyDescent="0.25">
      <c r="A5022" s="7" t="s">
        <v>2</v>
      </c>
      <c r="B5022" s="5"/>
      <c r="C5022" s="5"/>
      <c r="D5022" s="5"/>
      <c r="E5022" s="5"/>
      <c r="F5022" s="5"/>
      <c r="G5022" s="8" t="s">
        <v>8</v>
      </c>
      <c r="H5022" s="93">
        <v>3</v>
      </c>
      <c r="I5022" s="5"/>
      <c r="J5022" s="5"/>
      <c r="K5022" s="5"/>
      <c r="L5022" s="5"/>
    </row>
    <row r="5023" spans="1:12" x14ac:dyDescent="0.25">
      <c r="A5023" s="7" t="s">
        <v>25</v>
      </c>
      <c r="B5023" s="5"/>
      <c r="C5023" s="7" t="s">
        <v>0</v>
      </c>
      <c r="D5023" s="5"/>
      <c r="E5023" s="5"/>
      <c r="F5023" s="5"/>
      <c r="G5023" s="7" t="s">
        <v>25</v>
      </c>
      <c r="H5023" s="5"/>
      <c r="I5023" s="7" t="s">
        <v>0</v>
      </c>
      <c r="J5023" s="5"/>
      <c r="K5023" s="5"/>
      <c r="L5023" s="5"/>
    </row>
    <row r="5024" spans="1:12" x14ac:dyDescent="0.25">
      <c r="A5024" s="42">
        <v>45326</v>
      </c>
      <c r="B5024" s="6"/>
      <c r="C5024" s="31">
        <f>L4983</f>
        <v>1147076</v>
      </c>
      <c r="D5024" s="5"/>
      <c r="E5024" s="5"/>
      <c r="F5024" s="5"/>
      <c r="G5024" s="42"/>
      <c r="H5024" s="6"/>
      <c r="I5024" s="9"/>
      <c r="J5024" s="5"/>
      <c r="K5024" s="5"/>
      <c r="L5024" s="5"/>
    </row>
    <row r="5025" spans="1:14" ht="16.5" thickBot="1" x14ac:dyDescent="0.3">
      <c r="A5025" s="7"/>
      <c r="B5025" s="62"/>
      <c r="C5025" s="62"/>
      <c r="D5025" s="62"/>
      <c r="E5025" s="5"/>
      <c r="F5025" s="5"/>
      <c r="G5025" s="10"/>
      <c r="H5025" s="5"/>
      <c r="I5025" s="5"/>
      <c r="J5025" s="5"/>
      <c r="K5025" s="5"/>
      <c r="L5025" s="5"/>
    </row>
    <row r="5026" spans="1:14" ht="15.75" thickBot="1" x14ac:dyDescent="0.3">
      <c r="A5026" s="121" t="s">
        <v>9</v>
      </c>
      <c r="B5026" s="122"/>
      <c r="C5026" s="123"/>
      <c r="D5026" s="5"/>
      <c r="E5026" s="5"/>
      <c r="F5026" s="5"/>
      <c r="G5026" s="121" t="s">
        <v>26</v>
      </c>
      <c r="H5026" s="122"/>
      <c r="I5026" s="123"/>
      <c r="J5026" s="5"/>
      <c r="K5026" s="5"/>
      <c r="L5026" s="5"/>
      <c r="M5026">
        <v>6481.5</v>
      </c>
      <c r="N5026" t="e">
        <f>M5026/L5026</f>
        <v>#DIV/0!</v>
      </c>
    </row>
    <row r="5027" spans="1:14" x14ac:dyDescent="0.25">
      <c r="A5027" s="30" t="s">
        <v>38</v>
      </c>
      <c r="B5027" s="11"/>
      <c r="C5027" s="11"/>
      <c r="D5027" s="11"/>
      <c r="E5027" s="6"/>
      <c r="F5027" s="5"/>
      <c r="G5027" s="30" t="str">
        <f>A5030</f>
        <v>Durban</v>
      </c>
      <c r="H5027" s="11"/>
      <c r="I5027" s="11"/>
      <c r="J5027" s="11"/>
      <c r="K5027" s="11"/>
      <c r="L5027" s="6"/>
      <c r="M5027">
        <v>15357.45</v>
      </c>
      <c r="N5027" t="e">
        <f>M5027/L5027</f>
        <v>#DIV/0!</v>
      </c>
    </row>
    <row r="5028" spans="1:14" ht="15.75" thickBot="1" x14ac:dyDescent="0.3">
      <c r="A5028" s="7"/>
      <c r="B5028" s="7"/>
      <c r="C5028" s="7"/>
      <c r="D5028" s="5"/>
      <c r="E5028" s="5"/>
      <c r="F5028" s="5"/>
      <c r="G5028" s="7"/>
      <c r="H5028" s="7"/>
      <c r="I5028" s="7"/>
      <c r="J5028" s="5"/>
      <c r="K5028" s="5"/>
      <c r="L5028" s="5"/>
      <c r="M5028">
        <v>8406.4</v>
      </c>
      <c r="N5028" t="e">
        <f>M5028/L5028</f>
        <v>#DIV/0!</v>
      </c>
    </row>
    <row r="5029" spans="1:14" ht="15.75" thickBot="1" x14ac:dyDescent="0.3">
      <c r="A5029" s="121"/>
      <c r="B5029" s="122"/>
      <c r="C5029" s="124"/>
      <c r="D5029" s="12" t="s">
        <v>1</v>
      </c>
      <c r="E5029" s="32"/>
      <c r="F5029" s="5"/>
      <c r="G5029" s="121" t="s">
        <v>27</v>
      </c>
      <c r="H5029" s="122"/>
      <c r="I5029" s="123"/>
      <c r="J5029" s="5"/>
      <c r="K5029" s="12" t="s">
        <v>1</v>
      </c>
      <c r="L5029" s="32">
        <v>1152575</v>
      </c>
      <c r="M5029">
        <v>15453.01</v>
      </c>
      <c r="N5029">
        <f>M5029/L5029</f>
        <v>1.3407379129340823E-2</v>
      </c>
    </row>
    <row r="5030" spans="1:14" x14ac:dyDescent="0.25">
      <c r="A5030" s="30" t="s">
        <v>318</v>
      </c>
      <c r="B5030" s="11"/>
      <c r="C5030" s="11"/>
      <c r="D5030" s="11"/>
      <c r="E5030" s="6"/>
      <c r="F5030" s="5"/>
      <c r="G5030" s="30" t="s">
        <v>639</v>
      </c>
      <c r="H5030" s="11"/>
      <c r="I5030" s="11"/>
      <c r="J5030" s="11"/>
      <c r="K5030" s="11"/>
      <c r="L5030" s="6"/>
      <c r="M5030">
        <f>SUM(M5026:M5029)</f>
        <v>45698.36</v>
      </c>
    </row>
    <row r="5031" spans="1:14" x14ac:dyDescent="0.25">
      <c r="A5031" s="76" t="s">
        <v>638</v>
      </c>
      <c r="B5031" s="11"/>
      <c r="C5031" s="11"/>
      <c r="D5031" s="11"/>
      <c r="E5031" s="6"/>
      <c r="F5031" s="5"/>
      <c r="G5031" s="34"/>
      <c r="H5031" s="11"/>
      <c r="I5031" s="11"/>
      <c r="J5031" s="11"/>
      <c r="K5031" s="11"/>
      <c r="L5031" s="6"/>
      <c r="M5031" s="97">
        <f>M5030-K5030</f>
        <v>45698.36</v>
      </c>
    </row>
    <row r="5032" spans="1:14" x14ac:dyDescent="0.25">
      <c r="A5032" s="13"/>
      <c r="B5032" s="11"/>
      <c r="C5032" s="11"/>
      <c r="D5032" s="11"/>
      <c r="E5032" s="6"/>
      <c r="F5032" s="5"/>
      <c r="G5032" s="13"/>
      <c r="H5032" s="11"/>
      <c r="I5032" s="11"/>
      <c r="J5032" s="11"/>
      <c r="K5032" s="11"/>
      <c r="L5032" s="6"/>
      <c r="M5032">
        <v>-2000</v>
      </c>
    </row>
    <row r="5033" spans="1:14" x14ac:dyDescent="0.25">
      <c r="A5033" s="13"/>
      <c r="B5033" s="11"/>
      <c r="C5033" s="11"/>
      <c r="D5033" s="11"/>
      <c r="E5033" s="6"/>
      <c r="F5033" s="5"/>
      <c r="G5033" s="13"/>
      <c r="H5033" s="11"/>
      <c r="I5033" s="11"/>
      <c r="J5033" s="11"/>
      <c r="K5033" s="11"/>
      <c r="L5033" s="6"/>
      <c r="M5033" s="101">
        <f>SUM(M5031:M5032)</f>
        <v>43698.36</v>
      </c>
    </row>
    <row r="5034" spans="1:14" ht="15.75" thickBot="1" x14ac:dyDescent="0.3">
      <c r="A5034" s="13"/>
      <c r="B5034" s="11"/>
      <c r="C5034" s="11" t="s">
        <v>29</v>
      </c>
      <c r="D5034" s="43"/>
      <c r="E5034" s="6"/>
      <c r="F5034" s="5"/>
      <c r="G5034" s="13"/>
      <c r="H5034" s="11"/>
      <c r="I5034" s="14" t="s">
        <v>28</v>
      </c>
      <c r="J5034" s="43"/>
      <c r="K5034" s="59"/>
      <c r="L5034" s="6"/>
    </row>
    <row r="5035" spans="1:14" ht="15.75" thickBot="1" x14ac:dyDescent="0.3">
      <c r="A5035" s="15" t="s">
        <v>10</v>
      </c>
      <c r="B5035" s="5"/>
      <c r="C5035" s="5"/>
      <c r="D5035" s="5"/>
      <c r="E5035" s="5"/>
      <c r="F5035" s="5"/>
      <c r="G5035" s="15" t="s">
        <v>14</v>
      </c>
      <c r="H5035" s="5"/>
      <c r="I5035" s="5"/>
      <c r="J5035" s="5"/>
      <c r="K5035" s="5"/>
      <c r="L5035" s="5"/>
      <c r="M5035">
        <f>72/3</f>
        <v>24</v>
      </c>
      <c r="N5035">
        <f>M5035*K5035</f>
        <v>0</v>
      </c>
    </row>
    <row r="5036" spans="1:14" ht="15.75" thickBot="1" x14ac:dyDescent="0.3">
      <c r="A5036" s="121" t="s">
        <v>11</v>
      </c>
      <c r="B5036" s="122"/>
      <c r="C5036" s="123"/>
      <c r="D5036" s="16" t="s">
        <v>12</v>
      </c>
      <c r="E5036" s="16" t="s">
        <v>13</v>
      </c>
      <c r="F5036" s="5"/>
      <c r="G5036" s="121" t="s">
        <v>15</v>
      </c>
      <c r="H5036" s="122"/>
      <c r="I5036" s="123"/>
      <c r="J5036" s="121"/>
      <c r="K5036" s="123"/>
      <c r="L5036" s="5"/>
      <c r="M5036">
        <f>L5036/3</f>
        <v>0</v>
      </c>
      <c r="N5036">
        <f>M5036*K5036</f>
        <v>0</v>
      </c>
    </row>
    <row r="5037" spans="1:14" x14ac:dyDescent="0.25">
      <c r="A5037" s="94">
        <v>46177</v>
      </c>
      <c r="B5037" s="46" t="s">
        <v>56</v>
      </c>
      <c r="C5037" s="47"/>
      <c r="D5037" s="56">
        <v>290</v>
      </c>
      <c r="E5037" s="57">
        <v>6481.5</v>
      </c>
      <c r="F5037" s="44">
        <f>E5037/D5037</f>
        <v>22.35</v>
      </c>
      <c r="G5037" s="125" t="s">
        <v>69</v>
      </c>
      <c r="H5037" s="126"/>
      <c r="I5037" s="127"/>
      <c r="J5037" s="128"/>
      <c r="K5037" s="129"/>
      <c r="L5037" s="5"/>
      <c r="N5037">
        <f>N5035-N5036</f>
        <v>0</v>
      </c>
    </row>
    <row r="5038" spans="1:14" x14ac:dyDescent="0.25">
      <c r="A5038" s="94">
        <v>46238</v>
      </c>
      <c r="B5038" s="46" t="s">
        <v>449</v>
      </c>
      <c r="C5038" s="47"/>
      <c r="D5038" s="56">
        <v>584.6</v>
      </c>
      <c r="E5038" s="57">
        <v>15357.45</v>
      </c>
      <c r="F5038" s="44">
        <f t="shared" ref="F5038:F5041" si="21">E5038/D5038</f>
        <v>26.270013684570646</v>
      </c>
      <c r="G5038" s="110" t="s">
        <v>59</v>
      </c>
      <c r="H5038" s="111"/>
      <c r="I5038" s="112"/>
      <c r="J5038" s="113"/>
      <c r="K5038" s="114"/>
      <c r="L5038" s="5"/>
    </row>
    <row r="5039" spans="1:14" x14ac:dyDescent="0.25">
      <c r="A5039" s="94">
        <v>46299</v>
      </c>
      <c r="B5039" s="46" t="s">
        <v>449</v>
      </c>
      <c r="C5039" s="47"/>
      <c r="D5039" s="56">
        <v>320</v>
      </c>
      <c r="E5039" s="57">
        <v>8406.4</v>
      </c>
      <c r="F5039" s="44">
        <f t="shared" si="21"/>
        <v>26.27</v>
      </c>
      <c r="G5039" s="110" t="s">
        <v>61</v>
      </c>
      <c r="H5039" s="111"/>
      <c r="I5039" s="112"/>
      <c r="J5039" s="113"/>
      <c r="K5039" s="114"/>
      <c r="L5039" s="5"/>
    </row>
    <row r="5040" spans="1:14" x14ac:dyDescent="0.25">
      <c r="A5040" s="94" t="s">
        <v>640</v>
      </c>
      <c r="B5040" s="46" t="s">
        <v>47</v>
      </c>
      <c r="C5040" s="47"/>
      <c r="D5040" s="56">
        <v>640.66999999999996</v>
      </c>
      <c r="E5040" s="57">
        <v>15453.01</v>
      </c>
      <c r="F5040" s="44">
        <f t="shared" si="21"/>
        <v>24.120077418952036</v>
      </c>
      <c r="G5040" s="110" t="s">
        <v>51</v>
      </c>
      <c r="H5040" s="111"/>
      <c r="I5040" s="112"/>
      <c r="J5040" s="113"/>
      <c r="K5040" s="114"/>
      <c r="L5040" s="5"/>
    </row>
    <row r="5041" spans="1:17" x14ac:dyDescent="0.25">
      <c r="A5041" s="48" t="s">
        <v>641</v>
      </c>
      <c r="B5041" s="46" t="s">
        <v>47</v>
      </c>
      <c r="C5041" s="39"/>
      <c r="D5041" s="52">
        <v>287.33999999999997</v>
      </c>
      <c r="E5041" s="53">
        <v>6930.64</v>
      </c>
      <c r="F5041" s="44">
        <f t="shared" si="21"/>
        <v>24.119997215841863</v>
      </c>
      <c r="G5041" s="110" t="s">
        <v>58</v>
      </c>
      <c r="H5041" s="111"/>
      <c r="I5041" s="112"/>
      <c r="J5041" s="113"/>
      <c r="K5041" s="114"/>
      <c r="L5041" s="5"/>
    </row>
    <row r="5042" spans="1:17" x14ac:dyDescent="0.25">
      <c r="A5042" s="48"/>
      <c r="B5042" s="35"/>
      <c r="C5042" s="39"/>
      <c r="D5042" s="52"/>
      <c r="E5042" s="53"/>
      <c r="F5042" s="44"/>
      <c r="G5042" s="110" t="s">
        <v>51</v>
      </c>
      <c r="H5042" s="111"/>
      <c r="I5042" s="112"/>
      <c r="J5042" s="113"/>
      <c r="K5042" s="114"/>
      <c r="L5042" s="5"/>
    </row>
    <row r="5043" spans="1:17" x14ac:dyDescent="0.25">
      <c r="A5043" s="48"/>
      <c r="B5043" s="35"/>
      <c r="C5043" s="39"/>
      <c r="D5043" s="52"/>
      <c r="E5043" s="53"/>
      <c r="F5043" s="44"/>
      <c r="G5043" s="77"/>
      <c r="H5043" s="78" t="s">
        <v>69</v>
      </c>
      <c r="I5043" s="79"/>
      <c r="J5043" s="113"/>
      <c r="K5043" s="114"/>
      <c r="L5043" s="5"/>
    </row>
    <row r="5044" spans="1:17" x14ac:dyDescent="0.25">
      <c r="A5044" s="38"/>
      <c r="B5044" s="35"/>
      <c r="C5044" s="39"/>
      <c r="D5044" s="52"/>
      <c r="E5044" s="53"/>
      <c r="F5044" s="44"/>
      <c r="G5044" s="77"/>
      <c r="H5044" s="78" t="s">
        <v>72</v>
      </c>
      <c r="I5044" s="79"/>
      <c r="J5044" s="113"/>
      <c r="K5044" s="114"/>
      <c r="L5044" s="5"/>
    </row>
    <row r="5045" spans="1:17" ht="15.75" thickBot="1" x14ac:dyDescent="0.3">
      <c r="A5045" s="5"/>
      <c r="B5045" s="5"/>
      <c r="C5045" s="7" t="s">
        <v>35</v>
      </c>
      <c r="D5045" s="17">
        <f>SUM(D5037:D5044)</f>
        <v>2122.61</v>
      </c>
      <c r="E5045" s="17">
        <f>SUM(E5037:E5044)</f>
        <v>52629</v>
      </c>
      <c r="F5045" s="89">
        <f>AVERAGE(F5037:F5041)</f>
        <v>24.626017663872908</v>
      </c>
      <c r="G5045" s="110" t="s">
        <v>73</v>
      </c>
      <c r="H5045" s="111"/>
      <c r="I5045" s="112"/>
      <c r="J5045" s="113"/>
      <c r="K5045" s="114"/>
      <c r="L5045" s="7" t="s">
        <v>36</v>
      </c>
    </row>
    <row r="5046" spans="1:17" ht="15.75" thickBot="1" x14ac:dyDescent="0.3">
      <c r="A5046" s="5"/>
      <c r="B5046" s="5"/>
      <c r="C5046" s="5"/>
      <c r="D5046" s="5"/>
      <c r="E5046" s="5"/>
      <c r="F5046" s="5"/>
      <c r="G5046" s="130"/>
      <c r="H5046" s="131"/>
      <c r="I5046" s="132"/>
      <c r="J5046" s="133"/>
      <c r="K5046" s="134"/>
      <c r="L5046" s="18">
        <f>J5037+J5038+J5039+J5040+J5041+J5042+J5043+J5044+J5045</f>
        <v>0</v>
      </c>
    </row>
    <row r="5047" spans="1:17" ht="15.75" thickBot="1" x14ac:dyDescent="0.3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</row>
    <row r="5048" spans="1:17" ht="15.75" thickBot="1" x14ac:dyDescent="0.3">
      <c r="A5048" s="19"/>
      <c r="B5048" s="20"/>
      <c r="C5048" s="20"/>
      <c r="D5048" s="20"/>
      <c r="E5048" s="21" t="s">
        <v>13</v>
      </c>
      <c r="F5048" s="5"/>
      <c r="G5048" s="19"/>
      <c r="H5048" s="20"/>
      <c r="I5048" s="20"/>
      <c r="J5048" s="20"/>
      <c r="K5048" s="21" t="s">
        <v>13</v>
      </c>
      <c r="L5048" s="5"/>
    </row>
    <row r="5049" spans="1:17" x14ac:dyDescent="0.25">
      <c r="A5049" s="22" t="s">
        <v>31</v>
      </c>
      <c r="B5049" s="115">
        <v>28661</v>
      </c>
      <c r="C5049" s="116"/>
      <c r="D5049" s="116"/>
      <c r="E5049" s="117"/>
      <c r="F5049" s="5"/>
      <c r="G5049" s="22" t="s">
        <v>32</v>
      </c>
      <c r="H5049" s="115">
        <v>67600</v>
      </c>
      <c r="I5049" s="116"/>
      <c r="J5049" s="116"/>
      <c r="K5049" s="117"/>
      <c r="L5049" s="5"/>
    </row>
    <row r="5050" spans="1:17" x14ac:dyDescent="0.25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47"/>
      <c r="N5050" s="56">
        <f>431.45+168.58</f>
        <v>600.03</v>
      </c>
      <c r="O5050" s="57">
        <v>12516.65</v>
      </c>
      <c r="P5050">
        <f>O5050/N5050</f>
        <v>20.860040331316767</v>
      </c>
      <c r="Q5050">
        <v>26</v>
      </c>
    </row>
    <row r="5051" spans="1:17" x14ac:dyDescent="0.25">
      <c r="A5051" s="7" t="s">
        <v>16</v>
      </c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47"/>
      <c r="N5051" s="56">
        <v>351</v>
      </c>
      <c r="O5051" s="57">
        <v>6581.25</v>
      </c>
      <c r="P5051">
        <f t="shared" ref="P5051:P5052" si="22">O5051/N5051</f>
        <v>18.75</v>
      </c>
      <c r="Q5051">
        <v>26</v>
      </c>
    </row>
    <row r="5052" spans="1:17" x14ac:dyDescent="0.25">
      <c r="A5052" s="9" t="s">
        <v>17</v>
      </c>
      <c r="B5052" s="23">
        <f>L5029-C5024</f>
        <v>5499</v>
      </c>
      <c r="C5052" s="5"/>
      <c r="D5052" s="106" t="s">
        <v>18</v>
      </c>
      <c r="E5052" s="107"/>
      <c r="F5052" s="24" t="s">
        <v>19</v>
      </c>
      <c r="G5052" s="9" t="s">
        <v>20</v>
      </c>
      <c r="H5052" s="118">
        <f>B5049+H5049</f>
        <v>96261</v>
      </c>
      <c r="I5052" s="119"/>
      <c r="J5052" s="60"/>
      <c r="K5052" s="5"/>
      <c r="L5052" s="5"/>
      <c r="M5052" s="47"/>
      <c r="N5052" s="56">
        <v>643.32000000000005</v>
      </c>
      <c r="O5052" s="57">
        <v>12943.56</v>
      </c>
      <c r="P5052">
        <f t="shared" si="22"/>
        <v>20.11994030964372</v>
      </c>
      <c r="Q5052">
        <v>24</v>
      </c>
    </row>
    <row r="5053" spans="1:17" x14ac:dyDescent="0.25">
      <c r="A5053" s="9" t="s">
        <v>41</v>
      </c>
      <c r="B5053" s="40">
        <f>B5052/D5045</f>
        <v>2.5906784571824311</v>
      </c>
      <c r="C5053" s="5"/>
      <c r="D5053" s="102">
        <f>E5045</f>
        <v>52629</v>
      </c>
      <c r="E5053" s="103"/>
      <c r="F5053" s="25">
        <f>H5053/B5052</f>
        <v>10.825313693398799</v>
      </c>
      <c r="G5053" s="9" t="s">
        <v>21</v>
      </c>
      <c r="H5053" s="104">
        <f>L5046+D5053+D5055+D5057+D5059+A5056</f>
        <v>59528.4</v>
      </c>
      <c r="I5053" s="105"/>
      <c r="J5053" s="5"/>
      <c r="K5053" s="5"/>
      <c r="L5053" s="5"/>
      <c r="N5053" s="96">
        <f>N5050+N5051+N5052</f>
        <v>1594.35</v>
      </c>
      <c r="O5053" s="101">
        <f>SUM(O5050:O5052)</f>
        <v>32041.46</v>
      </c>
      <c r="Q5053" s="96">
        <f>Q5050*N5050</f>
        <v>15600.779999999999</v>
      </c>
    </row>
    <row r="5054" spans="1:17" x14ac:dyDescent="0.25">
      <c r="A5054" s="9" t="s">
        <v>43</v>
      </c>
      <c r="B5054" s="23">
        <f>D5045/B5052*100</f>
        <v>38.599927259501733</v>
      </c>
      <c r="C5054" s="5"/>
      <c r="D5054" s="106" t="s">
        <v>33</v>
      </c>
      <c r="E5054" s="107"/>
      <c r="F5054" s="5"/>
      <c r="G5054" s="13" t="s">
        <v>22</v>
      </c>
      <c r="H5054" s="6"/>
      <c r="I5054" s="26">
        <f>H5052-H5053</f>
        <v>36732.6</v>
      </c>
      <c r="J5054" s="5"/>
      <c r="K5054" s="5">
        <f>137000+23895</f>
        <v>160895</v>
      </c>
      <c r="L5054" s="5"/>
      <c r="Q5054" s="96">
        <f>Q5051*N5051</f>
        <v>9126</v>
      </c>
    </row>
    <row r="5055" spans="1:17" x14ac:dyDescent="0.25">
      <c r="A5055" s="106" t="s">
        <v>40</v>
      </c>
      <c r="B5055" s="107"/>
      <c r="C5055" s="5"/>
      <c r="D5055" s="149">
        <v>1600</v>
      </c>
      <c r="E5055" s="150"/>
      <c r="F5055" s="5"/>
      <c r="G5055" s="5"/>
      <c r="H5055" s="5"/>
      <c r="I5055" s="5"/>
      <c r="J5055" s="5"/>
      <c r="K5055" s="5"/>
      <c r="L5055" s="5"/>
      <c r="Q5055" s="96">
        <f>Q5052*N5052</f>
        <v>15439.68</v>
      </c>
    </row>
    <row r="5056" spans="1:17" x14ac:dyDescent="0.25">
      <c r="A5056" s="108">
        <f>B5052*0.6</f>
        <v>3299.4</v>
      </c>
      <c r="B5056" s="109"/>
      <c r="C5056" s="5"/>
      <c r="D5056" s="106" t="s">
        <v>34</v>
      </c>
      <c r="E5056" s="107"/>
      <c r="F5056" s="5"/>
      <c r="G5056" s="145" t="s">
        <v>292</v>
      </c>
      <c r="H5056" s="146"/>
      <c r="I5056" s="23">
        <f>B5052/2.3</f>
        <v>2390.8695652173915</v>
      </c>
      <c r="J5056" s="60"/>
      <c r="K5056" s="5"/>
      <c r="L5056" s="5"/>
      <c r="Q5056" s="96">
        <f>SUM(Q5053:Q5055)</f>
        <v>40166.46</v>
      </c>
    </row>
    <row r="5057" spans="1:17" x14ac:dyDescent="0.25">
      <c r="A5057" s="5"/>
      <c r="B5057" s="5"/>
      <c r="C5057" s="5"/>
      <c r="D5057" s="108">
        <v>2000</v>
      </c>
      <c r="E5057" s="109"/>
      <c r="F5057" s="5"/>
      <c r="G5057" s="145" t="s">
        <v>294</v>
      </c>
      <c r="H5057" s="146"/>
      <c r="I5057" s="23">
        <f>I5056-D5045</f>
        <v>268.25956521739135</v>
      </c>
      <c r="J5057" s="5"/>
      <c r="K5057" s="5"/>
      <c r="L5057" s="5"/>
      <c r="Q5057" s="96">
        <f>Q5056/26</f>
        <v>1544.8638461538462</v>
      </c>
    </row>
    <row r="5058" spans="1:17" x14ac:dyDescent="0.25">
      <c r="A5058" s="5"/>
      <c r="B5058" s="5"/>
      <c r="C5058" s="5"/>
      <c r="D5058" s="106" t="s">
        <v>37</v>
      </c>
      <c r="E5058" s="107"/>
      <c r="F5058" s="5"/>
      <c r="G5058" s="147" t="s">
        <v>295</v>
      </c>
      <c r="H5058" s="148"/>
      <c r="I5058" s="86">
        <f>I5057*F5045</f>
        <v>6606.1647915463454</v>
      </c>
      <c r="J5058" s="87">
        <f>I5054-I5058</f>
        <v>30126.435208453651</v>
      </c>
      <c r="K5058" s="5"/>
      <c r="L5058" s="5"/>
    </row>
    <row r="5059" spans="1:17" x14ac:dyDescent="0.25">
      <c r="A5059" s="5">
        <v>5766</v>
      </c>
      <c r="B5059" s="5"/>
      <c r="C5059" s="5"/>
      <c r="D5059" s="108">
        <v>0</v>
      </c>
      <c r="E5059" s="109"/>
      <c r="F5059" s="5" t="s">
        <v>78</v>
      </c>
      <c r="G5059" s="5"/>
      <c r="H5059" s="5"/>
      <c r="I5059" s="5"/>
      <c r="J5059" s="88" t="s">
        <v>293</v>
      </c>
      <c r="K5059" s="44"/>
      <c r="L5059" s="5"/>
    </row>
    <row r="5060" spans="1:17" x14ac:dyDescent="0.25">
      <c r="A5060" s="101">
        <f>A5059-B5052</f>
        <v>267</v>
      </c>
      <c r="B5060">
        <v>24</v>
      </c>
      <c r="C5060" s="96">
        <f>A5060*B5060</f>
        <v>6408</v>
      </c>
    </row>
    <row r="5061" spans="1:17" x14ac:dyDescent="0.25">
      <c r="A5061">
        <v>200</v>
      </c>
    </row>
    <row r="5062" spans="1:17" s="49" customFormat="1" x14ac:dyDescent="0.25"/>
    <row r="5065" spans="1:17" x14ac:dyDescent="0.25">
      <c r="A5065" s="120" t="s">
        <v>24</v>
      </c>
      <c r="B5065" s="120"/>
      <c r="C5065" s="120"/>
      <c r="D5065" s="120"/>
      <c r="E5065" s="120"/>
      <c r="F5065" s="120"/>
      <c r="G5065" s="120"/>
      <c r="H5065" s="120"/>
      <c r="I5065" s="120"/>
      <c r="J5065" s="120"/>
      <c r="K5065" s="120"/>
      <c r="L5065" s="120"/>
    </row>
    <row r="5066" spans="1:17" x14ac:dyDescent="0.25">
      <c r="A5066" s="120"/>
      <c r="B5066" s="120"/>
      <c r="C5066" s="120"/>
      <c r="D5066" s="120"/>
      <c r="E5066" s="120"/>
      <c r="F5066" s="120"/>
      <c r="G5066" s="120"/>
      <c r="H5066" s="120"/>
      <c r="I5066" s="120"/>
      <c r="J5066" s="120"/>
      <c r="K5066" s="120"/>
      <c r="L5066" s="120"/>
    </row>
    <row r="5067" spans="1:17" x14ac:dyDescent="0.25">
      <c r="A5067" s="1" t="s">
        <v>4</v>
      </c>
      <c r="B5067" s="2"/>
      <c r="C5067" s="90"/>
      <c r="D5067" s="2"/>
      <c r="E5067" s="2"/>
      <c r="F5067" s="2"/>
      <c r="G5067" s="3" t="s">
        <v>5</v>
      </c>
      <c r="H5067" s="3" t="s">
        <v>6</v>
      </c>
      <c r="I5067" s="4" t="s">
        <v>7</v>
      </c>
      <c r="J5067" s="5"/>
      <c r="K5067" s="5"/>
      <c r="L5067" s="5"/>
    </row>
    <row r="5068" spans="1:17" x14ac:dyDescent="0.25">
      <c r="A5068" s="91" t="s">
        <v>549</v>
      </c>
      <c r="B5068" s="92" t="s">
        <v>599</v>
      </c>
      <c r="C5068" s="64"/>
      <c r="D5068" s="66"/>
      <c r="E5068" s="2"/>
      <c r="F5068" s="2"/>
      <c r="G5068" s="91" t="s">
        <v>299</v>
      </c>
      <c r="H5068" s="66"/>
      <c r="I5068" s="33"/>
      <c r="J5068" s="6"/>
      <c r="K5068" s="33"/>
      <c r="L5068" s="6"/>
    </row>
    <row r="5069" spans="1:17" x14ac:dyDescent="0.25">
      <c r="A5069" s="7" t="s">
        <v>2</v>
      </c>
      <c r="B5069" s="5"/>
      <c r="C5069" s="5"/>
      <c r="D5069" s="5"/>
      <c r="E5069" s="5"/>
      <c r="F5069" s="5"/>
      <c r="G5069" s="8" t="s">
        <v>8</v>
      </c>
      <c r="H5069" s="93">
        <v>3</v>
      </c>
      <c r="I5069" s="5"/>
      <c r="J5069" s="5"/>
      <c r="K5069" s="5"/>
      <c r="L5069" s="5"/>
    </row>
    <row r="5070" spans="1:17" x14ac:dyDescent="0.25">
      <c r="A5070" s="7" t="s">
        <v>25</v>
      </c>
      <c r="B5070" s="5"/>
      <c r="C5070" s="7" t="s">
        <v>0</v>
      </c>
      <c r="D5070" s="5"/>
      <c r="E5070" s="5"/>
      <c r="F5070" s="5"/>
      <c r="G5070" s="7" t="s">
        <v>25</v>
      </c>
      <c r="H5070" s="5"/>
      <c r="I5070" s="7" t="s">
        <v>0</v>
      </c>
      <c r="J5070" s="5"/>
      <c r="K5070" s="5"/>
      <c r="L5070" s="5"/>
    </row>
    <row r="5071" spans="1:17" x14ac:dyDescent="0.25">
      <c r="A5071" s="42" t="s">
        <v>641</v>
      </c>
      <c r="B5071" s="6"/>
      <c r="C5071" s="31">
        <f>L5029</f>
        <v>1152575</v>
      </c>
      <c r="D5071" s="5"/>
      <c r="E5071" s="5"/>
      <c r="F5071" s="5"/>
      <c r="G5071" s="42"/>
      <c r="H5071" s="6"/>
      <c r="I5071" s="9"/>
      <c r="J5071" s="5"/>
      <c r="K5071" s="5"/>
      <c r="L5071" s="5"/>
    </row>
    <row r="5072" spans="1:17" ht="16.5" thickBot="1" x14ac:dyDescent="0.3">
      <c r="A5072" s="7"/>
      <c r="B5072" s="62"/>
      <c r="C5072" s="62"/>
      <c r="D5072" s="62"/>
      <c r="E5072" s="5"/>
      <c r="F5072" s="5"/>
      <c r="G5072" s="10"/>
      <c r="H5072" s="5"/>
      <c r="I5072" s="5"/>
      <c r="J5072" s="5"/>
      <c r="K5072" s="5"/>
      <c r="L5072" s="5"/>
    </row>
    <row r="5073" spans="1:12" ht="15.75" thickBot="1" x14ac:dyDescent="0.3">
      <c r="A5073" s="121" t="s">
        <v>9</v>
      </c>
      <c r="B5073" s="122"/>
      <c r="C5073" s="123"/>
      <c r="D5073" s="5"/>
      <c r="E5073" s="5"/>
      <c r="F5073" s="5"/>
      <c r="G5073" s="121" t="s">
        <v>26</v>
      </c>
      <c r="H5073" s="122"/>
      <c r="I5073" s="123"/>
      <c r="J5073" s="5"/>
      <c r="K5073" s="5"/>
      <c r="L5073" s="5"/>
    </row>
    <row r="5074" spans="1:12" x14ac:dyDescent="0.25">
      <c r="A5074" s="30" t="s">
        <v>38</v>
      </c>
      <c r="B5074" s="11"/>
      <c r="C5074" s="11"/>
      <c r="D5074" s="11"/>
      <c r="E5074" s="6"/>
      <c r="F5074" s="5"/>
      <c r="G5074" s="30" t="str">
        <f>A5077</f>
        <v>Nkurengkuru</v>
      </c>
      <c r="H5074" s="11"/>
      <c r="I5074" s="11"/>
      <c r="J5074" s="11"/>
      <c r="K5074" s="11"/>
      <c r="L5074" s="6"/>
    </row>
    <row r="5075" spans="1:12" ht="15.75" thickBot="1" x14ac:dyDescent="0.3">
      <c r="A5075" s="7"/>
      <c r="B5075" s="7"/>
      <c r="C5075" s="7"/>
      <c r="D5075" s="5"/>
      <c r="E5075" s="5"/>
      <c r="F5075" s="5"/>
      <c r="G5075" s="7"/>
      <c r="H5075" s="7"/>
      <c r="I5075" s="7"/>
      <c r="J5075" s="5"/>
      <c r="K5075" s="5"/>
      <c r="L5075" s="5"/>
    </row>
    <row r="5076" spans="1:12" ht="15.75" thickBot="1" x14ac:dyDescent="0.3">
      <c r="A5076" s="121"/>
      <c r="B5076" s="122"/>
      <c r="C5076" s="124"/>
      <c r="D5076" s="12" t="s">
        <v>1</v>
      </c>
      <c r="E5076" s="32"/>
      <c r="F5076" s="5"/>
      <c r="G5076" s="121" t="s">
        <v>27</v>
      </c>
      <c r="H5076" s="122"/>
      <c r="I5076" s="123"/>
      <c r="J5076" s="5"/>
      <c r="K5076" s="12" t="s">
        <v>1</v>
      </c>
      <c r="L5076" s="32">
        <v>1153982</v>
      </c>
    </row>
    <row r="5077" spans="1:12" x14ac:dyDescent="0.25">
      <c r="A5077" s="30" t="s">
        <v>526</v>
      </c>
      <c r="B5077" s="11"/>
      <c r="C5077" s="11"/>
      <c r="D5077" s="11"/>
      <c r="E5077" s="6"/>
      <c r="F5077" s="5"/>
      <c r="G5077" s="30" t="s">
        <v>38</v>
      </c>
      <c r="H5077" s="11"/>
      <c r="I5077" s="11"/>
      <c r="J5077" s="11"/>
      <c r="K5077" s="11"/>
      <c r="L5077" s="6"/>
    </row>
    <row r="5078" spans="1:12" x14ac:dyDescent="0.25">
      <c r="A5078" s="76"/>
      <c r="B5078" s="11"/>
      <c r="C5078" s="11"/>
      <c r="D5078" s="11"/>
      <c r="E5078" s="6"/>
      <c r="F5078" s="5"/>
      <c r="G5078" s="34"/>
      <c r="H5078" s="11"/>
      <c r="I5078" s="11"/>
      <c r="J5078" s="11"/>
      <c r="K5078" s="11"/>
      <c r="L5078" s="6"/>
    </row>
    <row r="5079" spans="1:12" x14ac:dyDescent="0.25">
      <c r="A5079" s="13"/>
      <c r="B5079" s="11"/>
      <c r="C5079" s="11"/>
      <c r="D5079" s="11"/>
      <c r="E5079" s="6"/>
      <c r="F5079" s="5"/>
      <c r="G5079" s="13"/>
      <c r="H5079" s="11"/>
      <c r="I5079" s="11"/>
      <c r="J5079" s="11"/>
      <c r="K5079" s="11"/>
      <c r="L5079" s="6"/>
    </row>
    <row r="5080" spans="1:12" x14ac:dyDescent="0.25">
      <c r="A5080" s="13"/>
      <c r="B5080" s="11"/>
      <c r="C5080" s="11"/>
      <c r="D5080" s="11"/>
      <c r="E5080" s="6"/>
      <c r="F5080" s="5"/>
      <c r="G5080" s="13"/>
      <c r="H5080" s="11"/>
      <c r="I5080" s="11"/>
      <c r="J5080" s="11"/>
      <c r="K5080" s="11"/>
      <c r="L5080" s="6"/>
    </row>
    <row r="5081" spans="1:12" ht="15.75" thickBot="1" x14ac:dyDescent="0.3">
      <c r="A5081" s="13"/>
      <c r="B5081" s="11"/>
      <c r="C5081" s="11" t="s">
        <v>29</v>
      </c>
      <c r="D5081" s="43"/>
      <c r="E5081" s="6"/>
      <c r="F5081" s="5"/>
      <c r="G5081" s="13"/>
      <c r="H5081" s="11"/>
      <c r="I5081" s="14" t="s">
        <v>28</v>
      </c>
      <c r="J5081" s="43"/>
      <c r="K5081" s="59"/>
      <c r="L5081" s="6"/>
    </row>
    <row r="5082" spans="1:12" ht="15.75" thickBot="1" x14ac:dyDescent="0.3">
      <c r="A5082" s="15" t="s">
        <v>10</v>
      </c>
      <c r="B5082" s="5"/>
      <c r="C5082" s="5"/>
      <c r="D5082" s="5"/>
      <c r="E5082" s="5"/>
      <c r="F5082" s="5"/>
      <c r="G5082" s="15" t="s">
        <v>14</v>
      </c>
      <c r="H5082" s="5"/>
      <c r="I5082" s="5"/>
      <c r="J5082" s="5"/>
      <c r="K5082" s="5"/>
      <c r="L5082" s="5"/>
    </row>
    <row r="5083" spans="1:12" ht="15.75" thickBot="1" x14ac:dyDescent="0.3">
      <c r="A5083" s="121" t="s">
        <v>11</v>
      </c>
      <c r="B5083" s="122"/>
      <c r="C5083" s="123"/>
      <c r="D5083" s="16" t="s">
        <v>12</v>
      </c>
      <c r="E5083" s="16" t="s">
        <v>13</v>
      </c>
      <c r="F5083" s="5"/>
      <c r="G5083" s="121" t="s">
        <v>15</v>
      </c>
      <c r="H5083" s="122"/>
      <c r="I5083" s="123"/>
      <c r="J5083" s="121"/>
      <c r="K5083" s="123"/>
      <c r="L5083" s="5"/>
    </row>
    <row r="5084" spans="1:12" x14ac:dyDescent="0.25">
      <c r="A5084" s="94" t="s">
        <v>643</v>
      </c>
      <c r="B5084" s="46" t="s">
        <v>47</v>
      </c>
      <c r="C5084" s="47"/>
      <c r="D5084" s="56">
        <v>589.41999999999996</v>
      </c>
      <c r="E5084" s="57">
        <v>14216.86</v>
      </c>
      <c r="F5084" s="44">
        <f>E5084/D5084</f>
        <v>24.120084150520853</v>
      </c>
      <c r="G5084" s="125" t="s">
        <v>69</v>
      </c>
      <c r="H5084" s="126"/>
      <c r="I5084" s="127"/>
      <c r="J5084" s="128"/>
      <c r="K5084" s="129"/>
      <c r="L5084" s="5"/>
    </row>
    <row r="5085" spans="1:12" x14ac:dyDescent="0.25">
      <c r="A5085" s="94"/>
      <c r="B5085" s="46"/>
      <c r="C5085" s="47"/>
      <c r="D5085" s="56"/>
      <c r="E5085" s="57"/>
      <c r="F5085" s="44"/>
      <c r="G5085" s="110" t="s">
        <v>59</v>
      </c>
      <c r="H5085" s="111"/>
      <c r="I5085" s="112"/>
      <c r="J5085" s="113"/>
      <c r="K5085" s="114"/>
      <c r="L5085" s="5"/>
    </row>
    <row r="5086" spans="1:12" x14ac:dyDescent="0.25">
      <c r="A5086" s="94"/>
      <c r="B5086" s="46"/>
      <c r="C5086" s="47"/>
      <c r="D5086" s="56"/>
      <c r="E5086" s="57"/>
      <c r="F5086" s="44"/>
      <c r="G5086" s="110" t="s">
        <v>61</v>
      </c>
      <c r="H5086" s="111"/>
      <c r="I5086" s="112"/>
      <c r="J5086" s="113"/>
      <c r="K5086" s="114"/>
      <c r="L5086" s="5"/>
    </row>
    <row r="5087" spans="1:12" x14ac:dyDescent="0.25">
      <c r="A5087" s="94"/>
      <c r="B5087" s="46"/>
      <c r="C5087" s="47"/>
      <c r="D5087" s="56"/>
      <c r="E5087" s="57"/>
      <c r="F5087" s="44"/>
      <c r="G5087" s="110" t="s">
        <v>51</v>
      </c>
      <c r="H5087" s="111"/>
      <c r="I5087" s="112"/>
      <c r="J5087" s="113"/>
      <c r="K5087" s="114"/>
      <c r="L5087" s="5"/>
    </row>
    <row r="5088" spans="1:12" x14ac:dyDescent="0.25">
      <c r="A5088" s="48"/>
      <c r="B5088" s="46"/>
      <c r="C5088" s="39"/>
      <c r="D5088" s="52"/>
      <c r="E5088" s="53"/>
      <c r="F5088" s="44"/>
      <c r="G5088" s="110" t="s">
        <v>58</v>
      </c>
      <c r="H5088" s="111"/>
      <c r="I5088" s="112"/>
      <c r="J5088" s="113"/>
      <c r="K5088" s="114"/>
      <c r="L5088" s="5"/>
    </row>
    <row r="5089" spans="1:12" x14ac:dyDescent="0.25">
      <c r="A5089" s="48"/>
      <c r="B5089" s="35"/>
      <c r="C5089" s="39"/>
      <c r="D5089" s="52"/>
      <c r="E5089" s="53"/>
      <c r="F5089" s="44"/>
      <c r="G5089" s="110" t="s">
        <v>51</v>
      </c>
      <c r="H5089" s="111"/>
      <c r="I5089" s="112"/>
      <c r="J5089" s="113"/>
      <c r="K5089" s="114"/>
      <c r="L5089" s="5"/>
    </row>
    <row r="5090" spans="1:12" x14ac:dyDescent="0.25">
      <c r="A5090" s="48"/>
      <c r="B5090" s="35"/>
      <c r="C5090" s="39"/>
      <c r="D5090" s="52"/>
      <c r="E5090" s="53"/>
      <c r="F5090" s="44"/>
      <c r="G5090" s="77"/>
      <c r="H5090" s="78" t="s">
        <v>69</v>
      </c>
      <c r="I5090" s="79"/>
      <c r="J5090" s="113"/>
      <c r="K5090" s="114"/>
      <c r="L5090" s="5"/>
    </row>
    <row r="5091" spans="1:12" x14ac:dyDescent="0.25">
      <c r="A5091" s="38"/>
      <c r="B5091" s="35"/>
      <c r="C5091" s="39"/>
      <c r="D5091" s="52"/>
      <c r="E5091" s="53"/>
      <c r="F5091" s="44"/>
      <c r="G5091" s="77"/>
      <c r="H5091" s="78" t="s">
        <v>72</v>
      </c>
      <c r="I5091" s="79"/>
      <c r="J5091" s="113"/>
      <c r="K5091" s="114"/>
      <c r="L5091" s="5"/>
    </row>
    <row r="5092" spans="1:12" ht="15.75" thickBot="1" x14ac:dyDescent="0.3">
      <c r="A5092" s="5"/>
      <c r="B5092" s="5"/>
      <c r="C5092" s="7" t="s">
        <v>35</v>
      </c>
      <c r="D5092" s="17">
        <f>SUM(D5084:D5091)</f>
        <v>589.41999999999996</v>
      </c>
      <c r="E5092" s="17">
        <f>SUM(E5084:E5091)</f>
        <v>14216.86</v>
      </c>
      <c r="F5092" s="89">
        <f>AVERAGE(F5084:F5088)</f>
        <v>24.120084150520853</v>
      </c>
      <c r="G5092" s="110" t="s">
        <v>73</v>
      </c>
      <c r="H5092" s="111"/>
      <c r="I5092" s="112"/>
      <c r="J5092" s="113"/>
      <c r="K5092" s="114"/>
      <c r="L5092" s="7" t="s">
        <v>36</v>
      </c>
    </row>
    <row r="5093" spans="1:12" ht="15.75" thickBot="1" x14ac:dyDescent="0.3">
      <c r="A5093" s="5"/>
      <c r="B5093" s="5"/>
      <c r="C5093" s="5"/>
      <c r="D5093" s="5"/>
      <c r="E5093" s="5"/>
      <c r="F5093" s="5"/>
      <c r="G5093" s="130"/>
      <c r="H5093" s="131"/>
      <c r="I5093" s="132"/>
      <c r="J5093" s="133"/>
      <c r="K5093" s="134"/>
      <c r="L5093" s="18">
        <f>J5084+J5085+J5086+J5087+J5088+J5089+J5090+J5091+J5092</f>
        <v>0</v>
      </c>
    </row>
    <row r="5094" spans="1:12" ht="15.75" thickBot="1" x14ac:dyDescent="0.3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</row>
    <row r="5095" spans="1:12" ht="15.75" thickBot="1" x14ac:dyDescent="0.3">
      <c r="A5095" s="19"/>
      <c r="B5095" s="20"/>
      <c r="C5095" s="20"/>
      <c r="D5095" s="20"/>
      <c r="E5095" s="21" t="s">
        <v>13</v>
      </c>
      <c r="F5095" s="5"/>
      <c r="G5095" s="19"/>
      <c r="H5095" s="20"/>
      <c r="I5095" s="20"/>
      <c r="J5095" s="20"/>
      <c r="K5095" s="21" t="s">
        <v>13</v>
      </c>
      <c r="L5095" s="5"/>
    </row>
    <row r="5096" spans="1:12" x14ac:dyDescent="0.25">
      <c r="A5096" s="22" t="s">
        <v>31</v>
      </c>
      <c r="B5096" s="115">
        <v>38064</v>
      </c>
      <c r="C5096" s="116"/>
      <c r="D5096" s="116"/>
      <c r="E5096" s="117"/>
      <c r="F5096" s="5"/>
      <c r="G5096" s="22" t="s">
        <v>32</v>
      </c>
      <c r="H5096" s="115">
        <v>0</v>
      </c>
      <c r="I5096" s="116"/>
      <c r="J5096" s="116"/>
      <c r="K5096" s="117"/>
      <c r="L5096" s="5"/>
    </row>
    <row r="5097" spans="1:12" x14ac:dyDescent="0.25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</row>
    <row r="5098" spans="1:12" x14ac:dyDescent="0.25">
      <c r="A5098" s="7" t="s">
        <v>16</v>
      </c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</row>
    <row r="5099" spans="1:12" x14ac:dyDescent="0.25">
      <c r="A5099" s="9" t="s">
        <v>17</v>
      </c>
      <c r="B5099" s="23">
        <f>L5076-C5071</f>
        <v>1407</v>
      </c>
      <c r="C5099" s="5"/>
      <c r="D5099" s="106" t="s">
        <v>18</v>
      </c>
      <c r="E5099" s="107"/>
      <c r="F5099" s="24" t="s">
        <v>19</v>
      </c>
      <c r="G5099" s="9" t="s">
        <v>20</v>
      </c>
      <c r="H5099" s="118">
        <f>B5096+H5096</f>
        <v>38064</v>
      </c>
      <c r="I5099" s="119"/>
      <c r="J5099" s="60"/>
      <c r="K5099" s="5"/>
      <c r="L5099" s="5"/>
    </row>
    <row r="5100" spans="1:12" x14ac:dyDescent="0.25">
      <c r="A5100" s="9" t="s">
        <v>41</v>
      </c>
      <c r="B5100" s="40">
        <f>B5099/D5092</f>
        <v>2.3870923959146282</v>
      </c>
      <c r="C5100" s="5"/>
      <c r="D5100" s="102">
        <f>E5092</f>
        <v>14216.86</v>
      </c>
      <c r="E5100" s="103"/>
      <c r="F5100" s="25">
        <f>H5100/B5099</f>
        <v>11.059744136460555</v>
      </c>
      <c r="G5100" s="9" t="s">
        <v>21</v>
      </c>
      <c r="H5100" s="104">
        <f>L5093+D5100+D5102+D5104+D5106+A5103</f>
        <v>15561.060000000001</v>
      </c>
      <c r="I5100" s="105"/>
      <c r="J5100" s="5"/>
      <c r="K5100" s="5"/>
      <c r="L5100" s="5"/>
    </row>
    <row r="5101" spans="1:12" x14ac:dyDescent="0.25">
      <c r="A5101" s="9" t="s">
        <v>43</v>
      </c>
      <c r="B5101" s="23">
        <f>D5092/B5099*100</f>
        <v>41.891968727789617</v>
      </c>
      <c r="C5101" s="5"/>
      <c r="D5101" s="106" t="s">
        <v>33</v>
      </c>
      <c r="E5101" s="107"/>
      <c r="F5101" s="5"/>
      <c r="G5101" s="13" t="s">
        <v>22</v>
      </c>
      <c r="H5101" s="6"/>
      <c r="I5101" s="26">
        <f>H5099-H5100</f>
        <v>22502.94</v>
      </c>
      <c r="J5101" s="5"/>
      <c r="K5101" s="5"/>
      <c r="L5101" s="5"/>
    </row>
    <row r="5102" spans="1:12" x14ac:dyDescent="0.25">
      <c r="A5102" s="106" t="s">
        <v>40</v>
      </c>
      <c r="B5102" s="107"/>
      <c r="C5102" s="5"/>
      <c r="D5102" s="149">
        <v>500</v>
      </c>
      <c r="E5102" s="150"/>
      <c r="F5102" s="5"/>
      <c r="G5102" s="5"/>
      <c r="H5102" s="5"/>
      <c r="I5102" s="5"/>
      <c r="J5102" s="5"/>
      <c r="K5102" s="5"/>
      <c r="L5102" s="5"/>
    </row>
    <row r="5103" spans="1:12" x14ac:dyDescent="0.25">
      <c r="A5103" s="108">
        <f>B5099*0.6</f>
        <v>844.19999999999993</v>
      </c>
      <c r="B5103" s="109"/>
      <c r="C5103" s="5"/>
      <c r="D5103" s="106" t="s">
        <v>34</v>
      </c>
      <c r="E5103" s="107"/>
      <c r="F5103" s="5"/>
      <c r="G5103" s="145" t="s">
        <v>292</v>
      </c>
      <c r="H5103" s="146"/>
      <c r="I5103" s="23">
        <f>B5099/2.3</f>
        <v>611.73913043478262</v>
      </c>
      <c r="J5103" s="60"/>
      <c r="K5103" s="5"/>
      <c r="L5103" s="5"/>
    </row>
    <row r="5104" spans="1:12" x14ac:dyDescent="0.25">
      <c r="A5104" s="5"/>
      <c r="B5104" s="5"/>
      <c r="C5104" s="5"/>
      <c r="D5104" s="108">
        <v>0</v>
      </c>
      <c r="E5104" s="109"/>
      <c r="F5104" s="5"/>
      <c r="G5104" s="145" t="s">
        <v>294</v>
      </c>
      <c r="H5104" s="146"/>
      <c r="I5104" s="23">
        <f>I5103-D5092</f>
        <v>22.319130434782664</v>
      </c>
      <c r="J5104" s="5"/>
      <c r="K5104" s="5"/>
      <c r="L5104" s="5"/>
    </row>
    <row r="5105" spans="1:12" x14ac:dyDescent="0.25">
      <c r="A5105" s="5"/>
      <c r="B5105" s="5"/>
      <c r="C5105" s="5"/>
      <c r="D5105" s="106" t="s">
        <v>37</v>
      </c>
      <c r="E5105" s="107"/>
      <c r="F5105" s="5"/>
      <c r="G5105" s="147" t="s">
        <v>295</v>
      </c>
      <c r="H5105" s="148"/>
      <c r="I5105" s="86">
        <f>I5104*F5092</f>
        <v>538.33930425340895</v>
      </c>
      <c r="J5105" s="87">
        <f>I5101-I5105</f>
        <v>21964.600695746591</v>
      </c>
      <c r="K5105" s="5"/>
      <c r="L5105" s="5"/>
    </row>
    <row r="5106" spans="1:12" x14ac:dyDescent="0.25">
      <c r="A5106" s="5"/>
      <c r="B5106" s="5"/>
      <c r="C5106" s="5"/>
      <c r="D5106" s="108">
        <v>0</v>
      </c>
      <c r="E5106" s="109"/>
      <c r="F5106" s="5" t="s">
        <v>78</v>
      </c>
      <c r="G5106" s="5"/>
      <c r="H5106" s="5"/>
      <c r="I5106" s="5"/>
      <c r="J5106" s="88" t="s">
        <v>293</v>
      </c>
      <c r="K5106" s="44"/>
      <c r="L5106" s="5"/>
    </row>
    <row r="5108" spans="1:12" s="49" customFormat="1" x14ac:dyDescent="0.25"/>
  </sheetData>
  <mergeCells count="4773">
    <mergeCell ref="A5056:B5056"/>
    <mergeCell ref="D5056:E5056"/>
    <mergeCell ref="G5056:H5056"/>
    <mergeCell ref="D5057:E5057"/>
    <mergeCell ref="G5057:H5057"/>
    <mergeCell ref="D5058:E5058"/>
    <mergeCell ref="G5058:H5058"/>
    <mergeCell ref="D5059:E5059"/>
    <mergeCell ref="G5042:I5042"/>
    <mergeCell ref="J5042:K5042"/>
    <mergeCell ref="J5043:K5043"/>
    <mergeCell ref="J5044:K5044"/>
    <mergeCell ref="G5045:I5045"/>
    <mergeCell ref="J5045:K5045"/>
    <mergeCell ref="G5046:I5046"/>
    <mergeCell ref="J5046:K5046"/>
    <mergeCell ref="B5049:E5049"/>
    <mergeCell ref="H5049:K5049"/>
    <mergeCell ref="D5052:E5052"/>
    <mergeCell ref="H5052:I5052"/>
    <mergeCell ref="D5053:E5053"/>
    <mergeCell ref="H5053:I5053"/>
    <mergeCell ref="D5054:E5054"/>
    <mergeCell ref="A5055:B5055"/>
    <mergeCell ref="D5055:E5055"/>
    <mergeCell ref="A5018:L5019"/>
    <mergeCell ref="A5026:C5026"/>
    <mergeCell ref="G5026:I5026"/>
    <mergeCell ref="A5029:C5029"/>
    <mergeCell ref="G5029:I5029"/>
    <mergeCell ref="A5036:C5036"/>
    <mergeCell ref="G5036:I5036"/>
    <mergeCell ref="J5036:K5036"/>
    <mergeCell ref="G5037:I5037"/>
    <mergeCell ref="J5037:K5037"/>
    <mergeCell ref="G5038:I5038"/>
    <mergeCell ref="J5038:K5038"/>
    <mergeCell ref="G5039:I5039"/>
    <mergeCell ref="J5039:K5039"/>
    <mergeCell ref="G5040:I5040"/>
    <mergeCell ref="J5040:K5040"/>
    <mergeCell ref="G5041:I5041"/>
    <mergeCell ref="J5041:K5041"/>
    <mergeCell ref="D5006:E5006"/>
    <mergeCell ref="H5006:I5006"/>
    <mergeCell ref="D5007:E5007"/>
    <mergeCell ref="H5007:I5007"/>
    <mergeCell ref="D5008:E5008"/>
    <mergeCell ref="A5009:B5009"/>
    <mergeCell ref="D5009:E5009"/>
    <mergeCell ref="A5010:B5010"/>
    <mergeCell ref="D5010:E5010"/>
    <mergeCell ref="G5010:H5010"/>
    <mergeCell ref="D5011:E5011"/>
    <mergeCell ref="G5011:H5011"/>
    <mergeCell ref="D5012:E5012"/>
    <mergeCell ref="G5012:H5012"/>
    <mergeCell ref="D5013:E5013"/>
    <mergeCell ref="G4992:I4992"/>
    <mergeCell ref="J4992:K4992"/>
    <mergeCell ref="G4993:I4993"/>
    <mergeCell ref="J4993:K4993"/>
    <mergeCell ref="G4994:I4994"/>
    <mergeCell ref="J4994:K4994"/>
    <mergeCell ref="G4995:I4995"/>
    <mergeCell ref="J4995:K4995"/>
    <mergeCell ref="G4996:I4996"/>
    <mergeCell ref="J4996:K4996"/>
    <mergeCell ref="J4997:K4997"/>
    <mergeCell ref="J4998:K4998"/>
    <mergeCell ref="G4999:I4999"/>
    <mergeCell ref="J4999:K4999"/>
    <mergeCell ref="G5000:I5000"/>
    <mergeCell ref="J5000:K5000"/>
    <mergeCell ref="B5003:E5003"/>
    <mergeCell ref="H5003:K5003"/>
    <mergeCell ref="A4964:B4964"/>
    <mergeCell ref="D4964:E4964"/>
    <mergeCell ref="G4964:H4964"/>
    <mergeCell ref="D4965:E4965"/>
    <mergeCell ref="G4965:H4965"/>
    <mergeCell ref="D4966:E4966"/>
    <mergeCell ref="G4966:H4966"/>
    <mergeCell ref="D4967:E4967"/>
    <mergeCell ref="A4972:L4973"/>
    <mergeCell ref="A4980:C4980"/>
    <mergeCell ref="G4980:I4980"/>
    <mergeCell ref="A4983:C4983"/>
    <mergeCell ref="G4983:I4983"/>
    <mergeCell ref="A4990:C4990"/>
    <mergeCell ref="G4990:I4990"/>
    <mergeCell ref="J4990:K4990"/>
    <mergeCell ref="G4991:I4991"/>
    <mergeCell ref="J4991:K4991"/>
    <mergeCell ref="G4950:I4950"/>
    <mergeCell ref="J4950:K4950"/>
    <mergeCell ref="J4951:K4951"/>
    <mergeCell ref="J4952:K4952"/>
    <mergeCell ref="G4953:I4953"/>
    <mergeCell ref="J4953:K4953"/>
    <mergeCell ref="G4954:I4954"/>
    <mergeCell ref="J4954:K4954"/>
    <mergeCell ref="B4957:E4957"/>
    <mergeCell ref="H4957:K4957"/>
    <mergeCell ref="D4960:E4960"/>
    <mergeCell ref="H4960:I4960"/>
    <mergeCell ref="D4961:E4961"/>
    <mergeCell ref="H4961:I4961"/>
    <mergeCell ref="D4962:E4962"/>
    <mergeCell ref="A4963:B4963"/>
    <mergeCell ref="D4963:E4963"/>
    <mergeCell ref="A4926:L4927"/>
    <mergeCell ref="A4934:C4934"/>
    <mergeCell ref="G4934:I4934"/>
    <mergeCell ref="A4937:C4937"/>
    <mergeCell ref="G4937:I4937"/>
    <mergeCell ref="A4944:C4944"/>
    <mergeCell ref="G4944:I4944"/>
    <mergeCell ref="J4944:K4944"/>
    <mergeCell ref="G4945:I4945"/>
    <mergeCell ref="J4945:K4945"/>
    <mergeCell ref="G4946:I4946"/>
    <mergeCell ref="J4946:K4946"/>
    <mergeCell ref="G4947:I4947"/>
    <mergeCell ref="J4947:K4947"/>
    <mergeCell ref="G4948:I4948"/>
    <mergeCell ref="J4948:K4948"/>
    <mergeCell ref="G4949:I4949"/>
    <mergeCell ref="J4949:K4949"/>
    <mergeCell ref="D4732:E4732"/>
    <mergeCell ref="A4733:B4733"/>
    <mergeCell ref="D4733:E4733"/>
    <mergeCell ref="A4734:B4734"/>
    <mergeCell ref="D4734:E4734"/>
    <mergeCell ref="G4734:H4734"/>
    <mergeCell ref="D4735:E4735"/>
    <mergeCell ref="G4735:H4735"/>
    <mergeCell ref="D4736:E4736"/>
    <mergeCell ref="G4736:H4736"/>
    <mergeCell ref="D4737:E4737"/>
    <mergeCell ref="G4718:I4718"/>
    <mergeCell ref="J4718:K4718"/>
    <mergeCell ref="G4719:I4719"/>
    <mergeCell ref="J4719:K4719"/>
    <mergeCell ref="G4720:I4720"/>
    <mergeCell ref="J4720:K4720"/>
    <mergeCell ref="J4721:K4721"/>
    <mergeCell ref="J4722:K4722"/>
    <mergeCell ref="G4723:I4723"/>
    <mergeCell ref="J4723:K4723"/>
    <mergeCell ref="G4724:I4724"/>
    <mergeCell ref="J4724:K4724"/>
    <mergeCell ref="B4727:E4727"/>
    <mergeCell ref="H4727:K4727"/>
    <mergeCell ref="D4730:E4730"/>
    <mergeCell ref="H4730:I4730"/>
    <mergeCell ref="D4731:E4731"/>
    <mergeCell ref="H4731:I4731"/>
    <mergeCell ref="D4690:E4690"/>
    <mergeCell ref="G4690:H4690"/>
    <mergeCell ref="D4691:E4691"/>
    <mergeCell ref="A4696:L4697"/>
    <mergeCell ref="A4704:C4704"/>
    <mergeCell ref="G4704:I4704"/>
    <mergeCell ref="A4707:C4707"/>
    <mergeCell ref="G4707:I4707"/>
    <mergeCell ref="A4714:C4714"/>
    <mergeCell ref="G4714:I4714"/>
    <mergeCell ref="J4714:K4714"/>
    <mergeCell ref="G4715:I4715"/>
    <mergeCell ref="J4715:K4715"/>
    <mergeCell ref="G4716:I4716"/>
    <mergeCell ref="J4716:K4716"/>
    <mergeCell ref="G4717:I4717"/>
    <mergeCell ref="J4717:K4717"/>
    <mergeCell ref="G4677:I4677"/>
    <mergeCell ref="J4677:K4677"/>
    <mergeCell ref="G4678:I4678"/>
    <mergeCell ref="J4678:K4678"/>
    <mergeCell ref="B4681:E4681"/>
    <mergeCell ref="H4681:K4681"/>
    <mergeCell ref="D4684:E4684"/>
    <mergeCell ref="H4684:I4684"/>
    <mergeCell ref="D4685:E4685"/>
    <mergeCell ref="H4685:I4685"/>
    <mergeCell ref="D4686:E4686"/>
    <mergeCell ref="A4687:B4687"/>
    <mergeCell ref="D4687:E4687"/>
    <mergeCell ref="A4688:B4688"/>
    <mergeCell ref="D4688:E4688"/>
    <mergeCell ref="G4688:H4688"/>
    <mergeCell ref="D4689:E4689"/>
    <mergeCell ref="G4689:H4689"/>
    <mergeCell ref="A4668:C4668"/>
    <mergeCell ref="G4668:I4668"/>
    <mergeCell ref="J4668:K4668"/>
    <mergeCell ref="G4669:I4669"/>
    <mergeCell ref="J4669:K4669"/>
    <mergeCell ref="G4670:I4670"/>
    <mergeCell ref="J4670:K4670"/>
    <mergeCell ref="G4671:I4671"/>
    <mergeCell ref="J4671:K4671"/>
    <mergeCell ref="G4672:I4672"/>
    <mergeCell ref="J4672:K4672"/>
    <mergeCell ref="G4673:I4673"/>
    <mergeCell ref="J4673:K4673"/>
    <mergeCell ref="G4674:I4674"/>
    <mergeCell ref="J4674:K4674"/>
    <mergeCell ref="J4675:K4675"/>
    <mergeCell ref="J4676:K4676"/>
    <mergeCell ref="D4639:E4639"/>
    <mergeCell ref="H4639:I4639"/>
    <mergeCell ref="D4640:E4640"/>
    <mergeCell ref="A4641:B4641"/>
    <mergeCell ref="D4641:E4641"/>
    <mergeCell ref="A4642:B4642"/>
    <mergeCell ref="D4642:E4642"/>
    <mergeCell ref="G4642:H4642"/>
    <mergeCell ref="D4643:E4643"/>
    <mergeCell ref="G4643:H4643"/>
    <mergeCell ref="D4644:E4644"/>
    <mergeCell ref="G4644:H4644"/>
    <mergeCell ref="D4645:E4645"/>
    <mergeCell ref="A4650:L4651"/>
    <mergeCell ref="A4658:C4658"/>
    <mergeCell ref="G4658:I4658"/>
    <mergeCell ref="A4661:C4661"/>
    <mergeCell ref="G4661:I4661"/>
    <mergeCell ref="G4625:I4625"/>
    <mergeCell ref="J4625:K4625"/>
    <mergeCell ref="G4626:I4626"/>
    <mergeCell ref="J4626:K4626"/>
    <mergeCell ref="G4627:I4627"/>
    <mergeCell ref="J4627:K4627"/>
    <mergeCell ref="G4628:I4628"/>
    <mergeCell ref="J4628:K4628"/>
    <mergeCell ref="J4629:K4629"/>
    <mergeCell ref="J4630:K4630"/>
    <mergeCell ref="G4631:I4631"/>
    <mergeCell ref="J4631:K4631"/>
    <mergeCell ref="G4632:I4632"/>
    <mergeCell ref="J4632:K4632"/>
    <mergeCell ref="B4635:E4635"/>
    <mergeCell ref="H4635:K4635"/>
    <mergeCell ref="D4638:E4638"/>
    <mergeCell ref="H4638:I4638"/>
    <mergeCell ref="D4597:E4597"/>
    <mergeCell ref="G4597:H4597"/>
    <mergeCell ref="D4598:E4598"/>
    <mergeCell ref="G4598:H4598"/>
    <mergeCell ref="D4599:E4599"/>
    <mergeCell ref="A4604:L4605"/>
    <mergeCell ref="A4612:C4612"/>
    <mergeCell ref="G4612:I4612"/>
    <mergeCell ref="A4615:C4615"/>
    <mergeCell ref="G4615:I4615"/>
    <mergeCell ref="A4622:C4622"/>
    <mergeCell ref="G4622:I4622"/>
    <mergeCell ref="J4622:K4622"/>
    <mergeCell ref="G4623:I4623"/>
    <mergeCell ref="J4623:K4623"/>
    <mergeCell ref="G4624:I4624"/>
    <mergeCell ref="J4624:K4624"/>
    <mergeCell ref="J4583:K4583"/>
    <mergeCell ref="J4584:K4584"/>
    <mergeCell ref="G4585:I4585"/>
    <mergeCell ref="J4585:K4585"/>
    <mergeCell ref="G4586:I4586"/>
    <mergeCell ref="J4586:K4586"/>
    <mergeCell ref="B4589:E4589"/>
    <mergeCell ref="H4589:K4589"/>
    <mergeCell ref="D4592:E4592"/>
    <mergeCell ref="H4592:I4592"/>
    <mergeCell ref="D4593:E4593"/>
    <mergeCell ref="H4593:I4593"/>
    <mergeCell ref="D4594:E4594"/>
    <mergeCell ref="A4595:B4595"/>
    <mergeCell ref="D4595:E4595"/>
    <mergeCell ref="A4596:B4596"/>
    <mergeCell ref="D4596:E4596"/>
    <mergeCell ref="G4596:H4596"/>
    <mergeCell ref="A4569:C4569"/>
    <mergeCell ref="G4569:I4569"/>
    <mergeCell ref="A4576:C4576"/>
    <mergeCell ref="G4576:I4576"/>
    <mergeCell ref="J4576:K4576"/>
    <mergeCell ref="G4577:I4577"/>
    <mergeCell ref="J4577:K4577"/>
    <mergeCell ref="G4578:I4578"/>
    <mergeCell ref="J4578:K4578"/>
    <mergeCell ref="G4579:I4579"/>
    <mergeCell ref="J4579:K4579"/>
    <mergeCell ref="G4580:I4580"/>
    <mergeCell ref="J4580:K4580"/>
    <mergeCell ref="G4581:I4581"/>
    <mergeCell ref="J4581:K4581"/>
    <mergeCell ref="G4582:I4582"/>
    <mergeCell ref="J4582:K4582"/>
    <mergeCell ref="D4546:E4546"/>
    <mergeCell ref="H4546:I4546"/>
    <mergeCell ref="D4547:E4547"/>
    <mergeCell ref="H4547:I4547"/>
    <mergeCell ref="D4548:E4548"/>
    <mergeCell ref="A4549:B4549"/>
    <mergeCell ref="D4549:E4549"/>
    <mergeCell ref="A4550:B4550"/>
    <mergeCell ref="D4550:E4550"/>
    <mergeCell ref="G4550:H4550"/>
    <mergeCell ref="D4551:E4551"/>
    <mergeCell ref="G4551:H4551"/>
    <mergeCell ref="D4552:E4552"/>
    <mergeCell ref="G4552:H4552"/>
    <mergeCell ref="D4553:E4553"/>
    <mergeCell ref="A4558:L4559"/>
    <mergeCell ref="A4566:C4566"/>
    <mergeCell ref="G4566:I4566"/>
    <mergeCell ref="G4532:I4532"/>
    <mergeCell ref="J4532:K4532"/>
    <mergeCell ref="G4533:I4533"/>
    <mergeCell ref="J4533:K4533"/>
    <mergeCell ref="G4534:I4534"/>
    <mergeCell ref="J4534:K4534"/>
    <mergeCell ref="G4535:I4535"/>
    <mergeCell ref="J4535:K4535"/>
    <mergeCell ref="G4536:I4536"/>
    <mergeCell ref="J4536:K4536"/>
    <mergeCell ref="J4537:K4537"/>
    <mergeCell ref="J4538:K4538"/>
    <mergeCell ref="G4539:I4539"/>
    <mergeCell ref="J4539:K4539"/>
    <mergeCell ref="G4540:I4540"/>
    <mergeCell ref="J4540:K4540"/>
    <mergeCell ref="B4543:E4543"/>
    <mergeCell ref="H4543:K4543"/>
    <mergeCell ref="A4504:B4504"/>
    <mergeCell ref="D4504:E4504"/>
    <mergeCell ref="G4504:H4504"/>
    <mergeCell ref="D4505:E4505"/>
    <mergeCell ref="G4505:H4505"/>
    <mergeCell ref="D4506:E4506"/>
    <mergeCell ref="G4506:H4506"/>
    <mergeCell ref="D4507:E4507"/>
    <mergeCell ref="A4512:L4513"/>
    <mergeCell ref="A4520:C4520"/>
    <mergeCell ref="G4520:I4520"/>
    <mergeCell ref="A4523:C4523"/>
    <mergeCell ref="G4523:I4523"/>
    <mergeCell ref="A4530:C4530"/>
    <mergeCell ref="G4530:I4530"/>
    <mergeCell ref="J4530:K4530"/>
    <mergeCell ref="G4531:I4531"/>
    <mergeCell ref="J4531:K4531"/>
    <mergeCell ref="G4490:I4490"/>
    <mergeCell ref="J4490:K4490"/>
    <mergeCell ref="J4491:K4491"/>
    <mergeCell ref="J4492:K4492"/>
    <mergeCell ref="G4493:I4493"/>
    <mergeCell ref="J4493:K4493"/>
    <mergeCell ref="G4494:I4494"/>
    <mergeCell ref="J4494:K4494"/>
    <mergeCell ref="B4497:E4497"/>
    <mergeCell ref="H4497:K4497"/>
    <mergeCell ref="D4500:E4500"/>
    <mergeCell ref="H4500:I4500"/>
    <mergeCell ref="D4501:E4501"/>
    <mergeCell ref="H4501:I4501"/>
    <mergeCell ref="D4502:E4502"/>
    <mergeCell ref="A4503:B4503"/>
    <mergeCell ref="D4503:E4503"/>
    <mergeCell ref="A4466:L4467"/>
    <mergeCell ref="A4474:C4474"/>
    <mergeCell ref="G4474:I4474"/>
    <mergeCell ref="A4477:C4477"/>
    <mergeCell ref="G4477:I4477"/>
    <mergeCell ref="A4484:C4484"/>
    <mergeCell ref="G4484:I4484"/>
    <mergeCell ref="J4484:K4484"/>
    <mergeCell ref="G4485:I4485"/>
    <mergeCell ref="J4485:K4485"/>
    <mergeCell ref="G4486:I4486"/>
    <mergeCell ref="J4486:K4486"/>
    <mergeCell ref="G4487:I4487"/>
    <mergeCell ref="J4487:K4487"/>
    <mergeCell ref="G4488:I4488"/>
    <mergeCell ref="J4488:K4488"/>
    <mergeCell ref="G4489:I4489"/>
    <mergeCell ref="J4489:K4489"/>
    <mergeCell ref="A4412:B4412"/>
    <mergeCell ref="D4412:E4412"/>
    <mergeCell ref="G4412:H4412"/>
    <mergeCell ref="D4413:E4413"/>
    <mergeCell ref="G4413:H4413"/>
    <mergeCell ref="D4414:E4414"/>
    <mergeCell ref="G4414:H4414"/>
    <mergeCell ref="D4415:E4415"/>
    <mergeCell ref="G4398:I4398"/>
    <mergeCell ref="J4398:K4398"/>
    <mergeCell ref="J4399:K4399"/>
    <mergeCell ref="J4400:K4400"/>
    <mergeCell ref="G4401:I4401"/>
    <mergeCell ref="J4401:K4401"/>
    <mergeCell ref="G4402:I4402"/>
    <mergeCell ref="J4402:K4402"/>
    <mergeCell ref="B4405:E4405"/>
    <mergeCell ref="H4405:K4405"/>
    <mergeCell ref="D4408:E4408"/>
    <mergeCell ref="H4408:I4408"/>
    <mergeCell ref="D4409:E4409"/>
    <mergeCell ref="H4409:I4409"/>
    <mergeCell ref="D4410:E4410"/>
    <mergeCell ref="A4411:B4411"/>
    <mergeCell ref="D4411:E4411"/>
    <mergeCell ref="A4374:L4375"/>
    <mergeCell ref="A4382:C4382"/>
    <mergeCell ref="G4382:I4382"/>
    <mergeCell ref="A4385:C4385"/>
    <mergeCell ref="G4385:I4385"/>
    <mergeCell ref="A4392:C4392"/>
    <mergeCell ref="G4392:I4392"/>
    <mergeCell ref="J4392:K4392"/>
    <mergeCell ref="G4393:I4393"/>
    <mergeCell ref="J4393:K4393"/>
    <mergeCell ref="G4394:I4394"/>
    <mergeCell ref="J4394:K4394"/>
    <mergeCell ref="G4395:I4395"/>
    <mergeCell ref="J4395:K4395"/>
    <mergeCell ref="G4396:I4396"/>
    <mergeCell ref="J4396:K4396"/>
    <mergeCell ref="G4397:I4397"/>
    <mergeCell ref="J4397:K4397"/>
    <mergeCell ref="D4179:E4179"/>
    <mergeCell ref="H4179:I4179"/>
    <mergeCell ref="D4180:E4180"/>
    <mergeCell ref="A4181:B4181"/>
    <mergeCell ref="D4181:E4181"/>
    <mergeCell ref="A4182:B4182"/>
    <mergeCell ref="D4182:E4182"/>
    <mergeCell ref="G4182:H4182"/>
    <mergeCell ref="D4183:E4183"/>
    <mergeCell ref="G4183:H4183"/>
    <mergeCell ref="D4184:E4184"/>
    <mergeCell ref="G4184:H4184"/>
    <mergeCell ref="D4185:E4185"/>
    <mergeCell ref="G4165:I4165"/>
    <mergeCell ref="J4165:K4165"/>
    <mergeCell ref="G4166:I4166"/>
    <mergeCell ref="J4166:K4166"/>
    <mergeCell ref="G4167:I4167"/>
    <mergeCell ref="J4167:K4167"/>
    <mergeCell ref="G4168:I4168"/>
    <mergeCell ref="J4168:K4168"/>
    <mergeCell ref="J4169:K4169"/>
    <mergeCell ref="J4170:K4170"/>
    <mergeCell ref="G4171:I4171"/>
    <mergeCell ref="J4171:K4171"/>
    <mergeCell ref="G4172:I4172"/>
    <mergeCell ref="J4172:K4172"/>
    <mergeCell ref="B4175:E4175"/>
    <mergeCell ref="H4175:K4175"/>
    <mergeCell ref="D4178:E4178"/>
    <mergeCell ref="H4178:I4178"/>
    <mergeCell ref="D4137:E4137"/>
    <mergeCell ref="G4137:H4137"/>
    <mergeCell ref="D4138:E4138"/>
    <mergeCell ref="G4138:H4138"/>
    <mergeCell ref="D4139:E4139"/>
    <mergeCell ref="A4144:L4145"/>
    <mergeCell ref="A4152:C4152"/>
    <mergeCell ref="G4152:I4152"/>
    <mergeCell ref="A4155:C4155"/>
    <mergeCell ref="G4155:I4155"/>
    <mergeCell ref="A4162:C4162"/>
    <mergeCell ref="G4162:I4162"/>
    <mergeCell ref="J4162:K4162"/>
    <mergeCell ref="G4163:I4163"/>
    <mergeCell ref="J4163:K4163"/>
    <mergeCell ref="G4164:I4164"/>
    <mergeCell ref="J4164:K4164"/>
    <mergeCell ref="J4123:K4123"/>
    <mergeCell ref="J4124:K4124"/>
    <mergeCell ref="G4125:I4125"/>
    <mergeCell ref="J4125:K4125"/>
    <mergeCell ref="G4126:I4126"/>
    <mergeCell ref="J4126:K4126"/>
    <mergeCell ref="B4129:E4129"/>
    <mergeCell ref="H4129:K4129"/>
    <mergeCell ref="D4132:E4132"/>
    <mergeCell ref="H4132:I4132"/>
    <mergeCell ref="D4133:E4133"/>
    <mergeCell ref="H4133:I4133"/>
    <mergeCell ref="D4134:E4134"/>
    <mergeCell ref="A4135:B4135"/>
    <mergeCell ref="D4135:E4135"/>
    <mergeCell ref="A4136:B4136"/>
    <mergeCell ref="D4136:E4136"/>
    <mergeCell ref="G4136:H4136"/>
    <mergeCell ref="A4109:C4109"/>
    <mergeCell ref="G4109:I4109"/>
    <mergeCell ref="A4116:C4116"/>
    <mergeCell ref="G4116:I4116"/>
    <mergeCell ref="J4116:K4116"/>
    <mergeCell ref="G4117:I4117"/>
    <mergeCell ref="J4117:K4117"/>
    <mergeCell ref="G4118:I4118"/>
    <mergeCell ref="J4118:K4118"/>
    <mergeCell ref="G4119:I4119"/>
    <mergeCell ref="J4119:K4119"/>
    <mergeCell ref="G4120:I4120"/>
    <mergeCell ref="J4120:K4120"/>
    <mergeCell ref="G4121:I4121"/>
    <mergeCell ref="J4121:K4121"/>
    <mergeCell ref="G4122:I4122"/>
    <mergeCell ref="J4122:K4122"/>
    <mergeCell ref="D4086:E4086"/>
    <mergeCell ref="H4086:I4086"/>
    <mergeCell ref="D4087:E4087"/>
    <mergeCell ref="H4087:I4087"/>
    <mergeCell ref="D4088:E4088"/>
    <mergeCell ref="A4089:B4089"/>
    <mergeCell ref="D4089:E4089"/>
    <mergeCell ref="A4090:B4090"/>
    <mergeCell ref="D4090:E4090"/>
    <mergeCell ref="G4090:H4090"/>
    <mergeCell ref="D4091:E4091"/>
    <mergeCell ref="G4091:H4091"/>
    <mergeCell ref="D4092:E4092"/>
    <mergeCell ref="G4092:H4092"/>
    <mergeCell ref="D4093:E4093"/>
    <mergeCell ref="A4098:L4099"/>
    <mergeCell ref="A4106:C4106"/>
    <mergeCell ref="G4106:I4106"/>
    <mergeCell ref="G4072:I4072"/>
    <mergeCell ref="J4072:K4072"/>
    <mergeCell ref="G4073:I4073"/>
    <mergeCell ref="J4073:K4073"/>
    <mergeCell ref="G4074:I4074"/>
    <mergeCell ref="J4074:K4074"/>
    <mergeCell ref="G4075:I4075"/>
    <mergeCell ref="J4075:K4075"/>
    <mergeCell ref="G4076:I4076"/>
    <mergeCell ref="J4076:K4076"/>
    <mergeCell ref="J4077:K4077"/>
    <mergeCell ref="J4078:K4078"/>
    <mergeCell ref="G4079:I4079"/>
    <mergeCell ref="J4079:K4079"/>
    <mergeCell ref="G4080:I4080"/>
    <mergeCell ref="J4080:K4080"/>
    <mergeCell ref="B4083:E4083"/>
    <mergeCell ref="H4083:K4083"/>
    <mergeCell ref="A4044:B4044"/>
    <mergeCell ref="D4044:E4044"/>
    <mergeCell ref="G4044:H4044"/>
    <mergeCell ref="D4045:E4045"/>
    <mergeCell ref="G4045:H4045"/>
    <mergeCell ref="D4046:E4046"/>
    <mergeCell ref="G4046:H4046"/>
    <mergeCell ref="D4047:E4047"/>
    <mergeCell ref="A4052:L4053"/>
    <mergeCell ref="A4060:C4060"/>
    <mergeCell ref="G4060:I4060"/>
    <mergeCell ref="A4063:C4063"/>
    <mergeCell ref="G4063:I4063"/>
    <mergeCell ref="A4070:C4070"/>
    <mergeCell ref="G4070:I4070"/>
    <mergeCell ref="J4070:K4070"/>
    <mergeCell ref="G4071:I4071"/>
    <mergeCell ref="J4071:K4071"/>
    <mergeCell ref="G4030:I4030"/>
    <mergeCell ref="J4030:K4030"/>
    <mergeCell ref="J4031:K4031"/>
    <mergeCell ref="J4032:K4032"/>
    <mergeCell ref="G4033:I4033"/>
    <mergeCell ref="J4033:K4033"/>
    <mergeCell ref="G4034:I4034"/>
    <mergeCell ref="J4034:K4034"/>
    <mergeCell ref="B4037:E4037"/>
    <mergeCell ref="H4037:K4037"/>
    <mergeCell ref="D4040:E4040"/>
    <mergeCell ref="H4040:I4040"/>
    <mergeCell ref="D4041:E4041"/>
    <mergeCell ref="H4041:I4041"/>
    <mergeCell ref="D4042:E4042"/>
    <mergeCell ref="A4043:B4043"/>
    <mergeCell ref="D4043:E4043"/>
    <mergeCell ref="A4006:L4007"/>
    <mergeCell ref="A4014:C4014"/>
    <mergeCell ref="G4014:I4014"/>
    <mergeCell ref="A4017:C4017"/>
    <mergeCell ref="G4017:I4017"/>
    <mergeCell ref="A4024:C4024"/>
    <mergeCell ref="G4024:I4024"/>
    <mergeCell ref="J4024:K4024"/>
    <mergeCell ref="G4025:I4025"/>
    <mergeCell ref="J4025:K4025"/>
    <mergeCell ref="G4026:I4026"/>
    <mergeCell ref="J4026:K4026"/>
    <mergeCell ref="G4027:I4027"/>
    <mergeCell ref="J4027:K4027"/>
    <mergeCell ref="G4028:I4028"/>
    <mergeCell ref="J4028:K4028"/>
    <mergeCell ref="G4029:I4029"/>
    <mergeCell ref="J4029:K4029"/>
    <mergeCell ref="D3954:E3954"/>
    <mergeCell ref="G3954:H3954"/>
    <mergeCell ref="D3955:E3955"/>
    <mergeCell ref="G3941:I3941"/>
    <mergeCell ref="J3941:K3941"/>
    <mergeCell ref="G3942:I3942"/>
    <mergeCell ref="J3942:K3942"/>
    <mergeCell ref="B3945:E3945"/>
    <mergeCell ref="H3945:K3945"/>
    <mergeCell ref="D3948:E3948"/>
    <mergeCell ref="H3948:I3948"/>
    <mergeCell ref="D3949:E3949"/>
    <mergeCell ref="H3949:I3949"/>
    <mergeCell ref="D3950:E3950"/>
    <mergeCell ref="A3951:B3951"/>
    <mergeCell ref="D3951:E3951"/>
    <mergeCell ref="A3952:B3952"/>
    <mergeCell ref="D3952:E3952"/>
    <mergeCell ref="G3952:H3952"/>
    <mergeCell ref="D3953:E3953"/>
    <mergeCell ref="G3953:H3953"/>
    <mergeCell ref="A3932:C3932"/>
    <mergeCell ref="G3932:I3932"/>
    <mergeCell ref="J3932:K3932"/>
    <mergeCell ref="G3933:I3933"/>
    <mergeCell ref="J3933:K3933"/>
    <mergeCell ref="G3934:I3934"/>
    <mergeCell ref="J3934:K3934"/>
    <mergeCell ref="G3935:I3935"/>
    <mergeCell ref="J3935:K3935"/>
    <mergeCell ref="G3936:I3936"/>
    <mergeCell ref="J3936:K3936"/>
    <mergeCell ref="G3937:I3937"/>
    <mergeCell ref="J3937:K3937"/>
    <mergeCell ref="G3938:I3938"/>
    <mergeCell ref="J3938:K3938"/>
    <mergeCell ref="J3939:K3939"/>
    <mergeCell ref="J3940:K3940"/>
    <mergeCell ref="D3903:E3903"/>
    <mergeCell ref="H3903:I3903"/>
    <mergeCell ref="D3904:E3904"/>
    <mergeCell ref="A3905:B3905"/>
    <mergeCell ref="D3905:E3905"/>
    <mergeCell ref="A3906:B3906"/>
    <mergeCell ref="D3906:E3906"/>
    <mergeCell ref="G3906:H3906"/>
    <mergeCell ref="D3907:E3907"/>
    <mergeCell ref="G3907:H3907"/>
    <mergeCell ref="D3908:E3908"/>
    <mergeCell ref="G3908:H3908"/>
    <mergeCell ref="D3909:E3909"/>
    <mergeCell ref="A3914:L3915"/>
    <mergeCell ref="A3922:C3922"/>
    <mergeCell ref="G3922:I3922"/>
    <mergeCell ref="A3925:C3925"/>
    <mergeCell ref="G3925:I3925"/>
    <mergeCell ref="G3889:I3889"/>
    <mergeCell ref="J3889:K3889"/>
    <mergeCell ref="G3890:I3890"/>
    <mergeCell ref="J3890:K3890"/>
    <mergeCell ref="G3891:I3891"/>
    <mergeCell ref="J3891:K3891"/>
    <mergeCell ref="G3892:I3892"/>
    <mergeCell ref="J3892:K3892"/>
    <mergeCell ref="J3893:K3893"/>
    <mergeCell ref="J3894:K3894"/>
    <mergeCell ref="G3895:I3895"/>
    <mergeCell ref="J3895:K3895"/>
    <mergeCell ref="G3896:I3896"/>
    <mergeCell ref="J3896:K3896"/>
    <mergeCell ref="B3899:E3899"/>
    <mergeCell ref="H3899:K3899"/>
    <mergeCell ref="D3902:E3902"/>
    <mergeCell ref="H3902:I3902"/>
    <mergeCell ref="D3861:E3861"/>
    <mergeCell ref="G3861:H3861"/>
    <mergeCell ref="D3862:E3862"/>
    <mergeCell ref="G3862:H3862"/>
    <mergeCell ref="D3863:E3863"/>
    <mergeCell ref="A3868:L3869"/>
    <mergeCell ref="A3876:C3876"/>
    <mergeCell ref="G3876:I3876"/>
    <mergeCell ref="A3879:C3879"/>
    <mergeCell ref="G3879:I3879"/>
    <mergeCell ref="A3886:C3886"/>
    <mergeCell ref="G3886:I3886"/>
    <mergeCell ref="J3886:K3886"/>
    <mergeCell ref="G3887:I3887"/>
    <mergeCell ref="J3887:K3887"/>
    <mergeCell ref="G3888:I3888"/>
    <mergeCell ref="J3888:K3888"/>
    <mergeCell ref="J3847:K3847"/>
    <mergeCell ref="J3848:K3848"/>
    <mergeCell ref="G3849:I3849"/>
    <mergeCell ref="J3849:K3849"/>
    <mergeCell ref="G3850:I3850"/>
    <mergeCell ref="J3850:K3850"/>
    <mergeCell ref="B3853:E3853"/>
    <mergeCell ref="H3853:K3853"/>
    <mergeCell ref="D3856:E3856"/>
    <mergeCell ref="H3856:I3856"/>
    <mergeCell ref="D3857:E3857"/>
    <mergeCell ref="H3857:I3857"/>
    <mergeCell ref="D3858:E3858"/>
    <mergeCell ref="A3859:B3859"/>
    <mergeCell ref="D3859:E3859"/>
    <mergeCell ref="A3860:B3860"/>
    <mergeCell ref="D3860:E3860"/>
    <mergeCell ref="G3860:H3860"/>
    <mergeCell ref="A3833:C3833"/>
    <mergeCell ref="G3833:I3833"/>
    <mergeCell ref="A3840:C3840"/>
    <mergeCell ref="G3840:I3840"/>
    <mergeCell ref="J3840:K3840"/>
    <mergeCell ref="G3841:I3841"/>
    <mergeCell ref="J3841:K3841"/>
    <mergeCell ref="G3842:I3842"/>
    <mergeCell ref="J3842:K3842"/>
    <mergeCell ref="G3843:I3843"/>
    <mergeCell ref="J3843:K3843"/>
    <mergeCell ref="G3844:I3844"/>
    <mergeCell ref="J3844:K3844"/>
    <mergeCell ref="G3845:I3845"/>
    <mergeCell ref="J3845:K3845"/>
    <mergeCell ref="G3846:I3846"/>
    <mergeCell ref="J3846:K3846"/>
    <mergeCell ref="D3810:E3810"/>
    <mergeCell ref="H3810:I3810"/>
    <mergeCell ref="D3811:E3811"/>
    <mergeCell ref="H3811:I3811"/>
    <mergeCell ref="D3812:E3812"/>
    <mergeCell ref="A3813:B3813"/>
    <mergeCell ref="D3813:E3813"/>
    <mergeCell ref="A3814:B3814"/>
    <mergeCell ref="D3814:E3814"/>
    <mergeCell ref="G3814:H3814"/>
    <mergeCell ref="D3815:E3815"/>
    <mergeCell ref="G3815:H3815"/>
    <mergeCell ref="D3816:E3816"/>
    <mergeCell ref="G3816:H3816"/>
    <mergeCell ref="D3817:E3817"/>
    <mergeCell ref="A3822:L3823"/>
    <mergeCell ref="A3830:C3830"/>
    <mergeCell ref="G3830:I3830"/>
    <mergeCell ref="G3796:I3796"/>
    <mergeCell ref="J3796:K3796"/>
    <mergeCell ref="G3797:I3797"/>
    <mergeCell ref="J3797:K3797"/>
    <mergeCell ref="G3798:I3798"/>
    <mergeCell ref="J3798:K3798"/>
    <mergeCell ref="G3799:I3799"/>
    <mergeCell ref="J3799:K3799"/>
    <mergeCell ref="G3800:I3800"/>
    <mergeCell ref="J3800:K3800"/>
    <mergeCell ref="J3801:K3801"/>
    <mergeCell ref="J3802:K3802"/>
    <mergeCell ref="G3803:I3803"/>
    <mergeCell ref="J3803:K3803"/>
    <mergeCell ref="G3804:I3804"/>
    <mergeCell ref="J3804:K3804"/>
    <mergeCell ref="B3807:E3807"/>
    <mergeCell ref="H3807:K3807"/>
    <mergeCell ref="A3768:B3768"/>
    <mergeCell ref="D3768:E3768"/>
    <mergeCell ref="G3768:H3768"/>
    <mergeCell ref="D3769:E3769"/>
    <mergeCell ref="G3769:H3769"/>
    <mergeCell ref="D3770:E3770"/>
    <mergeCell ref="G3770:H3770"/>
    <mergeCell ref="D3771:E3771"/>
    <mergeCell ref="A3776:L3777"/>
    <mergeCell ref="A3784:C3784"/>
    <mergeCell ref="G3784:I3784"/>
    <mergeCell ref="A3787:C3787"/>
    <mergeCell ref="G3787:I3787"/>
    <mergeCell ref="A3794:C3794"/>
    <mergeCell ref="G3794:I3794"/>
    <mergeCell ref="J3794:K3794"/>
    <mergeCell ref="G3795:I3795"/>
    <mergeCell ref="J3795:K3795"/>
    <mergeCell ref="G3754:I3754"/>
    <mergeCell ref="J3754:K3754"/>
    <mergeCell ref="J3755:K3755"/>
    <mergeCell ref="J3756:K3756"/>
    <mergeCell ref="G3757:I3757"/>
    <mergeCell ref="J3757:K3757"/>
    <mergeCell ref="G3758:I3758"/>
    <mergeCell ref="J3758:K3758"/>
    <mergeCell ref="B3761:E3761"/>
    <mergeCell ref="H3761:K3761"/>
    <mergeCell ref="D3764:E3764"/>
    <mergeCell ref="H3764:I3764"/>
    <mergeCell ref="D3765:E3765"/>
    <mergeCell ref="H3765:I3765"/>
    <mergeCell ref="D3766:E3766"/>
    <mergeCell ref="A3767:B3767"/>
    <mergeCell ref="D3767:E3767"/>
    <mergeCell ref="A3730:L3731"/>
    <mergeCell ref="A3738:C3738"/>
    <mergeCell ref="G3738:I3738"/>
    <mergeCell ref="A3741:C3741"/>
    <mergeCell ref="G3741:I3741"/>
    <mergeCell ref="A3748:C3748"/>
    <mergeCell ref="G3748:I3748"/>
    <mergeCell ref="J3748:K3748"/>
    <mergeCell ref="G3749:I3749"/>
    <mergeCell ref="J3749:K3749"/>
    <mergeCell ref="G3750:I3750"/>
    <mergeCell ref="J3750:K3750"/>
    <mergeCell ref="G3751:I3751"/>
    <mergeCell ref="J3751:K3751"/>
    <mergeCell ref="G3752:I3752"/>
    <mergeCell ref="J3752:K3752"/>
    <mergeCell ref="G3753:I3753"/>
    <mergeCell ref="J3753:K3753"/>
    <mergeCell ref="D3674:E3674"/>
    <mergeCell ref="A3675:B3675"/>
    <mergeCell ref="D3675:E3675"/>
    <mergeCell ref="A3676:B3676"/>
    <mergeCell ref="D3676:E3676"/>
    <mergeCell ref="G3676:H3676"/>
    <mergeCell ref="D3677:E3677"/>
    <mergeCell ref="G3677:H3677"/>
    <mergeCell ref="D3678:E3678"/>
    <mergeCell ref="G3678:H3678"/>
    <mergeCell ref="D3679:E3679"/>
    <mergeCell ref="G3660:I3660"/>
    <mergeCell ref="J3660:K3660"/>
    <mergeCell ref="G3661:I3661"/>
    <mergeCell ref="J3661:K3661"/>
    <mergeCell ref="G3662:I3662"/>
    <mergeCell ref="J3662:K3662"/>
    <mergeCell ref="J3663:K3663"/>
    <mergeCell ref="J3664:K3664"/>
    <mergeCell ref="G3665:I3665"/>
    <mergeCell ref="J3665:K3665"/>
    <mergeCell ref="G3666:I3666"/>
    <mergeCell ref="J3666:K3666"/>
    <mergeCell ref="B3669:E3669"/>
    <mergeCell ref="H3669:K3669"/>
    <mergeCell ref="D3672:E3672"/>
    <mergeCell ref="H3672:I3672"/>
    <mergeCell ref="D3673:E3673"/>
    <mergeCell ref="H3673:I3673"/>
    <mergeCell ref="D3632:E3632"/>
    <mergeCell ref="G3632:H3632"/>
    <mergeCell ref="D3633:E3633"/>
    <mergeCell ref="A3638:L3639"/>
    <mergeCell ref="A3646:C3646"/>
    <mergeCell ref="G3646:I3646"/>
    <mergeCell ref="A3649:C3649"/>
    <mergeCell ref="G3649:I3649"/>
    <mergeCell ref="A3656:C3656"/>
    <mergeCell ref="G3656:I3656"/>
    <mergeCell ref="J3656:K3656"/>
    <mergeCell ref="G3657:I3657"/>
    <mergeCell ref="J3657:K3657"/>
    <mergeCell ref="G3658:I3658"/>
    <mergeCell ref="J3658:K3658"/>
    <mergeCell ref="G3659:I3659"/>
    <mergeCell ref="J3659:K3659"/>
    <mergeCell ref="G3619:I3619"/>
    <mergeCell ref="J3619:K3619"/>
    <mergeCell ref="G3620:I3620"/>
    <mergeCell ref="J3620:K3620"/>
    <mergeCell ref="B3623:E3623"/>
    <mergeCell ref="H3623:K3623"/>
    <mergeCell ref="D3626:E3626"/>
    <mergeCell ref="H3626:I3626"/>
    <mergeCell ref="D3627:E3627"/>
    <mergeCell ref="H3627:I3627"/>
    <mergeCell ref="D3628:E3628"/>
    <mergeCell ref="A3629:B3629"/>
    <mergeCell ref="D3629:E3629"/>
    <mergeCell ref="A3630:B3630"/>
    <mergeCell ref="D3630:E3630"/>
    <mergeCell ref="G3630:H3630"/>
    <mergeCell ref="D3631:E3631"/>
    <mergeCell ref="G3631:H3631"/>
    <mergeCell ref="A3610:C3610"/>
    <mergeCell ref="G3610:I3610"/>
    <mergeCell ref="J3610:K3610"/>
    <mergeCell ref="G3611:I3611"/>
    <mergeCell ref="J3611:K3611"/>
    <mergeCell ref="G3612:I3612"/>
    <mergeCell ref="J3612:K3612"/>
    <mergeCell ref="G3613:I3613"/>
    <mergeCell ref="J3613:K3613"/>
    <mergeCell ref="G3614:I3614"/>
    <mergeCell ref="J3614:K3614"/>
    <mergeCell ref="G3615:I3615"/>
    <mergeCell ref="J3615:K3615"/>
    <mergeCell ref="G3616:I3616"/>
    <mergeCell ref="J3616:K3616"/>
    <mergeCell ref="J3617:K3617"/>
    <mergeCell ref="J3618:K3618"/>
    <mergeCell ref="D3581:E3581"/>
    <mergeCell ref="H3581:I3581"/>
    <mergeCell ref="D3582:E3582"/>
    <mergeCell ref="A3583:B3583"/>
    <mergeCell ref="D3583:E3583"/>
    <mergeCell ref="A3584:B3584"/>
    <mergeCell ref="D3584:E3584"/>
    <mergeCell ref="G3584:H3584"/>
    <mergeCell ref="D3585:E3585"/>
    <mergeCell ref="G3585:H3585"/>
    <mergeCell ref="D3586:E3586"/>
    <mergeCell ref="G3586:H3586"/>
    <mergeCell ref="D3587:E3587"/>
    <mergeCell ref="A3592:L3593"/>
    <mergeCell ref="A3600:C3600"/>
    <mergeCell ref="G3600:I3600"/>
    <mergeCell ref="A3603:C3603"/>
    <mergeCell ref="G3603:I3603"/>
    <mergeCell ref="G3567:I3567"/>
    <mergeCell ref="J3567:K3567"/>
    <mergeCell ref="G3568:I3568"/>
    <mergeCell ref="J3568:K3568"/>
    <mergeCell ref="G3569:I3569"/>
    <mergeCell ref="J3569:K3569"/>
    <mergeCell ref="G3570:I3570"/>
    <mergeCell ref="J3570:K3570"/>
    <mergeCell ref="J3571:K3571"/>
    <mergeCell ref="J3572:K3572"/>
    <mergeCell ref="G3573:I3573"/>
    <mergeCell ref="J3573:K3573"/>
    <mergeCell ref="G3574:I3574"/>
    <mergeCell ref="J3574:K3574"/>
    <mergeCell ref="B3577:E3577"/>
    <mergeCell ref="H3577:K3577"/>
    <mergeCell ref="D3580:E3580"/>
    <mergeCell ref="H3580:I3580"/>
    <mergeCell ref="D3538:E3538"/>
    <mergeCell ref="G3538:H3538"/>
    <mergeCell ref="D3539:E3539"/>
    <mergeCell ref="G3539:H3539"/>
    <mergeCell ref="D3540:E3540"/>
    <mergeCell ref="A3546:L3547"/>
    <mergeCell ref="A3554:C3554"/>
    <mergeCell ref="G3554:I3554"/>
    <mergeCell ref="A3557:C3557"/>
    <mergeCell ref="G3557:I3557"/>
    <mergeCell ref="A3564:C3564"/>
    <mergeCell ref="G3564:I3564"/>
    <mergeCell ref="J3564:K3564"/>
    <mergeCell ref="G3565:I3565"/>
    <mergeCell ref="J3565:K3565"/>
    <mergeCell ref="G3566:I3566"/>
    <mergeCell ref="J3566:K3566"/>
    <mergeCell ref="J3524:K3524"/>
    <mergeCell ref="J3525:K3525"/>
    <mergeCell ref="G3526:I3526"/>
    <mergeCell ref="J3526:K3526"/>
    <mergeCell ref="G3527:I3527"/>
    <mergeCell ref="J3527:K3527"/>
    <mergeCell ref="B3530:E3530"/>
    <mergeCell ref="H3530:K3530"/>
    <mergeCell ref="D3533:E3533"/>
    <mergeCell ref="H3533:I3533"/>
    <mergeCell ref="D3534:E3534"/>
    <mergeCell ref="H3534:I3534"/>
    <mergeCell ref="D3535:E3535"/>
    <mergeCell ref="A3536:B3536"/>
    <mergeCell ref="D3536:E3536"/>
    <mergeCell ref="A3537:B3537"/>
    <mergeCell ref="D3537:E3537"/>
    <mergeCell ref="G3537:H3537"/>
    <mergeCell ref="A3510:C3510"/>
    <mergeCell ref="G3510:I3510"/>
    <mergeCell ref="A3517:C3517"/>
    <mergeCell ref="G3517:I3517"/>
    <mergeCell ref="J3517:K3517"/>
    <mergeCell ref="G3518:I3518"/>
    <mergeCell ref="J3518:K3518"/>
    <mergeCell ref="G3519:I3519"/>
    <mergeCell ref="J3519:K3519"/>
    <mergeCell ref="G3520:I3520"/>
    <mergeCell ref="J3520:K3520"/>
    <mergeCell ref="G3521:I3521"/>
    <mergeCell ref="J3521:K3521"/>
    <mergeCell ref="G3522:I3522"/>
    <mergeCell ref="J3522:K3522"/>
    <mergeCell ref="G3523:I3523"/>
    <mergeCell ref="J3523:K3523"/>
    <mergeCell ref="D3487:E3487"/>
    <mergeCell ref="H3487:I3487"/>
    <mergeCell ref="D3488:E3488"/>
    <mergeCell ref="H3488:I3488"/>
    <mergeCell ref="D3489:E3489"/>
    <mergeCell ref="A3490:B3490"/>
    <mergeCell ref="D3490:E3490"/>
    <mergeCell ref="A3491:B3491"/>
    <mergeCell ref="D3491:E3491"/>
    <mergeCell ref="G3491:H3491"/>
    <mergeCell ref="D3492:E3492"/>
    <mergeCell ref="G3492:H3492"/>
    <mergeCell ref="D3493:E3493"/>
    <mergeCell ref="G3493:H3493"/>
    <mergeCell ref="D3494:E3494"/>
    <mergeCell ref="A3499:L3500"/>
    <mergeCell ref="A3507:C3507"/>
    <mergeCell ref="G3507:I3507"/>
    <mergeCell ref="G3473:I3473"/>
    <mergeCell ref="J3473:K3473"/>
    <mergeCell ref="G3474:I3474"/>
    <mergeCell ref="J3474:K3474"/>
    <mergeCell ref="G3475:I3475"/>
    <mergeCell ref="J3475:K3475"/>
    <mergeCell ref="G3476:I3476"/>
    <mergeCell ref="J3476:K3476"/>
    <mergeCell ref="G3477:I3477"/>
    <mergeCell ref="J3477:K3477"/>
    <mergeCell ref="J3478:K3478"/>
    <mergeCell ref="J3479:K3479"/>
    <mergeCell ref="G3480:I3480"/>
    <mergeCell ref="J3480:K3480"/>
    <mergeCell ref="G3481:I3481"/>
    <mergeCell ref="J3481:K3481"/>
    <mergeCell ref="B3484:E3484"/>
    <mergeCell ref="H3484:K3484"/>
    <mergeCell ref="A3445:B3445"/>
    <mergeCell ref="D3445:E3445"/>
    <mergeCell ref="G3445:H3445"/>
    <mergeCell ref="D3446:E3446"/>
    <mergeCell ref="G3446:H3446"/>
    <mergeCell ref="D3447:E3447"/>
    <mergeCell ref="G3447:H3447"/>
    <mergeCell ref="D3448:E3448"/>
    <mergeCell ref="A3453:L3454"/>
    <mergeCell ref="A3461:C3461"/>
    <mergeCell ref="G3461:I3461"/>
    <mergeCell ref="A3464:C3464"/>
    <mergeCell ref="G3464:I3464"/>
    <mergeCell ref="A3471:C3471"/>
    <mergeCell ref="G3471:I3471"/>
    <mergeCell ref="J3471:K3471"/>
    <mergeCell ref="G3472:I3472"/>
    <mergeCell ref="J3472:K3472"/>
    <mergeCell ref="G3431:I3431"/>
    <mergeCell ref="J3431:K3431"/>
    <mergeCell ref="J3432:K3432"/>
    <mergeCell ref="J3433:K3433"/>
    <mergeCell ref="G3434:I3434"/>
    <mergeCell ref="J3434:K3434"/>
    <mergeCell ref="G3435:I3435"/>
    <mergeCell ref="J3435:K3435"/>
    <mergeCell ref="B3438:E3438"/>
    <mergeCell ref="H3438:K3438"/>
    <mergeCell ref="D3441:E3441"/>
    <mergeCell ref="H3441:I3441"/>
    <mergeCell ref="D3442:E3442"/>
    <mergeCell ref="H3442:I3442"/>
    <mergeCell ref="D3443:E3443"/>
    <mergeCell ref="A3444:B3444"/>
    <mergeCell ref="D3444:E3444"/>
    <mergeCell ref="A3407:L3408"/>
    <mergeCell ref="A3415:C3415"/>
    <mergeCell ref="G3415:I3415"/>
    <mergeCell ref="A3418:C3418"/>
    <mergeCell ref="G3418:I3418"/>
    <mergeCell ref="A3425:C3425"/>
    <mergeCell ref="G3425:I3425"/>
    <mergeCell ref="J3425:K3425"/>
    <mergeCell ref="G3426:I3426"/>
    <mergeCell ref="J3426:K3426"/>
    <mergeCell ref="G3427:I3427"/>
    <mergeCell ref="J3427:K3427"/>
    <mergeCell ref="G3428:I3428"/>
    <mergeCell ref="J3428:K3428"/>
    <mergeCell ref="G3429:I3429"/>
    <mergeCell ref="J3429:K3429"/>
    <mergeCell ref="G3430:I3430"/>
    <mergeCell ref="J3430:K3430"/>
    <mergeCell ref="A3169:B3169"/>
    <mergeCell ref="D3169:E3169"/>
    <mergeCell ref="G3169:H3169"/>
    <mergeCell ref="D3170:E3170"/>
    <mergeCell ref="G3170:H3170"/>
    <mergeCell ref="D3171:E3171"/>
    <mergeCell ref="G3171:H3171"/>
    <mergeCell ref="D3172:E3172"/>
    <mergeCell ref="G3155:I3155"/>
    <mergeCell ref="J3155:K3155"/>
    <mergeCell ref="J3156:K3156"/>
    <mergeCell ref="J3157:K3157"/>
    <mergeCell ref="G3158:I3158"/>
    <mergeCell ref="J3158:K3158"/>
    <mergeCell ref="G3159:I3159"/>
    <mergeCell ref="J3159:K3159"/>
    <mergeCell ref="B3162:E3162"/>
    <mergeCell ref="H3162:K3162"/>
    <mergeCell ref="D3165:E3165"/>
    <mergeCell ref="H3165:I3165"/>
    <mergeCell ref="D3166:E3166"/>
    <mergeCell ref="H3166:I3166"/>
    <mergeCell ref="D3167:E3167"/>
    <mergeCell ref="A3168:B3168"/>
    <mergeCell ref="D3168:E3168"/>
    <mergeCell ref="A3131:L3132"/>
    <mergeCell ref="A3139:C3139"/>
    <mergeCell ref="G3139:I3139"/>
    <mergeCell ref="A3142:C3142"/>
    <mergeCell ref="G3142:I3142"/>
    <mergeCell ref="A3149:C3149"/>
    <mergeCell ref="G3149:I3149"/>
    <mergeCell ref="J3149:K3149"/>
    <mergeCell ref="G3150:I3150"/>
    <mergeCell ref="J3150:K3150"/>
    <mergeCell ref="G3151:I3151"/>
    <mergeCell ref="J3151:K3151"/>
    <mergeCell ref="G3152:I3152"/>
    <mergeCell ref="J3152:K3152"/>
    <mergeCell ref="G3153:I3153"/>
    <mergeCell ref="J3153:K3153"/>
    <mergeCell ref="G3154:I3154"/>
    <mergeCell ref="J3154:K3154"/>
    <mergeCell ref="D3125:E3125"/>
    <mergeCell ref="G3125:H3125"/>
    <mergeCell ref="D3126:E3126"/>
    <mergeCell ref="G3112:I3112"/>
    <mergeCell ref="J3112:K3112"/>
    <mergeCell ref="G3113:I3113"/>
    <mergeCell ref="J3113:K3113"/>
    <mergeCell ref="B3116:E3116"/>
    <mergeCell ref="H3116:K3116"/>
    <mergeCell ref="D3119:E3119"/>
    <mergeCell ref="H3119:I3119"/>
    <mergeCell ref="D3120:E3120"/>
    <mergeCell ref="H3120:I3120"/>
    <mergeCell ref="D3121:E3121"/>
    <mergeCell ref="A3122:B3122"/>
    <mergeCell ref="D3122:E3122"/>
    <mergeCell ref="A3123:B3123"/>
    <mergeCell ref="D3123:E3123"/>
    <mergeCell ref="G3123:H3123"/>
    <mergeCell ref="D3124:E3124"/>
    <mergeCell ref="G3124:H3124"/>
    <mergeCell ref="A3103:C3103"/>
    <mergeCell ref="G3103:I3103"/>
    <mergeCell ref="J3103:K3103"/>
    <mergeCell ref="G3104:I3104"/>
    <mergeCell ref="J3104:K3104"/>
    <mergeCell ref="G3105:I3105"/>
    <mergeCell ref="J3105:K3105"/>
    <mergeCell ref="G3106:I3106"/>
    <mergeCell ref="J3106:K3106"/>
    <mergeCell ref="G3107:I3107"/>
    <mergeCell ref="J3107:K3107"/>
    <mergeCell ref="G3108:I3108"/>
    <mergeCell ref="J3108:K3108"/>
    <mergeCell ref="G3109:I3109"/>
    <mergeCell ref="J3109:K3109"/>
    <mergeCell ref="J3110:K3110"/>
    <mergeCell ref="J3111:K3111"/>
    <mergeCell ref="D3074:E3074"/>
    <mergeCell ref="H3074:I3074"/>
    <mergeCell ref="D3075:E3075"/>
    <mergeCell ref="A3076:B3076"/>
    <mergeCell ref="D3076:E3076"/>
    <mergeCell ref="A3077:B3077"/>
    <mergeCell ref="D3077:E3077"/>
    <mergeCell ref="G3077:H3077"/>
    <mergeCell ref="D3078:E3078"/>
    <mergeCell ref="G3078:H3078"/>
    <mergeCell ref="D3079:E3079"/>
    <mergeCell ref="G3079:H3079"/>
    <mergeCell ref="D3080:E3080"/>
    <mergeCell ref="A3085:L3086"/>
    <mergeCell ref="A3093:C3093"/>
    <mergeCell ref="G3093:I3093"/>
    <mergeCell ref="A3096:C3096"/>
    <mergeCell ref="G3096:I3096"/>
    <mergeCell ref="G3060:I3060"/>
    <mergeCell ref="J3060:K3060"/>
    <mergeCell ref="G3061:I3061"/>
    <mergeCell ref="J3061:K3061"/>
    <mergeCell ref="G3062:I3062"/>
    <mergeCell ref="J3062:K3062"/>
    <mergeCell ref="G3063:I3063"/>
    <mergeCell ref="J3063:K3063"/>
    <mergeCell ref="J3064:K3064"/>
    <mergeCell ref="J3065:K3065"/>
    <mergeCell ref="G3066:I3066"/>
    <mergeCell ref="J3066:K3066"/>
    <mergeCell ref="G3067:I3067"/>
    <mergeCell ref="J3067:K3067"/>
    <mergeCell ref="B3070:E3070"/>
    <mergeCell ref="H3070:K3070"/>
    <mergeCell ref="D3073:E3073"/>
    <mergeCell ref="H3073:I3073"/>
    <mergeCell ref="D3032:E3032"/>
    <mergeCell ref="G3032:H3032"/>
    <mergeCell ref="D3033:E3033"/>
    <mergeCell ref="G3033:H3033"/>
    <mergeCell ref="D3034:E3034"/>
    <mergeCell ref="A3039:L3040"/>
    <mergeCell ref="A3047:C3047"/>
    <mergeCell ref="G3047:I3047"/>
    <mergeCell ref="A3050:C3050"/>
    <mergeCell ref="G3050:I3050"/>
    <mergeCell ref="A3057:C3057"/>
    <mergeCell ref="G3057:I3057"/>
    <mergeCell ref="J3057:K3057"/>
    <mergeCell ref="G3058:I3058"/>
    <mergeCell ref="J3058:K3058"/>
    <mergeCell ref="G3059:I3059"/>
    <mergeCell ref="J3059:K3059"/>
    <mergeCell ref="J3018:K3018"/>
    <mergeCell ref="J3019:K3019"/>
    <mergeCell ref="G3020:I3020"/>
    <mergeCell ref="J3020:K3020"/>
    <mergeCell ref="G3021:I3021"/>
    <mergeCell ref="J3021:K3021"/>
    <mergeCell ref="B3024:E3024"/>
    <mergeCell ref="H3024:K3024"/>
    <mergeCell ref="D3027:E3027"/>
    <mergeCell ref="H3027:I3027"/>
    <mergeCell ref="D3028:E3028"/>
    <mergeCell ref="H3028:I3028"/>
    <mergeCell ref="D3029:E3029"/>
    <mergeCell ref="A3030:B3030"/>
    <mergeCell ref="D3030:E3030"/>
    <mergeCell ref="A3031:B3031"/>
    <mergeCell ref="D3031:E3031"/>
    <mergeCell ref="G3031:H3031"/>
    <mergeCell ref="A3004:C3004"/>
    <mergeCell ref="G3004:I3004"/>
    <mergeCell ref="A3011:C3011"/>
    <mergeCell ref="G3011:I3011"/>
    <mergeCell ref="J3011:K3011"/>
    <mergeCell ref="G3012:I3012"/>
    <mergeCell ref="J3012:K3012"/>
    <mergeCell ref="G3013:I3013"/>
    <mergeCell ref="J3013:K3013"/>
    <mergeCell ref="G3014:I3014"/>
    <mergeCell ref="J3014:K3014"/>
    <mergeCell ref="G3015:I3015"/>
    <mergeCell ref="J3015:K3015"/>
    <mergeCell ref="G3016:I3016"/>
    <mergeCell ref="J3016:K3016"/>
    <mergeCell ref="G3017:I3017"/>
    <mergeCell ref="J3017:K3017"/>
    <mergeCell ref="D2980:E2980"/>
    <mergeCell ref="H2980:I2980"/>
    <mergeCell ref="D2981:E2981"/>
    <mergeCell ref="H2981:I2981"/>
    <mergeCell ref="D2982:E2982"/>
    <mergeCell ref="A2983:B2983"/>
    <mergeCell ref="D2983:E2983"/>
    <mergeCell ref="A2984:B2984"/>
    <mergeCell ref="D2984:E2984"/>
    <mergeCell ref="G2984:H2984"/>
    <mergeCell ref="D2985:E2985"/>
    <mergeCell ref="G2985:H2985"/>
    <mergeCell ref="D2986:E2986"/>
    <mergeCell ref="G2986:H2986"/>
    <mergeCell ref="D2987:E2987"/>
    <mergeCell ref="A2993:L2994"/>
    <mergeCell ref="A3001:C3001"/>
    <mergeCell ref="G3001:I3001"/>
    <mergeCell ref="G2966:I2966"/>
    <mergeCell ref="J2966:K2966"/>
    <mergeCell ref="G2967:I2967"/>
    <mergeCell ref="J2967:K2967"/>
    <mergeCell ref="G2968:I2968"/>
    <mergeCell ref="J2968:K2968"/>
    <mergeCell ref="G2969:I2969"/>
    <mergeCell ref="J2969:K2969"/>
    <mergeCell ref="G2970:I2970"/>
    <mergeCell ref="J2970:K2970"/>
    <mergeCell ref="J2971:K2971"/>
    <mergeCell ref="J2972:K2972"/>
    <mergeCell ref="G2973:I2973"/>
    <mergeCell ref="J2973:K2973"/>
    <mergeCell ref="G2974:I2974"/>
    <mergeCell ref="J2974:K2974"/>
    <mergeCell ref="B2977:E2977"/>
    <mergeCell ref="H2977:K2977"/>
    <mergeCell ref="A2938:B2938"/>
    <mergeCell ref="D2938:E2938"/>
    <mergeCell ref="G2938:H2938"/>
    <mergeCell ref="D2939:E2939"/>
    <mergeCell ref="G2939:H2939"/>
    <mergeCell ref="D2940:E2940"/>
    <mergeCell ref="G2940:H2940"/>
    <mergeCell ref="D2941:E2941"/>
    <mergeCell ref="A2946:L2947"/>
    <mergeCell ref="A2954:C2954"/>
    <mergeCell ref="G2954:I2954"/>
    <mergeCell ref="A2957:C2957"/>
    <mergeCell ref="G2957:I2957"/>
    <mergeCell ref="A2964:C2964"/>
    <mergeCell ref="G2964:I2964"/>
    <mergeCell ref="J2964:K2964"/>
    <mergeCell ref="G2965:I2965"/>
    <mergeCell ref="J2965:K2965"/>
    <mergeCell ref="G2924:I2924"/>
    <mergeCell ref="J2924:K2924"/>
    <mergeCell ref="J2925:K2925"/>
    <mergeCell ref="J2926:K2926"/>
    <mergeCell ref="G2927:I2927"/>
    <mergeCell ref="J2927:K2927"/>
    <mergeCell ref="G2928:I2928"/>
    <mergeCell ref="J2928:K2928"/>
    <mergeCell ref="B2931:E2931"/>
    <mergeCell ref="H2931:K2931"/>
    <mergeCell ref="D2934:E2934"/>
    <mergeCell ref="H2934:I2934"/>
    <mergeCell ref="D2935:E2935"/>
    <mergeCell ref="H2935:I2935"/>
    <mergeCell ref="D2936:E2936"/>
    <mergeCell ref="A2937:B2937"/>
    <mergeCell ref="D2937:E2937"/>
    <mergeCell ref="A2900:L2901"/>
    <mergeCell ref="A2908:C2908"/>
    <mergeCell ref="G2908:I2908"/>
    <mergeCell ref="A2911:C2911"/>
    <mergeCell ref="G2911:I2911"/>
    <mergeCell ref="A2918:C2918"/>
    <mergeCell ref="G2918:I2918"/>
    <mergeCell ref="J2918:K2918"/>
    <mergeCell ref="G2919:I2919"/>
    <mergeCell ref="J2919:K2919"/>
    <mergeCell ref="G2920:I2920"/>
    <mergeCell ref="J2920:K2920"/>
    <mergeCell ref="G2921:I2921"/>
    <mergeCell ref="J2921:K2921"/>
    <mergeCell ref="G2922:I2922"/>
    <mergeCell ref="J2922:K2922"/>
    <mergeCell ref="G2923:I2923"/>
    <mergeCell ref="J2923:K2923"/>
    <mergeCell ref="D2618:E2618"/>
    <mergeCell ref="G2618:H2618"/>
    <mergeCell ref="D2619:E2619"/>
    <mergeCell ref="G2605:I2605"/>
    <mergeCell ref="J2605:K2605"/>
    <mergeCell ref="G2606:I2606"/>
    <mergeCell ref="J2606:K2606"/>
    <mergeCell ref="B2609:E2609"/>
    <mergeCell ref="H2609:K2609"/>
    <mergeCell ref="D2612:E2612"/>
    <mergeCell ref="H2612:I2612"/>
    <mergeCell ref="D2613:E2613"/>
    <mergeCell ref="H2613:I2613"/>
    <mergeCell ref="D2614:E2614"/>
    <mergeCell ref="A2615:B2615"/>
    <mergeCell ref="D2615:E2615"/>
    <mergeCell ref="A2616:B2616"/>
    <mergeCell ref="D2616:E2616"/>
    <mergeCell ref="G2616:H2616"/>
    <mergeCell ref="D2617:E2617"/>
    <mergeCell ref="G2617:H2617"/>
    <mergeCell ref="A2596:C2596"/>
    <mergeCell ref="G2596:I2596"/>
    <mergeCell ref="J2596:K2596"/>
    <mergeCell ref="G2597:I2597"/>
    <mergeCell ref="J2597:K2597"/>
    <mergeCell ref="G2598:I2598"/>
    <mergeCell ref="J2598:K2598"/>
    <mergeCell ref="G2599:I2599"/>
    <mergeCell ref="J2599:K2599"/>
    <mergeCell ref="G2600:I2600"/>
    <mergeCell ref="J2600:K2600"/>
    <mergeCell ref="G2601:I2601"/>
    <mergeCell ref="J2601:K2601"/>
    <mergeCell ref="G2602:I2602"/>
    <mergeCell ref="J2602:K2602"/>
    <mergeCell ref="J2603:K2603"/>
    <mergeCell ref="J2604:K2604"/>
    <mergeCell ref="D2567:E2567"/>
    <mergeCell ref="H2567:I2567"/>
    <mergeCell ref="D2568:E2568"/>
    <mergeCell ref="A2569:B2569"/>
    <mergeCell ref="D2569:E2569"/>
    <mergeCell ref="A2570:B2570"/>
    <mergeCell ref="D2570:E2570"/>
    <mergeCell ref="G2570:H2570"/>
    <mergeCell ref="D2571:E2571"/>
    <mergeCell ref="G2571:H2571"/>
    <mergeCell ref="D2572:E2572"/>
    <mergeCell ref="G2572:H2572"/>
    <mergeCell ref="D2573:E2573"/>
    <mergeCell ref="A2578:L2579"/>
    <mergeCell ref="A2586:C2586"/>
    <mergeCell ref="G2586:I2586"/>
    <mergeCell ref="A2589:C2589"/>
    <mergeCell ref="G2589:I2589"/>
    <mergeCell ref="G2553:I2553"/>
    <mergeCell ref="J2553:K2553"/>
    <mergeCell ref="G2554:I2554"/>
    <mergeCell ref="J2554:K2554"/>
    <mergeCell ref="G2555:I2555"/>
    <mergeCell ref="J2555:K2555"/>
    <mergeCell ref="G2556:I2556"/>
    <mergeCell ref="J2556:K2556"/>
    <mergeCell ref="J2557:K2557"/>
    <mergeCell ref="J2558:K2558"/>
    <mergeCell ref="G2559:I2559"/>
    <mergeCell ref="J2559:K2559"/>
    <mergeCell ref="G2560:I2560"/>
    <mergeCell ref="J2560:K2560"/>
    <mergeCell ref="B2563:E2563"/>
    <mergeCell ref="H2563:K2563"/>
    <mergeCell ref="D2566:E2566"/>
    <mergeCell ref="H2566:I2566"/>
    <mergeCell ref="D2525:E2525"/>
    <mergeCell ref="G2525:H2525"/>
    <mergeCell ref="D2526:E2526"/>
    <mergeCell ref="G2526:H2526"/>
    <mergeCell ref="D2527:E2527"/>
    <mergeCell ref="A2532:L2533"/>
    <mergeCell ref="A2540:C2540"/>
    <mergeCell ref="G2540:I2540"/>
    <mergeCell ref="A2543:C2543"/>
    <mergeCell ref="G2543:I2543"/>
    <mergeCell ref="A2550:C2550"/>
    <mergeCell ref="G2550:I2550"/>
    <mergeCell ref="J2550:K2550"/>
    <mergeCell ref="G2551:I2551"/>
    <mergeCell ref="J2551:K2551"/>
    <mergeCell ref="G2552:I2552"/>
    <mergeCell ref="J2552:K2552"/>
    <mergeCell ref="J2511:K2511"/>
    <mergeCell ref="J2512:K2512"/>
    <mergeCell ref="G2513:I2513"/>
    <mergeCell ref="J2513:K2513"/>
    <mergeCell ref="G2514:I2514"/>
    <mergeCell ref="J2514:K2514"/>
    <mergeCell ref="B2517:E2517"/>
    <mergeCell ref="H2517:K2517"/>
    <mergeCell ref="D2520:E2520"/>
    <mergeCell ref="H2520:I2520"/>
    <mergeCell ref="D2521:E2521"/>
    <mergeCell ref="H2521:I2521"/>
    <mergeCell ref="D2522:E2522"/>
    <mergeCell ref="A2523:B2523"/>
    <mergeCell ref="D2523:E2523"/>
    <mergeCell ref="A2524:B2524"/>
    <mergeCell ref="D2524:E2524"/>
    <mergeCell ref="G2524:H2524"/>
    <mergeCell ref="A2497:C2497"/>
    <mergeCell ref="G2497:I2497"/>
    <mergeCell ref="A2504:C2504"/>
    <mergeCell ref="G2504:I2504"/>
    <mergeCell ref="J2504:K2504"/>
    <mergeCell ref="G2505:I2505"/>
    <mergeCell ref="J2505:K2505"/>
    <mergeCell ref="G2506:I2506"/>
    <mergeCell ref="J2506:K2506"/>
    <mergeCell ref="G2507:I2507"/>
    <mergeCell ref="J2507:K2507"/>
    <mergeCell ref="G2508:I2508"/>
    <mergeCell ref="J2508:K2508"/>
    <mergeCell ref="G2509:I2509"/>
    <mergeCell ref="J2509:K2509"/>
    <mergeCell ref="G2510:I2510"/>
    <mergeCell ref="J2510:K2510"/>
    <mergeCell ref="D2474:E2474"/>
    <mergeCell ref="H2474:I2474"/>
    <mergeCell ref="D2475:E2475"/>
    <mergeCell ref="H2475:I2475"/>
    <mergeCell ref="D2476:E2476"/>
    <mergeCell ref="A2477:B2477"/>
    <mergeCell ref="D2477:E2477"/>
    <mergeCell ref="A2478:B2478"/>
    <mergeCell ref="D2478:E2478"/>
    <mergeCell ref="G2478:H2478"/>
    <mergeCell ref="D2479:E2479"/>
    <mergeCell ref="G2479:H2479"/>
    <mergeCell ref="D2480:E2480"/>
    <mergeCell ref="G2480:H2480"/>
    <mergeCell ref="D2481:E2481"/>
    <mergeCell ref="A2486:L2487"/>
    <mergeCell ref="A2494:C2494"/>
    <mergeCell ref="G2494:I2494"/>
    <mergeCell ref="G2460:I2460"/>
    <mergeCell ref="J2460:K2460"/>
    <mergeCell ref="G2461:I2461"/>
    <mergeCell ref="J2461:K2461"/>
    <mergeCell ref="G2462:I2462"/>
    <mergeCell ref="J2462:K2462"/>
    <mergeCell ref="G2463:I2463"/>
    <mergeCell ref="J2463:K2463"/>
    <mergeCell ref="G2464:I2464"/>
    <mergeCell ref="J2464:K2464"/>
    <mergeCell ref="J2465:K2465"/>
    <mergeCell ref="J2466:K2466"/>
    <mergeCell ref="G2467:I2467"/>
    <mergeCell ref="J2467:K2467"/>
    <mergeCell ref="G2468:I2468"/>
    <mergeCell ref="J2468:K2468"/>
    <mergeCell ref="B2471:E2471"/>
    <mergeCell ref="H2471:K2471"/>
    <mergeCell ref="A2432:B2432"/>
    <mergeCell ref="D2432:E2432"/>
    <mergeCell ref="G2432:H2432"/>
    <mergeCell ref="D2433:E2433"/>
    <mergeCell ref="G2433:H2433"/>
    <mergeCell ref="D2434:E2434"/>
    <mergeCell ref="G2434:H2434"/>
    <mergeCell ref="D2435:E2435"/>
    <mergeCell ref="A2440:L2441"/>
    <mergeCell ref="A2448:C2448"/>
    <mergeCell ref="G2448:I2448"/>
    <mergeCell ref="A2451:C2451"/>
    <mergeCell ref="G2451:I2451"/>
    <mergeCell ref="A2458:C2458"/>
    <mergeCell ref="G2458:I2458"/>
    <mergeCell ref="J2458:K2458"/>
    <mergeCell ref="G2459:I2459"/>
    <mergeCell ref="J2459:K2459"/>
    <mergeCell ref="G2418:I2418"/>
    <mergeCell ref="J2418:K2418"/>
    <mergeCell ref="J2419:K2419"/>
    <mergeCell ref="J2420:K2420"/>
    <mergeCell ref="G2421:I2421"/>
    <mergeCell ref="J2421:K2421"/>
    <mergeCell ref="G2422:I2422"/>
    <mergeCell ref="J2422:K2422"/>
    <mergeCell ref="B2425:E2425"/>
    <mergeCell ref="H2425:K2425"/>
    <mergeCell ref="D2428:E2428"/>
    <mergeCell ref="H2428:I2428"/>
    <mergeCell ref="D2429:E2429"/>
    <mergeCell ref="H2429:I2429"/>
    <mergeCell ref="D2430:E2430"/>
    <mergeCell ref="A2431:B2431"/>
    <mergeCell ref="D2431:E2431"/>
    <mergeCell ref="A2394:L2395"/>
    <mergeCell ref="A2402:C2402"/>
    <mergeCell ref="G2402:I2402"/>
    <mergeCell ref="A2405:C2405"/>
    <mergeCell ref="G2405:I2405"/>
    <mergeCell ref="A2412:C2412"/>
    <mergeCell ref="G2412:I2412"/>
    <mergeCell ref="J2412:K2412"/>
    <mergeCell ref="G2413:I2413"/>
    <mergeCell ref="J2413:K2413"/>
    <mergeCell ref="G2414:I2414"/>
    <mergeCell ref="J2414:K2414"/>
    <mergeCell ref="G2415:I2415"/>
    <mergeCell ref="J2415:K2415"/>
    <mergeCell ref="G2416:I2416"/>
    <mergeCell ref="J2416:K2416"/>
    <mergeCell ref="G2417:I2417"/>
    <mergeCell ref="J2417:K2417"/>
    <mergeCell ref="A2156:B2156"/>
    <mergeCell ref="D2156:E2156"/>
    <mergeCell ref="G2156:H2156"/>
    <mergeCell ref="D2157:E2157"/>
    <mergeCell ref="G2157:H2157"/>
    <mergeCell ref="D2158:E2158"/>
    <mergeCell ref="G2158:H2158"/>
    <mergeCell ref="D2159:E2159"/>
    <mergeCell ref="G2142:I2142"/>
    <mergeCell ref="J2142:K2142"/>
    <mergeCell ref="J2143:K2143"/>
    <mergeCell ref="J2144:K2144"/>
    <mergeCell ref="G2145:I2145"/>
    <mergeCell ref="J2145:K2145"/>
    <mergeCell ref="G2146:I2146"/>
    <mergeCell ref="J2146:K2146"/>
    <mergeCell ref="B2149:E2149"/>
    <mergeCell ref="H2149:K2149"/>
    <mergeCell ref="D2152:E2152"/>
    <mergeCell ref="H2152:I2152"/>
    <mergeCell ref="D2153:E2153"/>
    <mergeCell ref="H2153:I2153"/>
    <mergeCell ref="D2154:E2154"/>
    <mergeCell ref="A2155:B2155"/>
    <mergeCell ref="D2155:E2155"/>
    <mergeCell ref="A2118:L2119"/>
    <mergeCell ref="A2126:C2126"/>
    <mergeCell ref="G2126:I2126"/>
    <mergeCell ref="A2129:C2129"/>
    <mergeCell ref="G2129:I2129"/>
    <mergeCell ref="A2136:C2136"/>
    <mergeCell ref="G2136:I2136"/>
    <mergeCell ref="J2136:K2136"/>
    <mergeCell ref="G2137:I2137"/>
    <mergeCell ref="J2137:K2137"/>
    <mergeCell ref="G2138:I2138"/>
    <mergeCell ref="J2138:K2138"/>
    <mergeCell ref="G2139:I2139"/>
    <mergeCell ref="J2139:K2139"/>
    <mergeCell ref="G2140:I2140"/>
    <mergeCell ref="J2140:K2140"/>
    <mergeCell ref="G2141:I2141"/>
    <mergeCell ref="J2141:K2141"/>
    <mergeCell ref="A1464:B1464"/>
    <mergeCell ref="D1464:E1464"/>
    <mergeCell ref="G1464:H1464"/>
    <mergeCell ref="D1465:E1465"/>
    <mergeCell ref="G1465:H1465"/>
    <mergeCell ref="D1466:E1466"/>
    <mergeCell ref="G1466:H1466"/>
    <mergeCell ref="D1467:E1467"/>
    <mergeCell ref="G1450:I1450"/>
    <mergeCell ref="J1450:K1450"/>
    <mergeCell ref="J1451:K1451"/>
    <mergeCell ref="J1452:K1452"/>
    <mergeCell ref="G1453:I1453"/>
    <mergeCell ref="J1453:K1453"/>
    <mergeCell ref="G1454:I1454"/>
    <mergeCell ref="J1454:K1454"/>
    <mergeCell ref="B1457:E1457"/>
    <mergeCell ref="H1457:K1457"/>
    <mergeCell ref="D1460:E1460"/>
    <mergeCell ref="H1460:I1460"/>
    <mergeCell ref="D1461:E1461"/>
    <mergeCell ref="H1461:I1461"/>
    <mergeCell ref="D1462:E1462"/>
    <mergeCell ref="A1463:B1463"/>
    <mergeCell ref="D1463:E1463"/>
    <mergeCell ref="A1426:L1427"/>
    <mergeCell ref="A1434:C1434"/>
    <mergeCell ref="G1434:I1434"/>
    <mergeCell ref="A1437:C1437"/>
    <mergeCell ref="G1437:I1437"/>
    <mergeCell ref="A1444:C1444"/>
    <mergeCell ref="G1444:I1444"/>
    <mergeCell ref="J1444:K1444"/>
    <mergeCell ref="G1445:I1445"/>
    <mergeCell ref="J1445:K1445"/>
    <mergeCell ref="G1446:I1446"/>
    <mergeCell ref="J1446:K1446"/>
    <mergeCell ref="G1447:I1447"/>
    <mergeCell ref="J1447:K1447"/>
    <mergeCell ref="G1448:I1448"/>
    <mergeCell ref="J1448:K1448"/>
    <mergeCell ref="G1449:I1449"/>
    <mergeCell ref="J1449:K1449"/>
    <mergeCell ref="D1415:E1415"/>
    <mergeCell ref="H1415:I1415"/>
    <mergeCell ref="D1416:E1416"/>
    <mergeCell ref="A1417:B1417"/>
    <mergeCell ref="D1417:E1417"/>
    <mergeCell ref="A1418:B1418"/>
    <mergeCell ref="D1418:E1418"/>
    <mergeCell ref="G1418:H1418"/>
    <mergeCell ref="D1419:E1419"/>
    <mergeCell ref="G1419:H1419"/>
    <mergeCell ref="D1420:E1420"/>
    <mergeCell ref="G1420:H1420"/>
    <mergeCell ref="D1421:E1421"/>
    <mergeCell ref="G1401:I1401"/>
    <mergeCell ref="J1401:K1401"/>
    <mergeCell ref="G1402:I1402"/>
    <mergeCell ref="J1402:K1402"/>
    <mergeCell ref="G1403:I1403"/>
    <mergeCell ref="J1403:K1403"/>
    <mergeCell ref="G1404:I1404"/>
    <mergeCell ref="J1404:K1404"/>
    <mergeCell ref="J1405:K1405"/>
    <mergeCell ref="J1406:K1406"/>
    <mergeCell ref="G1407:I1407"/>
    <mergeCell ref="J1407:K1407"/>
    <mergeCell ref="G1408:I1408"/>
    <mergeCell ref="J1408:K1408"/>
    <mergeCell ref="B1411:E1411"/>
    <mergeCell ref="H1411:K1411"/>
    <mergeCell ref="D1414:E1414"/>
    <mergeCell ref="H1414:I1414"/>
    <mergeCell ref="D1373:E1373"/>
    <mergeCell ref="G1373:H1373"/>
    <mergeCell ref="D1374:E1374"/>
    <mergeCell ref="G1374:H1374"/>
    <mergeCell ref="D1375:E1375"/>
    <mergeCell ref="A1380:L1381"/>
    <mergeCell ref="A1388:C1388"/>
    <mergeCell ref="G1388:I1388"/>
    <mergeCell ref="A1391:C1391"/>
    <mergeCell ref="G1391:I1391"/>
    <mergeCell ref="A1398:C1398"/>
    <mergeCell ref="G1398:I1398"/>
    <mergeCell ref="J1398:K1398"/>
    <mergeCell ref="G1399:I1399"/>
    <mergeCell ref="J1399:K1399"/>
    <mergeCell ref="G1400:I1400"/>
    <mergeCell ref="J1400:K1400"/>
    <mergeCell ref="J1359:K1359"/>
    <mergeCell ref="J1360:K1360"/>
    <mergeCell ref="G1361:I1361"/>
    <mergeCell ref="J1361:K1361"/>
    <mergeCell ref="G1362:I1362"/>
    <mergeCell ref="J1362:K1362"/>
    <mergeCell ref="B1365:E1365"/>
    <mergeCell ref="H1365:K1365"/>
    <mergeCell ref="D1368:E1368"/>
    <mergeCell ref="H1368:I1368"/>
    <mergeCell ref="D1369:E1369"/>
    <mergeCell ref="H1369:I1369"/>
    <mergeCell ref="D1370:E1370"/>
    <mergeCell ref="A1371:B1371"/>
    <mergeCell ref="D1371:E1371"/>
    <mergeCell ref="A1372:B1372"/>
    <mergeCell ref="D1372:E1372"/>
    <mergeCell ref="G1372:H1372"/>
    <mergeCell ref="A1345:C1345"/>
    <mergeCell ref="G1345:I1345"/>
    <mergeCell ref="A1352:C1352"/>
    <mergeCell ref="G1352:I1352"/>
    <mergeCell ref="J1352:K1352"/>
    <mergeCell ref="G1353:I1353"/>
    <mergeCell ref="J1353:K1353"/>
    <mergeCell ref="G1354:I1354"/>
    <mergeCell ref="J1354:K1354"/>
    <mergeCell ref="G1355:I1355"/>
    <mergeCell ref="J1355:K1355"/>
    <mergeCell ref="G1356:I1356"/>
    <mergeCell ref="J1356:K1356"/>
    <mergeCell ref="G1357:I1357"/>
    <mergeCell ref="J1357:K1357"/>
    <mergeCell ref="G1358:I1358"/>
    <mergeCell ref="J1358:K1358"/>
    <mergeCell ref="D1322:E1322"/>
    <mergeCell ref="H1322:I1322"/>
    <mergeCell ref="D1323:E1323"/>
    <mergeCell ref="H1323:I1323"/>
    <mergeCell ref="D1324:E1324"/>
    <mergeCell ref="A1325:B1325"/>
    <mergeCell ref="D1325:E1325"/>
    <mergeCell ref="A1326:B1326"/>
    <mergeCell ref="D1326:E1326"/>
    <mergeCell ref="G1326:H1326"/>
    <mergeCell ref="D1327:E1327"/>
    <mergeCell ref="G1327:H1327"/>
    <mergeCell ref="D1328:E1328"/>
    <mergeCell ref="G1328:H1328"/>
    <mergeCell ref="D1329:E1329"/>
    <mergeCell ref="A1334:L1335"/>
    <mergeCell ref="A1342:C1342"/>
    <mergeCell ref="G1342:I1342"/>
    <mergeCell ref="G1308:I1308"/>
    <mergeCell ref="J1308:K1308"/>
    <mergeCell ref="G1309:I1309"/>
    <mergeCell ref="J1309:K1309"/>
    <mergeCell ref="G1310:I1310"/>
    <mergeCell ref="J1310:K1310"/>
    <mergeCell ref="G1311:I1311"/>
    <mergeCell ref="J1311:K1311"/>
    <mergeCell ref="G1312:I1312"/>
    <mergeCell ref="J1312:K1312"/>
    <mergeCell ref="J1313:K1313"/>
    <mergeCell ref="J1314:K1314"/>
    <mergeCell ref="G1315:I1315"/>
    <mergeCell ref="J1315:K1315"/>
    <mergeCell ref="G1316:I1316"/>
    <mergeCell ref="J1316:K1316"/>
    <mergeCell ref="B1319:E1319"/>
    <mergeCell ref="H1319:K1319"/>
    <mergeCell ref="A1280:B1280"/>
    <mergeCell ref="D1280:E1280"/>
    <mergeCell ref="G1280:H1280"/>
    <mergeCell ref="D1281:E1281"/>
    <mergeCell ref="G1281:H1281"/>
    <mergeCell ref="D1282:E1282"/>
    <mergeCell ref="G1282:H1282"/>
    <mergeCell ref="D1283:E1283"/>
    <mergeCell ref="A1288:L1289"/>
    <mergeCell ref="A1296:C1296"/>
    <mergeCell ref="G1296:I1296"/>
    <mergeCell ref="A1299:C1299"/>
    <mergeCell ref="G1299:I1299"/>
    <mergeCell ref="A1306:C1306"/>
    <mergeCell ref="G1306:I1306"/>
    <mergeCell ref="J1306:K1306"/>
    <mergeCell ref="G1307:I1307"/>
    <mergeCell ref="J1307:K1307"/>
    <mergeCell ref="G1266:I1266"/>
    <mergeCell ref="J1266:K1266"/>
    <mergeCell ref="J1267:K1267"/>
    <mergeCell ref="J1268:K1268"/>
    <mergeCell ref="G1269:I1269"/>
    <mergeCell ref="J1269:K1269"/>
    <mergeCell ref="G1270:I1270"/>
    <mergeCell ref="J1270:K1270"/>
    <mergeCell ref="B1273:E1273"/>
    <mergeCell ref="H1273:K1273"/>
    <mergeCell ref="D1276:E1276"/>
    <mergeCell ref="H1276:I1276"/>
    <mergeCell ref="D1277:E1277"/>
    <mergeCell ref="H1277:I1277"/>
    <mergeCell ref="D1278:E1278"/>
    <mergeCell ref="A1279:B1279"/>
    <mergeCell ref="D1279:E1279"/>
    <mergeCell ref="A1242:L1243"/>
    <mergeCell ref="A1250:C1250"/>
    <mergeCell ref="G1250:I1250"/>
    <mergeCell ref="A1253:C1253"/>
    <mergeCell ref="G1253:I1253"/>
    <mergeCell ref="A1260:C1260"/>
    <mergeCell ref="G1260:I1260"/>
    <mergeCell ref="J1260:K1260"/>
    <mergeCell ref="G1261:I1261"/>
    <mergeCell ref="J1261:K1261"/>
    <mergeCell ref="G1262:I1262"/>
    <mergeCell ref="J1262:K1262"/>
    <mergeCell ref="G1263:I1263"/>
    <mergeCell ref="J1263:K1263"/>
    <mergeCell ref="G1264:I1264"/>
    <mergeCell ref="J1264:K1264"/>
    <mergeCell ref="G1265:I1265"/>
    <mergeCell ref="J1265:K1265"/>
    <mergeCell ref="D1237:E1237"/>
    <mergeCell ref="A1233:B1233"/>
    <mergeCell ref="D1233:E1233"/>
    <mergeCell ref="A1234:B1234"/>
    <mergeCell ref="D1234:E1234"/>
    <mergeCell ref="G1234:H1234"/>
    <mergeCell ref="D1235:E1235"/>
    <mergeCell ref="G1235:H1235"/>
    <mergeCell ref="D1236:E1236"/>
    <mergeCell ref="G1236:H1236"/>
    <mergeCell ref="G1224:I1224"/>
    <mergeCell ref="J1224:K1224"/>
    <mergeCell ref="B1227:E1227"/>
    <mergeCell ref="H1227:K1227"/>
    <mergeCell ref="D1230:E1230"/>
    <mergeCell ref="H1230:I1230"/>
    <mergeCell ref="D1231:E1231"/>
    <mergeCell ref="H1231:I1231"/>
    <mergeCell ref="D1232:E1232"/>
    <mergeCell ref="G1218:I1218"/>
    <mergeCell ref="J1218:K1218"/>
    <mergeCell ref="G1219:I1219"/>
    <mergeCell ref="J1219:K1219"/>
    <mergeCell ref="G1220:I1220"/>
    <mergeCell ref="J1220:K1220"/>
    <mergeCell ref="J1221:K1221"/>
    <mergeCell ref="J1222:K1222"/>
    <mergeCell ref="G1223:I1223"/>
    <mergeCell ref="J1223:K1223"/>
    <mergeCell ref="A1214:C1214"/>
    <mergeCell ref="G1214:I1214"/>
    <mergeCell ref="J1214:K1214"/>
    <mergeCell ref="G1215:I1215"/>
    <mergeCell ref="J1215:K1215"/>
    <mergeCell ref="G1216:I1216"/>
    <mergeCell ref="J1216:K1216"/>
    <mergeCell ref="G1217:I1217"/>
    <mergeCell ref="J1217:K1217"/>
    <mergeCell ref="D1188:E1188"/>
    <mergeCell ref="G1188:H1188"/>
    <mergeCell ref="D1189:E1189"/>
    <mergeCell ref="G1189:H1189"/>
    <mergeCell ref="D1190:E1190"/>
    <mergeCell ref="A1196:L1197"/>
    <mergeCell ref="A1204:C1204"/>
    <mergeCell ref="G1204:I1204"/>
    <mergeCell ref="A1207:C1207"/>
    <mergeCell ref="G1207:I1207"/>
    <mergeCell ref="D1183:E1183"/>
    <mergeCell ref="H1183:I1183"/>
    <mergeCell ref="D1184:E1184"/>
    <mergeCell ref="H1184:I1184"/>
    <mergeCell ref="D1185:E1185"/>
    <mergeCell ref="A1186:B1186"/>
    <mergeCell ref="D1186:E1186"/>
    <mergeCell ref="A1187:B1187"/>
    <mergeCell ref="D1187:E1187"/>
    <mergeCell ref="G1187:H1187"/>
    <mergeCell ref="G1173:I1173"/>
    <mergeCell ref="J1173:K1173"/>
    <mergeCell ref="J1174:K1174"/>
    <mergeCell ref="J1175:K1175"/>
    <mergeCell ref="G1176:I1176"/>
    <mergeCell ref="J1176:K1176"/>
    <mergeCell ref="G1177:I1177"/>
    <mergeCell ref="J1177:K1177"/>
    <mergeCell ref="B1180:E1180"/>
    <mergeCell ref="H1180:K1180"/>
    <mergeCell ref="G1168:I1168"/>
    <mergeCell ref="J1168:K1168"/>
    <mergeCell ref="G1169:I1169"/>
    <mergeCell ref="J1169:K1169"/>
    <mergeCell ref="G1170:I1170"/>
    <mergeCell ref="J1170:K1170"/>
    <mergeCell ref="G1171:I1171"/>
    <mergeCell ref="J1171:K1171"/>
    <mergeCell ref="G1172:I1172"/>
    <mergeCell ref="J1172:K1172"/>
    <mergeCell ref="D1144:E1144"/>
    <mergeCell ref="A1149:L1150"/>
    <mergeCell ref="A1157:C1157"/>
    <mergeCell ref="G1157:I1157"/>
    <mergeCell ref="A1160:C1160"/>
    <mergeCell ref="G1160:I1160"/>
    <mergeCell ref="A1167:C1167"/>
    <mergeCell ref="G1167:I1167"/>
    <mergeCell ref="J1167:K1167"/>
    <mergeCell ref="A1140:B1140"/>
    <mergeCell ref="D1140:E1140"/>
    <mergeCell ref="A1141:B1141"/>
    <mergeCell ref="D1141:E1141"/>
    <mergeCell ref="G1141:H1141"/>
    <mergeCell ref="D1142:E1142"/>
    <mergeCell ref="G1142:H1142"/>
    <mergeCell ref="D1143:E1143"/>
    <mergeCell ref="G1143:H1143"/>
    <mergeCell ref="G1131:I1131"/>
    <mergeCell ref="J1131:K1131"/>
    <mergeCell ref="B1134:E1134"/>
    <mergeCell ref="H1134:K1134"/>
    <mergeCell ref="D1137:E1137"/>
    <mergeCell ref="H1137:I1137"/>
    <mergeCell ref="D1138:E1138"/>
    <mergeCell ref="H1138:I1138"/>
    <mergeCell ref="D1139:E1139"/>
    <mergeCell ref="G1125:I1125"/>
    <mergeCell ref="J1125:K1125"/>
    <mergeCell ref="G1126:I1126"/>
    <mergeCell ref="J1126:K1126"/>
    <mergeCell ref="G1127:I1127"/>
    <mergeCell ref="J1127:K1127"/>
    <mergeCell ref="J1128:K1128"/>
    <mergeCell ref="J1129:K1129"/>
    <mergeCell ref="G1130:I1130"/>
    <mergeCell ref="J1130:K1130"/>
    <mergeCell ref="A1121:C1121"/>
    <mergeCell ref="G1121:I1121"/>
    <mergeCell ref="J1121:K1121"/>
    <mergeCell ref="G1122:I1122"/>
    <mergeCell ref="J1122:K1122"/>
    <mergeCell ref="G1123:I1123"/>
    <mergeCell ref="J1123:K1123"/>
    <mergeCell ref="G1124:I1124"/>
    <mergeCell ref="J1124:K1124"/>
    <mergeCell ref="D1095:E1095"/>
    <mergeCell ref="G1095:H1095"/>
    <mergeCell ref="D1096:E1096"/>
    <mergeCell ref="G1096:H1096"/>
    <mergeCell ref="D1097:E1097"/>
    <mergeCell ref="A1103:L1104"/>
    <mergeCell ref="A1111:C1111"/>
    <mergeCell ref="G1111:I1111"/>
    <mergeCell ref="A1114:C1114"/>
    <mergeCell ref="G1114:I1114"/>
    <mergeCell ref="D1090:E1090"/>
    <mergeCell ref="H1090:I1090"/>
    <mergeCell ref="D1091:E1091"/>
    <mergeCell ref="H1091:I1091"/>
    <mergeCell ref="D1092:E1092"/>
    <mergeCell ref="A1093:B1093"/>
    <mergeCell ref="D1093:E1093"/>
    <mergeCell ref="A1094:B1094"/>
    <mergeCell ref="D1094:E1094"/>
    <mergeCell ref="G1094:H1094"/>
    <mergeCell ref="G1080:I1080"/>
    <mergeCell ref="J1080:K1080"/>
    <mergeCell ref="J1081:K1081"/>
    <mergeCell ref="J1082:K1082"/>
    <mergeCell ref="G1083:I1083"/>
    <mergeCell ref="J1083:K1083"/>
    <mergeCell ref="G1084:I1084"/>
    <mergeCell ref="J1084:K1084"/>
    <mergeCell ref="B1087:E1087"/>
    <mergeCell ref="H1087:K1087"/>
    <mergeCell ref="G1075:I1075"/>
    <mergeCell ref="J1075:K1075"/>
    <mergeCell ref="G1076:I1076"/>
    <mergeCell ref="J1076:K1076"/>
    <mergeCell ref="G1077:I1077"/>
    <mergeCell ref="J1077:K1077"/>
    <mergeCell ref="G1078:I1078"/>
    <mergeCell ref="J1078:K1078"/>
    <mergeCell ref="G1079:I1079"/>
    <mergeCell ref="J1079:K1079"/>
    <mergeCell ref="D1050:E1050"/>
    <mergeCell ref="G1050:H1050"/>
    <mergeCell ref="D1051:E1051"/>
    <mergeCell ref="A1056:L1057"/>
    <mergeCell ref="A1064:C1064"/>
    <mergeCell ref="G1064:I1064"/>
    <mergeCell ref="A1067:C1067"/>
    <mergeCell ref="G1067:I1067"/>
    <mergeCell ref="A1074:C1074"/>
    <mergeCell ref="G1074:I1074"/>
    <mergeCell ref="J1074:K1074"/>
    <mergeCell ref="D1045:E1045"/>
    <mergeCell ref="H1045:I1045"/>
    <mergeCell ref="D1046:E1046"/>
    <mergeCell ref="A1047:B1047"/>
    <mergeCell ref="D1047:E1047"/>
    <mergeCell ref="A1048:B1048"/>
    <mergeCell ref="D1048:E1048"/>
    <mergeCell ref="G1048:H1048"/>
    <mergeCell ref="D1049:E1049"/>
    <mergeCell ref="G1049:H1049"/>
    <mergeCell ref="J1035:K1035"/>
    <mergeCell ref="J1036:K1036"/>
    <mergeCell ref="G1037:I1037"/>
    <mergeCell ref="J1037:K1037"/>
    <mergeCell ref="G1038:I1038"/>
    <mergeCell ref="J1038:K1038"/>
    <mergeCell ref="B1041:E1041"/>
    <mergeCell ref="H1041:K1041"/>
    <mergeCell ref="D1044:E1044"/>
    <mergeCell ref="H1044:I1044"/>
    <mergeCell ref="G1030:I1030"/>
    <mergeCell ref="J1030:K1030"/>
    <mergeCell ref="G1031:I1031"/>
    <mergeCell ref="J1031:K1031"/>
    <mergeCell ref="G1032:I1032"/>
    <mergeCell ref="J1032:K1032"/>
    <mergeCell ref="G1033:I1033"/>
    <mergeCell ref="J1033:K1033"/>
    <mergeCell ref="G1034:I1034"/>
    <mergeCell ref="J1034:K1034"/>
    <mergeCell ref="A1010:L1011"/>
    <mergeCell ref="A1018:C1018"/>
    <mergeCell ref="G1018:I1018"/>
    <mergeCell ref="A1021:C1021"/>
    <mergeCell ref="G1021:I1021"/>
    <mergeCell ref="A1028:C1028"/>
    <mergeCell ref="G1028:I1028"/>
    <mergeCell ref="J1028:K1028"/>
    <mergeCell ref="G1029:I1029"/>
    <mergeCell ref="J1029:K1029"/>
    <mergeCell ref="D1005:E1005"/>
    <mergeCell ref="A1001:B1001"/>
    <mergeCell ref="D1001:E1001"/>
    <mergeCell ref="A1002:B1002"/>
    <mergeCell ref="D1002:E1002"/>
    <mergeCell ref="G1002:H1002"/>
    <mergeCell ref="D1003:E1003"/>
    <mergeCell ref="G1003:H1003"/>
    <mergeCell ref="D1004:E1004"/>
    <mergeCell ref="G1004:H1004"/>
    <mergeCell ref="G992:I992"/>
    <mergeCell ref="J992:K992"/>
    <mergeCell ref="B995:E995"/>
    <mergeCell ref="H995:K995"/>
    <mergeCell ref="D998:E998"/>
    <mergeCell ref="H998:I998"/>
    <mergeCell ref="D999:E999"/>
    <mergeCell ref="H999:I999"/>
    <mergeCell ref="D1000:E1000"/>
    <mergeCell ref="G986:I986"/>
    <mergeCell ref="J986:K986"/>
    <mergeCell ref="G987:I987"/>
    <mergeCell ref="J987:K987"/>
    <mergeCell ref="G988:I988"/>
    <mergeCell ref="J988:K988"/>
    <mergeCell ref="J989:K989"/>
    <mergeCell ref="J990:K990"/>
    <mergeCell ref="G991:I991"/>
    <mergeCell ref="J991:K991"/>
    <mergeCell ref="A982:C982"/>
    <mergeCell ref="G982:I982"/>
    <mergeCell ref="J982:K982"/>
    <mergeCell ref="G983:I983"/>
    <mergeCell ref="J983:K983"/>
    <mergeCell ref="G984:I984"/>
    <mergeCell ref="J984:K984"/>
    <mergeCell ref="G985:I985"/>
    <mergeCell ref="J985:K985"/>
    <mergeCell ref="D957:E957"/>
    <mergeCell ref="G957:H957"/>
    <mergeCell ref="D958:E958"/>
    <mergeCell ref="G958:H958"/>
    <mergeCell ref="D959:E959"/>
    <mergeCell ref="A964:L965"/>
    <mergeCell ref="A972:C972"/>
    <mergeCell ref="G972:I972"/>
    <mergeCell ref="A975:C975"/>
    <mergeCell ref="G975:I975"/>
    <mergeCell ref="D952:E952"/>
    <mergeCell ref="H952:I952"/>
    <mergeCell ref="D953:E953"/>
    <mergeCell ref="H953:I953"/>
    <mergeCell ref="D954:E954"/>
    <mergeCell ref="A955:B955"/>
    <mergeCell ref="D955:E955"/>
    <mergeCell ref="A956:B956"/>
    <mergeCell ref="D956:E956"/>
    <mergeCell ref="G956:H956"/>
    <mergeCell ref="G942:I942"/>
    <mergeCell ref="J942:K942"/>
    <mergeCell ref="J943:K943"/>
    <mergeCell ref="J944:K944"/>
    <mergeCell ref="G945:I945"/>
    <mergeCell ref="J945:K945"/>
    <mergeCell ref="G946:I946"/>
    <mergeCell ref="J946:K946"/>
    <mergeCell ref="B949:E949"/>
    <mergeCell ref="H949:K949"/>
    <mergeCell ref="G937:I937"/>
    <mergeCell ref="J937:K937"/>
    <mergeCell ref="G938:I938"/>
    <mergeCell ref="J938:K938"/>
    <mergeCell ref="G939:I939"/>
    <mergeCell ref="J939:K939"/>
    <mergeCell ref="G940:I940"/>
    <mergeCell ref="J940:K940"/>
    <mergeCell ref="G941:I941"/>
    <mergeCell ref="J941:K941"/>
    <mergeCell ref="D913:E913"/>
    <mergeCell ref="A918:L919"/>
    <mergeCell ref="A926:C926"/>
    <mergeCell ref="G926:I926"/>
    <mergeCell ref="A929:C929"/>
    <mergeCell ref="G929:I929"/>
    <mergeCell ref="A936:C936"/>
    <mergeCell ref="G936:I936"/>
    <mergeCell ref="J936:K936"/>
    <mergeCell ref="A909:B909"/>
    <mergeCell ref="D909:E909"/>
    <mergeCell ref="A910:B910"/>
    <mergeCell ref="D910:E910"/>
    <mergeCell ref="G910:H910"/>
    <mergeCell ref="D911:E911"/>
    <mergeCell ref="G911:H911"/>
    <mergeCell ref="D912:E912"/>
    <mergeCell ref="G912:H912"/>
    <mergeCell ref="G900:I900"/>
    <mergeCell ref="J900:K900"/>
    <mergeCell ref="B903:E903"/>
    <mergeCell ref="H903:K903"/>
    <mergeCell ref="D906:E906"/>
    <mergeCell ref="H906:I906"/>
    <mergeCell ref="D907:E907"/>
    <mergeCell ref="H907:I907"/>
    <mergeCell ref="D908:E908"/>
    <mergeCell ref="G894:I894"/>
    <mergeCell ref="J894:K894"/>
    <mergeCell ref="G895:I895"/>
    <mergeCell ref="J895:K895"/>
    <mergeCell ref="G896:I896"/>
    <mergeCell ref="J896:K896"/>
    <mergeCell ref="J897:K897"/>
    <mergeCell ref="J898:K898"/>
    <mergeCell ref="G899:I899"/>
    <mergeCell ref="J899:K899"/>
    <mergeCell ref="A890:C890"/>
    <mergeCell ref="G890:I890"/>
    <mergeCell ref="J890:K890"/>
    <mergeCell ref="G891:I891"/>
    <mergeCell ref="J891:K891"/>
    <mergeCell ref="G892:I892"/>
    <mergeCell ref="J892:K892"/>
    <mergeCell ref="G893:I893"/>
    <mergeCell ref="J893:K893"/>
    <mergeCell ref="D866:E866"/>
    <mergeCell ref="G866:H866"/>
    <mergeCell ref="D867:E867"/>
    <mergeCell ref="G867:H867"/>
    <mergeCell ref="D868:E868"/>
    <mergeCell ref="A872:L873"/>
    <mergeCell ref="A880:C880"/>
    <mergeCell ref="G880:I880"/>
    <mergeCell ref="A883:C883"/>
    <mergeCell ref="G883:I883"/>
    <mergeCell ref="D861:E861"/>
    <mergeCell ref="H861:I861"/>
    <mergeCell ref="D862:E862"/>
    <mergeCell ref="H862:I862"/>
    <mergeCell ref="D863:E863"/>
    <mergeCell ref="A864:B864"/>
    <mergeCell ref="D864:E864"/>
    <mergeCell ref="A865:B865"/>
    <mergeCell ref="D865:E865"/>
    <mergeCell ref="G865:H865"/>
    <mergeCell ref="G851:I851"/>
    <mergeCell ref="J851:K851"/>
    <mergeCell ref="J852:K852"/>
    <mergeCell ref="J853:K853"/>
    <mergeCell ref="G854:I854"/>
    <mergeCell ref="J854:K854"/>
    <mergeCell ref="G855:I855"/>
    <mergeCell ref="J855:K855"/>
    <mergeCell ref="B858:E858"/>
    <mergeCell ref="H858:K858"/>
    <mergeCell ref="G846:I846"/>
    <mergeCell ref="J846:K846"/>
    <mergeCell ref="G847:I847"/>
    <mergeCell ref="J847:K847"/>
    <mergeCell ref="G848:I848"/>
    <mergeCell ref="J848:K848"/>
    <mergeCell ref="G849:I849"/>
    <mergeCell ref="J849:K849"/>
    <mergeCell ref="G850:I850"/>
    <mergeCell ref="J850:K850"/>
    <mergeCell ref="D822:E822"/>
    <mergeCell ref="A827:L828"/>
    <mergeCell ref="A835:C835"/>
    <mergeCell ref="G835:I835"/>
    <mergeCell ref="A838:C838"/>
    <mergeCell ref="G838:I838"/>
    <mergeCell ref="A845:C845"/>
    <mergeCell ref="G845:I845"/>
    <mergeCell ref="J845:K845"/>
    <mergeCell ref="A818:B818"/>
    <mergeCell ref="D818:E818"/>
    <mergeCell ref="A819:B819"/>
    <mergeCell ref="D819:E819"/>
    <mergeCell ref="G819:H819"/>
    <mergeCell ref="D820:E820"/>
    <mergeCell ref="G820:H820"/>
    <mergeCell ref="D821:E821"/>
    <mergeCell ref="G821:H821"/>
    <mergeCell ref="G809:I809"/>
    <mergeCell ref="J809:K809"/>
    <mergeCell ref="B812:E812"/>
    <mergeCell ref="H812:K812"/>
    <mergeCell ref="D815:E815"/>
    <mergeCell ref="H815:I815"/>
    <mergeCell ref="D816:E816"/>
    <mergeCell ref="H816:I816"/>
    <mergeCell ref="D817:E817"/>
    <mergeCell ref="G803:I803"/>
    <mergeCell ref="J803:K803"/>
    <mergeCell ref="G804:I804"/>
    <mergeCell ref="J804:K804"/>
    <mergeCell ref="G805:I805"/>
    <mergeCell ref="J805:K805"/>
    <mergeCell ref="J806:K806"/>
    <mergeCell ref="J807:K807"/>
    <mergeCell ref="G808:I808"/>
    <mergeCell ref="J808:K808"/>
    <mergeCell ref="A799:C799"/>
    <mergeCell ref="G799:I799"/>
    <mergeCell ref="J799:K799"/>
    <mergeCell ref="G800:I800"/>
    <mergeCell ref="J800:K800"/>
    <mergeCell ref="G801:I801"/>
    <mergeCell ref="J801:K801"/>
    <mergeCell ref="G802:I802"/>
    <mergeCell ref="J802:K802"/>
    <mergeCell ref="D775:E775"/>
    <mergeCell ref="G775:H775"/>
    <mergeCell ref="D776:E776"/>
    <mergeCell ref="G776:H776"/>
    <mergeCell ref="D777:E777"/>
    <mergeCell ref="A781:L782"/>
    <mergeCell ref="A789:C789"/>
    <mergeCell ref="G789:I789"/>
    <mergeCell ref="A792:C792"/>
    <mergeCell ref="G792:I792"/>
    <mergeCell ref="D770:E770"/>
    <mergeCell ref="H770:I770"/>
    <mergeCell ref="D771:E771"/>
    <mergeCell ref="H771:I771"/>
    <mergeCell ref="D772:E772"/>
    <mergeCell ref="A773:B773"/>
    <mergeCell ref="D773:E773"/>
    <mergeCell ref="A774:B774"/>
    <mergeCell ref="D774:E774"/>
    <mergeCell ref="G774:H774"/>
    <mergeCell ref="G760:I760"/>
    <mergeCell ref="J760:K760"/>
    <mergeCell ref="J761:K761"/>
    <mergeCell ref="J762:K762"/>
    <mergeCell ref="G763:I763"/>
    <mergeCell ref="J763:K763"/>
    <mergeCell ref="G764:I764"/>
    <mergeCell ref="J764:K764"/>
    <mergeCell ref="B767:E767"/>
    <mergeCell ref="H767:K767"/>
    <mergeCell ref="G755:I755"/>
    <mergeCell ref="J755:K755"/>
    <mergeCell ref="G756:I756"/>
    <mergeCell ref="J756:K756"/>
    <mergeCell ref="G757:I757"/>
    <mergeCell ref="J757:K757"/>
    <mergeCell ref="G758:I758"/>
    <mergeCell ref="J758:K758"/>
    <mergeCell ref="G759:I759"/>
    <mergeCell ref="J759:K759"/>
    <mergeCell ref="D730:E730"/>
    <mergeCell ref="G730:H730"/>
    <mergeCell ref="D731:E731"/>
    <mergeCell ref="A736:L737"/>
    <mergeCell ref="A744:C744"/>
    <mergeCell ref="G744:I744"/>
    <mergeCell ref="A747:C747"/>
    <mergeCell ref="G747:I747"/>
    <mergeCell ref="A754:C754"/>
    <mergeCell ref="G754:I754"/>
    <mergeCell ref="J754:K754"/>
    <mergeCell ref="D725:E725"/>
    <mergeCell ref="H725:I725"/>
    <mergeCell ref="D726:E726"/>
    <mergeCell ref="A727:B727"/>
    <mergeCell ref="D727:E727"/>
    <mergeCell ref="A728:B728"/>
    <mergeCell ref="D728:E728"/>
    <mergeCell ref="G728:H728"/>
    <mergeCell ref="D729:E729"/>
    <mergeCell ref="G729:H729"/>
    <mergeCell ref="J715:K715"/>
    <mergeCell ref="J716:K716"/>
    <mergeCell ref="G717:I717"/>
    <mergeCell ref="J717:K717"/>
    <mergeCell ref="G718:I718"/>
    <mergeCell ref="J718:K718"/>
    <mergeCell ref="B721:E721"/>
    <mergeCell ref="H721:K721"/>
    <mergeCell ref="D724:E724"/>
    <mergeCell ref="H724:I724"/>
    <mergeCell ref="G710:I710"/>
    <mergeCell ref="J710:K710"/>
    <mergeCell ref="G711:I711"/>
    <mergeCell ref="J711:K711"/>
    <mergeCell ref="G712:I712"/>
    <mergeCell ref="J712:K712"/>
    <mergeCell ref="G713:I713"/>
    <mergeCell ref="J713:K713"/>
    <mergeCell ref="G714:I714"/>
    <mergeCell ref="J714:K714"/>
    <mergeCell ref="G709:I709"/>
    <mergeCell ref="J709:K709"/>
    <mergeCell ref="D42:E42"/>
    <mergeCell ref="G42:H42"/>
    <mergeCell ref="D43:E43"/>
    <mergeCell ref="G43:H43"/>
    <mergeCell ref="D44:E44"/>
    <mergeCell ref="H37:I37"/>
    <mergeCell ref="D38:E38"/>
    <mergeCell ref="H38:I38"/>
    <mergeCell ref="D39:E39"/>
    <mergeCell ref="D40:E40"/>
    <mergeCell ref="G72:I72"/>
    <mergeCell ref="J72:K72"/>
    <mergeCell ref="G73:I73"/>
    <mergeCell ref="J73:K73"/>
    <mergeCell ref="J74:K74"/>
    <mergeCell ref="G69:I69"/>
    <mergeCell ref="J69:K69"/>
    <mergeCell ref="G70:I70"/>
    <mergeCell ref="J70:K70"/>
    <mergeCell ref="G71:I71"/>
    <mergeCell ref="J71:K71"/>
    <mergeCell ref="B80:E80"/>
    <mergeCell ref="D89:E89"/>
    <mergeCell ref="G89:H89"/>
    <mergeCell ref="D85:E85"/>
    <mergeCell ref="A86:B86"/>
    <mergeCell ref="D86:E86"/>
    <mergeCell ref="A87:B87"/>
    <mergeCell ref="D87:E87"/>
    <mergeCell ref="A113:C113"/>
    <mergeCell ref="J27:K27"/>
    <mergeCell ref="J28:K28"/>
    <mergeCell ref="J29:K29"/>
    <mergeCell ref="G30:I30"/>
    <mergeCell ref="J30:K30"/>
    <mergeCell ref="G31:I31"/>
    <mergeCell ref="J31:K31"/>
    <mergeCell ref="B34:E34"/>
    <mergeCell ref="H34:K34"/>
    <mergeCell ref="D37:E37"/>
    <mergeCell ref="A40:B40"/>
    <mergeCell ref="A690:L691"/>
    <mergeCell ref="A698:C698"/>
    <mergeCell ref="G698:I698"/>
    <mergeCell ref="A701:C701"/>
    <mergeCell ref="G701:I701"/>
    <mergeCell ref="A708:C708"/>
    <mergeCell ref="G708:I708"/>
    <mergeCell ref="J708:K708"/>
    <mergeCell ref="H80:K80"/>
    <mergeCell ref="D83:E83"/>
    <mergeCell ref="H83:I83"/>
    <mergeCell ref="D84:E84"/>
    <mergeCell ref="H84:I84"/>
    <mergeCell ref="J75:K75"/>
    <mergeCell ref="G76:I76"/>
    <mergeCell ref="J76:K76"/>
    <mergeCell ref="G77:I77"/>
    <mergeCell ref="J77:K77"/>
    <mergeCell ref="G87:H87"/>
    <mergeCell ref="D88:E88"/>
    <mergeCell ref="G88:H88"/>
    <mergeCell ref="A11:C11"/>
    <mergeCell ref="G11:I11"/>
    <mergeCell ref="A14:C14"/>
    <mergeCell ref="G14:I14"/>
    <mergeCell ref="A3:L4"/>
    <mergeCell ref="A21:C21"/>
    <mergeCell ref="G21:I21"/>
    <mergeCell ref="J21:K21"/>
    <mergeCell ref="G22:I22"/>
    <mergeCell ref="J22:K22"/>
    <mergeCell ref="A67:C67"/>
    <mergeCell ref="G67:I67"/>
    <mergeCell ref="J67:K67"/>
    <mergeCell ref="G68:I68"/>
    <mergeCell ref="J68:K68"/>
    <mergeCell ref="A49:L50"/>
    <mergeCell ref="A57:C57"/>
    <mergeCell ref="G57:I57"/>
    <mergeCell ref="A60:C60"/>
    <mergeCell ref="G60:I60"/>
    <mergeCell ref="G23:I23"/>
    <mergeCell ref="J23:K23"/>
    <mergeCell ref="G24:I24"/>
    <mergeCell ref="J24:K24"/>
    <mergeCell ref="G25:I25"/>
    <mergeCell ref="J25:K25"/>
    <mergeCell ref="G26:I26"/>
    <mergeCell ref="J26:K26"/>
    <mergeCell ref="A41:B41"/>
    <mergeCell ref="D41:E41"/>
    <mergeCell ref="G41:H41"/>
    <mergeCell ref="G27:I27"/>
    <mergeCell ref="G113:I113"/>
    <mergeCell ref="J113:K113"/>
    <mergeCell ref="G114:I114"/>
    <mergeCell ref="J114:K114"/>
    <mergeCell ref="D90:E90"/>
    <mergeCell ref="A95:L96"/>
    <mergeCell ref="A103:C103"/>
    <mergeCell ref="G103:I103"/>
    <mergeCell ref="A106:C106"/>
    <mergeCell ref="G106:I106"/>
    <mergeCell ref="G118:I118"/>
    <mergeCell ref="J118:K118"/>
    <mergeCell ref="G119:I119"/>
    <mergeCell ref="J119:K119"/>
    <mergeCell ref="J120:K120"/>
    <mergeCell ref="G115:I115"/>
    <mergeCell ref="J115:K115"/>
    <mergeCell ref="G116:I116"/>
    <mergeCell ref="J116:K116"/>
    <mergeCell ref="G117:I117"/>
    <mergeCell ref="J117:K117"/>
    <mergeCell ref="B126:E126"/>
    <mergeCell ref="H126:K126"/>
    <mergeCell ref="D129:E129"/>
    <mergeCell ref="H129:I129"/>
    <mergeCell ref="D130:E130"/>
    <mergeCell ref="H130:I130"/>
    <mergeCell ref="J121:K121"/>
    <mergeCell ref="G122:I122"/>
    <mergeCell ref="J122:K122"/>
    <mergeCell ref="G123:I123"/>
    <mergeCell ref="J123:K123"/>
    <mergeCell ref="G133:H133"/>
    <mergeCell ref="D134:E134"/>
    <mergeCell ref="G134:H134"/>
    <mergeCell ref="D135:E135"/>
    <mergeCell ref="G135:H135"/>
    <mergeCell ref="D131:E131"/>
    <mergeCell ref="A132:B132"/>
    <mergeCell ref="D132:E132"/>
    <mergeCell ref="A133:B133"/>
    <mergeCell ref="D133:E133"/>
    <mergeCell ref="A159:C159"/>
    <mergeCell ref="G159:I159"/>
    <mergeCell ref="J159:K159"/>
    <mergeCell ref="G160:I160"/>
    <mergeCell ref="J160:K160"/>
    <mergeCell ref="D136:E136"/>
    <mergeCell ref="A141:L142"/>
    <mergeCell ref="A149:C149"/>
    <mergeCell ref="G149:I149"/>
    <mergeCell ref="A152:C152"/>
    <mergeCell ref="G152:I152"/>
    <mergeCell ref="G164:I164"/>
    <mergeCell ref="J164:K164"/>
    <mergeCell ref="G165:I165"/>
    <mergeCell ref="J165:K165"/>
    <mergeCell ref="J166:K166"/>
    <mergeCell ref="G161:I161"/>
    <mergeCell ref="J161:K161"/>
    <mergeCell ref="G162:I162"/>
    <mergeCell ref="J162:K162"/>
    <mergeCell ref="G163:I163"/>
    <mergeCell ref="J163:K163"/>
    <mergeCell ref="B172:E172"/>
    <mergeCell ref="H172:K172"/>
    <mergeCell ref="D175:E175"/>
    <mergeCell ref="H175:I175"/>
    <mergeCell ref="D176:E176"/>
    <mergeCell ref="H176:I176"/>
    <mergeCell ref="J167:K167"/>
    <mergeCell ref="G168:I168"/>
    <mergeCell ref="J168:K168"/>
    <mergeCell ref="G169:I169"/>
    <mergeCell ref="J169:K169"/>
    <mergeCell ref="G179:H179"/>
    <mergeCell ref="D180:E180"/>
    <mergeCell ref="G180:H180"/>
    <mergeCell ref="D181:E181"/>
    <mergeCell ref="G181:H181"/>
    <mergeCell ref="D177:E177"/>
    <mergeCell ref="A178:B178"/>
    <mergeCell ref="D178:E178"/>
    <mergeCell ref="A179:B179"/>
    <mergeCell ref="D179:E179"/>
    <mergeCell ref="A205:C205"/>
    <mergeCell ref="G205:I205"/>
    <mergeCell ref="J205:K205"/>
    <mergeCell ref="G206:I206"/>
    <mergeCell ref="J206:K206"/>
    <mergeCell ref="D182:E182"/>
    <mergeCell ref="A187:L188"/>
    <mergeCell ref="A195:C195"/>
    <mergeCell ref="G195:I195"/>
    <mergeCell ref="A198:C198"/>
    <mergeCell ref="G198:I198"/>
    <mergeCell ref="G210:I210"/>
    <mergeCell ref="J210:K210"/>
    <mergeCell ref="G211:I211"/>
    <mergeCell ref="J211:K211"/>
    <mergeCell ref="J212:K212"/>
    <mergeCell ref="G207:I207"/>
    <mergeCell ref="J207:K207"/>
    <mergeCell ref="G208:I208"/>
    <mergeCell ref="J208:K208"/>
    <mergeCell ref="G209:I209"/>
    <mergeCell ref="J209:K209"/>
    <mergeCell ref="B218:E218"/>
    <mergeCell ref="H218:K218"/>
    <mergeCell ref="D221:E221"/>
    <mergeCell ref="H221:I221"/>
    <mergeCell ref="D222:E222"/>
    <mergeCell ref="H222:I222"/>
    <mergeCell ref="J213:K213"/>
    <mergeCell ref="G214:I214"/>
    <mergeCell ref="J214:K214"/>
    <mergeCell ref="G215:I215"/>
    <mergeCell ref="J215:K215"/>
    <mergeCell ref="G225:H225"/>
    <mergeCell ref="D226:E226"/>
    <mergeCell ref="G226:H226"/>
    <mergeCell ref="D227:E227"/>
    <mergeCell ref="G227:H227"/>
    <mergeCell ref="D223:E223"/>
    <mergeCell ref="A224:B224"/>
    <mergeCell ref="D224:E224"/>
    <mergeCell ref="A225:B225"/>
    <mergeCell ref="D225:E225"/>
    <mergeCell ref="A251:C251"/>
    <mergeCell ref="G251:I251"/>
    <mergeCell ref="J251:K251"/>
    <mergeCell ref="G252:I252"/>
    <mergeCell ref="J252:K252"/>
    <mergeCell ref="D228:E228"/>
    <mergeCell ref="A233:L234"/>
    <mergeCell ref="A241:C241"/>
    <mergeCell ref="G241:I241"/>
    <mergeCell ref="A244:C244"/>
    <mergeCell ref="G244:I244"/>
    <mergeCell ref="G256:I256"/>
    <mergeCell ref="J256:K256"/>
    <mergeCell ref="G257:I257"/>
    <mergeCell ref="J257:K257"/>
    <mergeCell ref="J258:K258"/>
    <mergeCell ref="G253:I253"/>
    <mergeCell ref="J253:K253"/>
    <mergeCell ref="G254:I254"/>
    <mergeCell ref="J254:K254"/>
    <mergeCell ref="G255:I255"/>
    <mergeCell ref="J255:K255"/>
    <mergeCell ref="B264:E264"/>
    <mergeCell ref="H264:K264"/>
    <mergeCell ref="D267:E267"/>
    <mergeCell ref="H267:I267"/>
    <mergeCell ref="D268:E268"/>
    <mergeCell ref="H268:I268"/>
    <mergeCell ref="J259:K259"/>
    <mergeCell ref="G260:I260"/>
    <mergeCell ref="J260:K260"/>
    <mergeCell ref="G261:I261"/>
    <mergeCell ref="J261:K261"/>
    <mergeCell ref="D274:E274"/>
    <mergeCell ref="G271:H271"/>
    <mergeCell ref="D272:E272"/>
    <mergeCell ref="G272:H272"/>
    <mergeCell ref="D273:E273"/>
    <mergeCell ref="G273:H273"/>
    <mergeCell ref="D269:E269"/>
    <mergeCell ref="A270:B270"/>
    <mergeCell ref="D270:E270"/>
    <mergeCell ref="A271:B271"/>
    <mergeCell ref="D271:E271"/>
    <mergeCell ref="A279:L280"/>
    <mergeCell ref="A287:C287"/>
    <mergeCell ref="G287:I287"/>
    <mergeCell ref="A290:C290"/>
    <mergeCell ref="G290:I290"/>
    <mergeCell ref="A297:C297"/>
    <mergeCell ref="G297:I297"/>
    <mergeCell ref="J297:K297"/>
    <mergeCell ref="G298:I298"/>
    <mergeCell ref="J298:K298"/>
    <mergeCell ref="G299:I299"/>
    <mergeCell ref="J299:K299"/>
    <mergeCell ref="G300:I300"/>
    <mergeCell ref="J300:K300"/>
    <mergeCell ref="G301:I301"/>
    <mergeCell ref="J301:K301"/>
    <mergeCell ref="G302:I302"/>
    <mergeCell ref="J302:K302"/>
    <mergeCell ref="G303:I303"/>
    <mergeCell ref="J303:K303"/>
    <mergeCell ref="J304:K304"/>
    <mergeCell ref="J305:K305"/>
    <mergeCell ref="G306:I306"/>
    <mergeCell ref="J306:K306"/>
    <mergeCell ref="G307:I307"/>
    <mergeCell ref="J307:K307"/>
    <mergeCell ref="B310:E310"/>
    <mergeCell ref="H310:K310"/>
    <mergeCell ref="D313:E313"/>
    <mergeCell ref="H313:I313"/>
    <mergeCell ref="D314:E314"/>
    <mergeCell ref="H314:I314"/>
    <mergeCell ref="D315:E315"/>
    <mergeCell ref="A316:B316"/>
    <mergeCell ref="D316:E316"/>
    <mergeCell ref="A317:B317"/>
    <mergeCell ref="D317:E317"/>
    <mergeCell ref="G317:H317"/>
    <mergeCell ref="D318:E318"/>
    <mergeCell ref="G318:H318"/>
    <mergeCell ref="D319:E319"/>
    <mergeCell ref="G319:H319"/>
    <mergeCell ref="D320:E320"/>
    <mergeCell ref="A325:L326"/>
    <mergeCell ref="A333:C333"/>
    <mergeCell ref="G333:I333"/>
    <mergeCell ref="A336:C336"/>
    <mergeCell ref="G336:I336"/>
    <mergeCell ref="A343:C343"/>
    <mergeCell ref="G343:I343"/>
    <mergeCell ref="J343:K343"/>
    <mergeCell ref="G344:I344"/>
    <mergeCell ref="J344:K344"/>
    <mergeCell ref="G345:I345"/>
    <mergeCell ref="J345:K345"/>
    <mergeCell ref="G346:I346"/>
    <mergeCell ref="J346:K346"/>
    <mergeCell ref="G347:I347"/>
    <mergeCell ref="J347:K347"/>
    <mergeCell ref="G348:I348"/>
    <mergeCell ref="J348:K348"/>
    <mergeCell ref="G349:I349"/>
    <mergeCell ref="J349:K349"/>
    <mergeCell ref="J350:K350"/>
    <mergeCell ref="J351:K351"/>
    <mergeCell ref="G352:I352"/>
    <mergeCell ref="J352:K352"/>
    <mergeCell ref="G353:I353"/>
    <mergeCell ref="J353:K353"/>
    <mergeCell ref="B356:E356"/>
    <mergeCell ref="H356:K356"/>
    <mergeCell ref="D359:E359"/>
    <mergeCell ref="H359:I359"/>
    <mergeCell ref="D360:E360"/>
    <mergeCell ref="H360:I360"/>
    <mergeCell ref="D361:E361"/>
    <mergeCell ref="A362:B362"/>
    <mergeCell ref="D362:E362"/>
    <mergeCell ref="A363:B363"/>
    <mergeCell ref="D363:E363"/>
    <mergeCell ref="G363:H363"/>
    <mergeCell ref="D364:E364"/>
    <mergeCell ref="G364:H364"/>
    <mergeCell ref="D365:E365"/>
    <mergeCell ref="G365:H365"/>
    <mergeCell ref="D366:E366"/>
    <mergeCell ref="A370:L371"/>
    <mergeCell ref="A378:C378"/>
    <mergeCell ref="G378:I378"/>
    <mergeCell ref="A381:C381"/>
    <mergeCell ref="G381:I381"/>
    <mergeCell ref="A388:C388"/>
    <mergeCell ref="G388:I388"/>
    <mergeCell ref="J388:K388"/>
    <mergeCell ref="G389:I389"/>
    <mergeCell ref="J389:K389"/>
    <mergeCell ref="G390:I390"/>
    <mergeCell ref="J390:K390"/>
    <mergeCell ref="G391:I391"/>
    <mergeCell ref="J391:K391"/>
    <mergeCell ref="G392:I392"/>
    <mergeCell ref="J392:K392"/>
    <mergeCell ref="G393:I393"/>
    <mergeCell ref="J393:K393"/>
    <mergeCell ref="G394:I394"/>
    <mergeCell ref="J394:K394"/>
    <mergeCell ref="J395:K395"/>
    <mergeCell ref="J396:K396"/>
    <mergeCell ref="G397:I397"/>
    <mergeCell ref="J397:K397"/>
    <mergeCell ref="G398:I398"/>
    <mergeCell ref="J398:K398"/>
    <mergeCell ref="B401:E401"/>
    <mergeCell ref="H401:K401"/>
    <mergeCell ref="D404:E404"/>
    <mergeCell ref="H404:I404"/>
    <mergeCell ref="D405:E405"/>
    <mergeCell ref="H405:I405"/>
    <mergeCell ref="D406:E406"/>
    <mergeCell ref="A407:B407"/>
    <mergeCell ref="D407:E407"/>
    <mergeCell ref="A408:B408"/>
    <mergeCell ref="D408:E408"/>
    <mergeCell ref="G408:H408"/>
    <mergeCell ref="D409:E409"/>
    <mergeCell ref="G409:H409"/>
    <mergeCell ref="D410:E410"/>
    <mergeCell ref="G410:H410"/>
    <mergeCell ref="D411:E411"/>
    <mergeCell ref="A416:L417"/>
    <mergeCell ref="A424:C424"/>
    <mergeCell ref="G424:I424"/>
    <mergeCell ref="A427:C427"/>
    <mergeCell ref="G427:I427"/>
    <mergeCell ref="A434:C434"/>
    <mergeCell ref="G434:I434"/>
    <mergeCell ref="J434:K434"/>
    <mergeCell ref="G435:I435"/>
    <mergeCell ref="J435:K435"/>
    <mergeCell ref="G436:I436"/>
    <mergeCell ref="J436:K436"/>
    <mergeCell ref="G437:I437"/>
    <mergeCell ref="J437:K437"/>
    <mergeCell ref="G438:I438"/>
    <mergeCell ref="J438:K438"/>
    <mergeCell ref="G439:I439"/>
    <mergeCell ref="J439:K439"/>
    <mergeCell ref="A453:B453"/>
    <mergeCell ref="D453:E453"/>
    <mergeCell ref="A454:B454"/>
    <mergeCell ref="D454:E454"/>
    <mergeCell ref="G454:H454"/>
    <mergeCell ref="G440:I440"/>
    <mergeCell ref="J440:K440"/>
    <mergeCell ref="J441:K441"/>
    <mergeCell ref="J442:K442"/>
    <mergeCell ref="G443:I443"/>
    <mergeCell ref="J443:K443"/>
    <mergeCell ref="G444:I444"/>
    <mergeCell ref="J444:K444"/>
    <mergeCell ref="B447:E447"/>
    <mergeCell ref="H447:K447"/>
    <mergeCell ref="D455:E455"/>
    <mergeCell ref="G455:H455"/>
    <mergeCell ref="D456:E456"/>
    <mergeCell ref="G456:H456"/>
    <mergeCell ref="D457:E457"/>
    <mergeCell ref="D450:E450"/>
    <mergeCell ref="H450:I450"/>
    <mergeCell ref="D451:E451"/>
    <mergeCell ref="H451:I451"/>
    <mergeCell ref="D452:E452"/>
    <mergeCell ref="A462:L463"/>
    <mergeCell ref="A470:C470"/>
    <mergeCell ref="G470:I470"/>
    <mergeCell ref="A473:C473"/>
    <mergeCell ref="G473:I473"/>
    <mergeCell ref="A480:C480"/>
    <mergeCell ref="G480:I480"/>
    <mergeCell ref="J480:K480"/>
    <mergeCell ref="G481:I481"/>
    <mergeCell ref="J481:K481"/>
    <mergeCell ref="G482:I482"/>
    <mergeCell ref="J482:K482"/>
    <mergeCell ref="G483:I483"/>
    <mergeCell ref="J483:K483"/>
    <mergeCell ref="G484:I484"/>
    <mergeCell ref="J484:K484"/>
    <mergeCell ref="G485:I485"/>
    <mergeCell ref="J485:K485"/>
    <mergeCell ref="G486:I486"/>
    <mergeCell ref="J486:K486"/>
    <mergeCell ref="J487:K487"/>
    <mergeCell ref="J488:K488"/>
    <mergeCell ref="G489:I489"/>
    <mergeCell ref="J489:K489"/>
    <mergeCell ref="G490:I490"/>
    <mergeCell ref="J490:K490"/>
    <mergeCell ref="B493:E493"/>
    <mergeCell ref="H493:K493"/>
    <mergeCell ref="D496:E496"/>
    <mergeCell ref="H496:I496"/>
    <mergeCell ref="D502:E502"/>
    <mergeCell ref="G502:H502"/>
    <mergeCell ref="D503:E503"/>
    <mergeCell ref="D497:E497"/>
    <mergeCell ref="H497:I497"/>
    <mergeCell ref="D498:E498"/>
    <mergeCell ref="A499:B499"/>
    <mergeCell ref="D499:E499"/>
    <mergeCell ref="A500:B500"/>
    <mergeCell ref="D500:E500"/>
    <mergeCell ref="G500:H500"/>
    <mergeCell ref="D501:E501"/>
    <mergeCell ref="G501:H501"/>
    <mergeCell ref="A507:L508"/>
    <mergeCell ref="A515:C515"/>
    <mergeCell ref="G515:I515"/>
    <mergeCell ref="A518:C518"/>
    <mergeCell ref="G518:I518"/>
    <mergeCell ref="A525:C525"/>
    <mergeCell ref="G525:I525"/>
    <mergeCell ref="J525:K525"/>
    <mergeCell ref="G526:I526"/>
    <mergeCell ref="J526:K526"/>
    <mergeCell ref="G527:I527"/>
    <mergeCell ref="J527:K527"/>
    <mergeCell ref="G528:I528"/>
    <mergeCell ref="J528:K528"/>
    <mergeCell ref="G529:I529"/>
    <mergeCell ref="J529:K529"/>
    <mergeCell ref="G530:I530"/>
    <mergeCell ref="J530:K530"/>
    <mergeCell ref="G531:I531"/>
    <mergeCell ref="J531:K531"/>
    <mergeCell ref="J532:K532"/>
    <mergeCell ref="J533:K533"/>
    <mergeCell ref="G534:I534"/>
    <mergeCell ref="J534:K534"/>
    <mergeCell ref="G535:I535"/>
    <mergeCell ref="J535:K535"/>
    <mergeCell ref="B538:E538"/>
    <mergeCell ref="H538:K538"/>
    <mergeCell ref="D541:E541"/>
    <mergeCell ref="H541:I541"/>
    <mergeCell ref="D542:E542"/>
    <mergeCell ref="H542:I542"/>
    <mergeCell ref="D543:E543"/>
    <mergeCell ref="A544:B544"/>
    <mergeCell ref="D544:E544"/>
    <mergeCell ref="A545:B545"/>
    <mergeCell ref="D545:E545"/>
    <mergeCell ref="G545:H545"/>
    <mergeCell ref="D546:E546"/>
    <mergeCell ref="G546:H546"/>
    <mergeCell ref="D547:E547"/>
    <mergeCell ref="G547:H547"/>
    <mergeCell ref="D548:E548"/>
    <mergeCell ref="A553:L554"/>
    <mergeCell ref="A561:C561"/>
    <mergeCell ref="G561:I561"/>
    <mergeCell ref="A564:C564"/>
    <mergeCell ref="G564:I564"/>
    <mergeCell ref="A571:C571"/>
    <mergeCell ref="G571:I571"/>
    <mergeCell ref="J571:K571"/>
    <mergeCell ref="G572:I572"/>
    <mergeCell ref="J572:K572"/>
    <mergeCell ref="G573:I573"/>
    <mergeCell ref="J573:K573"/>
    <mergeCell ref="G574:I574"/>
    <mergeCell ref="J574:K574"/>
    <mergeCell ref="G575:I575"/>
    <mergeCell ref="J575:K575"/>
    <mergeCell ref="G576:I576"/>
    <mergeCell ref="J576:K576"/>
    <mergeCell ref="G577:I577"/>
    <mergeCell ref="J577:K577"/>
    <mergeCell ref="J578:K578"/>
    <mergeCell ref="J579:K579"/>
    <mergeCell ref="G580:I580"/>
    <mergeCell ref="J580:K580"/>
    <mergeCell ref="G581:I581"/>
    <mergeCell ref="J581:K581"/>
    <mergeCell ref="B584:E584"/>
    <mergeCell ref="H584:K584"/>
    <mergeCell ref="D587:E587"/>
    <mergeCell ref="H587:I587"/>
    <mergeCell ref="D588:E588"/>
    <mergeCell ref="H588:I588"/>
    <mergeCell ref="D589:E589"/>
    <mergeCell ref="A590:B590"/>
    <mergeCell ref="D590:E590"/>
    <mergeCell ref="A591:B591"/>
    <mergeCell ref="D591:E591"/>
    <mergeCell ref="G591:H591"/>
    <mergeCell ref="D592:E592"/>
    <mergeCell ref="G592:H592"/>
    <mergeCell ref="D593:E593"/>
    <mergeCell ref="G593:H593"/>
    <mergeCell ref="D594:E594"/>
    <mergeCell ref="A599:L600"/>
    <mergeCell ref="A607:C607"/>
    <mergeCell ref="G607:I607"/>
    <mergeCell ref="A610:C610"/>
    <mergeCell ref="G610:I610"/>
    <mergeCell ref="A617:C617"/>
    <mergeCell ref="G617:I617"/>
    <mergeCell ref="J617:K617"/>
    <mergeCell ref="G618:I618"/>
    <mergeCell ref="J618:K618"/>
    <mergeCell ref="G619:I619"/>
    <mergeCell ref="J619:K619"/>
    <mergeCell ref="G620:I620"/>
    <mergeCell ref="J620:K620"/>
    <mergeCell ref="G621:I621"/>
    <mergeCell ref="J621:K621"/>
    <mergeCell ref="G622:I622"/>
    <mergeCell ref="J622:K622"/>
    <mergeCell ref="G623:I623"/>
    <mergeCell ref="J623:K623"/>
    <mergeCell ref="J624:K624"/>
    <mergeCell ref="J625:K625"/>
    <mergeCell ref="G626:I626"/>
    <mergeCell ref="J626:K626"/>
    <mergeCell ref="G627:I627"/>
    <mergeCell ref="J627:K627"/>
    <mergeCell ref="B630:E630"/>
    <mergeCell ref="H630:K630"/>
    <mergeCell ref="D633:E633"/>
    <mergeCell ref="H633:I633"/>
    <mergeCell ref="D634:E634"/>
    <mergeCell ref="H634:I634"/>
    <mergeCell ref="D635:E635"/>
    <mergeCell ref="A636:B636"/>
    <mergeCell ref="D636:E636"/>
    <mergeCell ref="A637:B637"/>
    <mergeCell ref="D637:E637"/>
    <mergeCell ref="G637:H637"/>
    <mergeCell ref="D638:E638"/>
    <mergeCell ref="G638:H638"/>
    <mergeCell ref="D639:E639"/>
    <mergeCell ref="G639:H639"/>
    <mergeCell ref="D640:E640"/>
    <mergeCell ref="A645:L646"/>
    <mergeCell ref="A653:C653"/>
    <mergeCell ref="G653:I653"/>
    <mergeCell ref="A656:C656"/>
    <mergeCell ref="G656:I656"/>
    <mergeCell ref="A663:C663"/>
    <mergeCell ref="G663:I663"/>
    <mergeCell ref="J663:K663"/>
    <mergeCell ref="G664:I664"/>
    <mergeCell ref="J664:K664"/>
    <mergeCell ref="G665:I665"/>
    <mergeCell ref="J665:K665"/>
    <mergeCell ref="D684:E684"/>
    <mergeCell ref="G684:H684"/>
    <mergeCell ref="D685:E685"/>
    <mergeCell ref="G685:H685"/>
    <mergeCell ref="D686:E686"/>
    <mergeCell ref="D679:E679"/>
    <mergeCell ref="H679:I679"/>
    <mergeCell ref="D680:E680"/>
    <mergeCell ref="H680:I680"/>
    <mergeCell ref="D681:E681"/>
    <mergeCell ref="G666:I666"/>
    <mergeCell ref="J666:K666"/>
    <mergeCell ref="G667:I667"/>
    <mergeCell ref="J667:K667"/>
    <mergeCell ref="G668:I668"/>
    <mergeCell ref="J668:K668"/>
    <mergeCell ref="A682:B682"/>
    <mergeCell ref="D682:E682"/>
    <mergeCell ref="A683:B683"/>
    <mergeCell ref="D683:E683"/>
    <mergeCell ref="G683:H683"/>
    <mergeCell ref="G669:I669"/>
    <mergeCell ref="J669:K669"/>
    <mergeCell ref="J670:K670"/>
    <mergeCell ref="J671:K671"/>
    <mergeCell ref="G672:I672"/>
    <mergeCell ref="J672:K672"/>
    <mergeCell ref="G673:I673"/>
    <mergeCell ref="J673:K673"/>
    <mergeCell ref="B676:E676"/>
    <mergeCell ref="H676:K676"/>
    <mergeCell ref="A1472:L1473"/>
    <mergeCell ref="A1480:C1480"/>
    <mergeCell ref="G1480:I1480"/>
    <mergeCell ref="A1483:C1483"/>
    <mergeCell ref="G1483:I1483"/>
    <mergeCell ref="A1490:C1490"/>
    <mergeCell ref="G1490:I1490"/>
    <mergeCell ref="J1490:K1490"/>
    <mergeCell ref="G1491:I1491"/>
    <mergeCell ref="J1491:K1491"/>
    <mergeCell ref="G1492:I1492"/>
    <mergeCell ref="J1492:K1492"/>
    <mergeCell ref="G1493:I1493"/>
    <mergeCell ref="J1493:K1493"/>
    <mergeCell ref="G1494:I1494"/>
    <mergeCell ref="J1494:K1494"/>
    <mergeCell ref="G1495:I1495"/>
    <mergeCell ref="J1495:K1495"/>
    <mergeCell ref="G1496:I1496"/>
    <mergeCell ref="J1496:K1496"/>
    <mergeCell ref="J1497:K1497"/>
    <mergeCell ref="J1498:K1498"/>
    <mergeCell ref="G1499:I1499"/>
    <mergeCell ref="J1499:K1499"/>
    <mergeCell ref="G1500:I1500"/>
    <mergeCell ref="J1500:K1500"/>
    <mergeCell ref="B1503:E1503"/>
    <mergeCell ref="H1503:K1503"/>
    <mergeCell ref="D1506:E1506"/>
    <mergeCell ref="H1506:I1506"/>
    <mergeCell ref="D1507:E1507"/>
    <mergeCell ref="H1507:I1507"/>
    <mergeCell ref="D1508:E1508"/>
    <mergeCell ref="A1509:B1509"/>
    <mergeCell ref="D1509:E1509"/>
    <mergeCell ref="A1510:B1510"/>
    <mergeCell ref="D1510:E1510"/>
    <mergeCell ref="G1510:H1510"/>
    <mergeCell ref="D1511:E1511"/>
    <mergeCell ref="G1511:H1511"/>
    <mergeCell ref="D1512:E1512"/>
    <mergeCell ref="G1512:H1512"/>
    <mergeCell ref="D1513:E1513"/>
    <mergeCell ref="A1518:L1519"/>
    <mergeCell ref="A1526:C1526"/>
    <mergeCell ref="G1526:I1526"/>
    <mergeCell ref="A1529:C1529"/>
    <mergeCell ref="G1529:I1529"/>
    <mergeCell ref="A1536:C1536"/>
    <mergeCell ref="G1536:I1536"/>
    <mergeCell ref="J1536:K1536"/>
    <mergeCell ref="G1537:I1537"/>
    <mergeCell ref="J1537:K1537"/>
    <mergeCell ref="G1538:I1538"/>
    <mergeCell ref="J1538:K1538"/>
    <mergeCell ref="G1539:I1539"/>
    <mergeCell ref="J1539:K1539"/>
    <mergeCell ref="G1540:I1540"/>
    <mergeCell ref="J1540:K1540"/>
    <mergeCell ref="G1541:I1541"/>
    <mergeCell ref="J1541:K1541"/>
    <mergeCell ref="G1542:I1542"/>
    <mergeCell ref="J1542:K1542"/>
    <mergeCell ref="J1543:K1543"/>
    <mergeCell ref="J1544:K1544"/>
    <mergeCell ref="G1545:I1545"/>
    <mergeCell ref="J1545:K1545"/>
    <mergeCell ref="G1546:I1546"/>
    <mergeCell ref="J1546:K1546"/>
    <mergeCell ref="B1549:E1549"/>
    <mergeCell ref="H1549:K1549"/>
    <mergeCell ref="D1552:E1552"/>
    <mergeCell ref="H1552:I1552"/>
    <mergeCell ref="D1553:E1553"/>
    <mergeCell ref="H1553:I1553"/>
    <mergeCell ref="D1554:E1554"/>
    <mergeCell ref="A1555:B1555"/>
    <mergeCell ref="D1555:E1555"/>
    <mergeCell ref="A1556:B1556"/>
    <mergeCell ref="D1556:E1556"/>
    <mergeCell ref="G1556:H1556"/>
    <mergeCell ref="D1557:E1557"/>
    <mergeCell ref="G1557:H1557"/>
    <mergeCell ref="D1558:E1558"/>
    <mergeCell ref="G1558:H1558"/>
    <mergeCell ref="D1559:E1559"/>
    <mergeCell ref="A1564:L1565"/>
    <mergeCell ref="A1572:C1572"/>
    <mergeCell ref="G1572:I1572"/>
    <mergeCell ref="A1575:C1575"/>
    <mergeCell ref="G1575:I1575"/>
    <mergeCell ref="A1582:C1582"/>
    <mergeCell ref="G1582:I1582"/>
    <mergeCell ref="J1582:K1582"/>
    <mergeCell ref="G1583:I1583"/>
    <mergeCell ref="J1583:K1583"/>
    <mergeCell ref="G1584:I1584"/>
    <mergeCell ref="J1584:K1584"/>
    <mergeCell ref="G1585:I1585"/>
    <mergeCell ref="J1585:K1585"/>
    <mergeCell ref="G1586:I1586"/>
    <mergeCell ref="J1586:K1586"/>
    <mergeCell ref="G1587:I1587"/>
    <mergeCell ref="J1587:K1587"/>
    <mergeCell ref="G1588:I1588"/>
    <mergeCell ref="J1588:K1588"/>
    <mergeCell ref="J1589:K1589"/>
    <mergeCell ref="J1590:K1590"/>
    <mergeCell ref="G1591:I1591"/>
    <mergeCell ref="J1591:K1591"/>
    <mergeCell ref="G1592:I1592"/>
    <mergeCell ref="J1592:K1592"/>
    <mergeCell ref="B1595:E1595"/>
    <mergeCell ref="H1595:K1595"/>
    <mergeCell ref="D1598:E1598"/>
    <mergeCell ref="H1598:I1598"/>
    <mergeCell ref="D1599:E1599"/>
    <mergeCell ref="H1599:I1599"/>
    <mergeCell ref="D1600:E1600"/>
    <mergeCell ref="A1601:B1601"/>
    <mergeCell ref="D1601:E1601"/>
    <mergeCell ref="A1602:B1602"/>
    <mergeCell ref="D1602:E1602"/>
    <mergeCell ref="G1602:H1602"/>
    <mergeCell ref="D1603:E1603"/>
    <mergeCell ref="G1603:H1603"/>
    <mergeCell ref="D1604:E1604"/>
    <mergeCell ref="G1604:H1604"/>
    <mergeCell ref="D1605:E1605"/>
    <mergeCell ref="A1610:L1611"/>
    <mergeCell ref="A1618:C1618"/>
    <mergeCell ref="G1618:I1618"/>
    <mergeCell ref="A1621:C1621"/>
    <mergeCell ref="G1621:I1621"/>
    <mergeCell ref="A1628:C1628"/>
    <mergeCell ref="G1628:I1628"/>
    <mergeCell ref="J1628:K1628"/>
    <mergeCell ref="G1629:I1629"/>
    <mergeCell ref="J1629:K1629"/>
    <mergeCell ref="G1630:I1630"/>
    <mergeCell ref="J1630:K1630"/>
    <mergeCell ref="G1631:I1631"/>
    <mergeCell ref="J1631:K1631"/>
    <mergeCell ref="G1632:I1632"/>
    <mergeCell ref="J1632:K1632"/>
    <mergeCell ref="G1633:I1633"/>
    <mergeCell ref="J1633:K1633"/>
    <mergeCell ref="G1634:I1634"/>
    <mergeCell ref="J1634:K1634"/>
    <mergeCell ref="J1635:K1635"/>
    <mergeCell ref="J1636:K1636"/>
    <mergeCell ref="G1637:I1637"/>
    <mergeCell ref="J1637:K1637"/>
    <mergeCell ref="G1638:I1638"/>
    <mergeCell ref="J1638:K1638"/>
    <mergeCell ref="B1641:E1641"/>
    <mergeCell ref="H1641:K1641"/>
    <mergeCell ref="D1644:E1644"/>
    <mergeCell ref="H1644:I1644"/>
    <mergeCell ref="D1645:E1645"/>
    <mergeCell ref="H1645:I1645"/>
    <mergeCell ref="D1646:E1646"/>
    <mergeCell ref="A1647:B1647"/>
    <mergeCell ref="D1647:E1647"/>
    <mergeCell ref="A1648:B1648"/>
    <mergeCell ref="D1648:E1648"/>
    <mergeCell ref="G1648:H1648"/>
    <mergeCell ref="D1649:E1649"/>
    <mergeCell ref="G1649:H1649"/>
    <mergeCell ref="D1650:E1650"/>
    <mergeCell ref="G1650:H1650"/>
    <mergeCell ref="D1651:E1651"/>
    <mergeCell ref="A1656:L1657"/>
    <mergeCell ref="A1664:C1664"/>
    <mergeCell ref="G1664:I1664"/>
    <mergeCell ref="A1667:C1667"/>
    <mergeCell ref="G1667:I1667"/>
    <mergeCell ref="A1674:C1674"/>
    <mergeCell ref="G1674:I1674"/>
    <mergeCell ref="J1674:K1674"/>
    <mergeCell ref="G1675:I1675"/>
    <mergeCell ref="J1675:K1675"/>
    <mergeCell ref="G1676:I1676"/>
    <mergeCell ref="J1676:K1676"/>
    <mergeCell ref="G1677:I1677"/>
    <mergeCell ref="J1677:K1677"/>
    <mergeCell ref="G1678:I1678"/>
    <mergeCell ref="J1678:K1678"/>
    <mergeCell ref="G1679:I1679"/>
    <mergeCell ref="J1679:K1679"/>
    <mergeCell ref="G1680:I1680"/>
    <mergeCell ref="J1680:K1680"/>
    <mergeCell ref="J1681:K1681"/>
    <mergeCell ref="J1682:K1682"/>
    <mergeCell ref="D1696:E1696"/>
    <mergeCell ref="G1696:H1696"/>
    <mergeCell ref="D1697:E1697"/>
    <mergeCell ref="G1683:I1683"/>
    <mergeCell ref="J1683:K1683"/>
    <mergeCell ref="G1684:I1684"/>
    <mergeCell ref="J1684:K1684"/>
    <mergeCell ref="B1687:E1687"/>
    <mergeCell ref="H1687:K1687"/>
    <mergeCell ref="D1690:E1690"/>
    <mergeCell ref="H1690:I1690"/>
    <mergeCell ref="D1691:E1691"/>
    <mergeCell ref="H1691:I1691"/>
    <mergeCell ref="D1692:E1692"/>
    <mergeCell ref="A1693:B1693"/>
    <mergeCell ref="D1693:E1693"/>
    <mergeCell ref="A1694:B1694"/>
    <mergeCell ref="D1694:E1694"/>
    <mergeCell ref="G1694:H1694"/>
    <mergeCell ref="D1695:E1695"/>
    <mergeCell ref="G1695:H1695"/>
    <mergeCell ref="A1702:L1703"/>
    <mergeCell ref="A1710:C1710"/>
    <mergeCell ref="G1710:I1710"/>
    <mergeCell ref="A1713:C1713"/>
    <mergeCell ref="G1713:I1713"/>
    <mergeCell ref="A1720:C1720"/>
    <mergeCell ref="G1720:I1720"/>
    <mergeCell ref="J1720:K1720"/>
    <mergeCell ref="G1721:I1721"/>
    <mergeCell ref="J1721:K1721"/>
    <mergeCell ref="G1722:I1722"/>
    <mergeCell ref="J1722:K1722"/>
    <mergeCell ref="G1723:I1723"/>
    <mergeCell ref="J1723:K1723"/>
    <mergeCell ref="G1724:I1724"/>
    <mergeCell ref="J1724:K1724"/>
    <mergeCell ref="G1725:I1725"/>
    <mergeCell ref="J1725:K1725"/>
    <mergeCell ref="G1726:I1726"/>
    <mergeCell ref="J1726:K1726"/>
    <mergeCell ref="J1727:K1727"/>
    <mergeCell ref="J1728:K1728"/>
    <mergeCell ref="G1729:I1729"/>
    <mergeCell ref="J1729:K1729"/>
    <mergeCell ref="G1730:I1730"/>
    <mergeCell ref="J1730:K1730"/>
    <mergeCell ref="B1733:E1733"/>
    <mergeCell ref="H1733:K1733"/>
    <mergeCell ref="D1736:E1736"/>
    <mergeCell ref="H1736:I1736"/>
    <mergeCell ref="D1737:E1737"/>
    <mergeCell ref="H1737:I1737"/>
    <mergeCell ref="D1738:E1738"/>
    <mergeCell ref="A1739:B1739"/>
    <mergeCell ref="D1739:E1739"/>
    <mergeCell ref="A1740:B1740"/>
    <mergeCell ref="D1740:E1740"/>
    <mergeCell ref="G1740:H1740"/>
    <mergeCell ref="D1741:E1741"/>
    <mergeCell ref="G1741:H1741"/>
    <mergeCell ref="D1742:E1742"/>
    <mergeCell ref="G1742:H1742"/>
    <mergeCell ref="D1743:E1743"/>
    <mergeCell ref="A1748:L1749"/>
    <mergeCell ref="A1756:C1756"/>
    <mergeCell ref="G1756:I1756"/>
    <mergeCell ref="A1759:C1759"/>
    <mergeCell ref="G1759:I1759"/>
    <mergeCell ref="A1766:C1766"/>
    <mergeCell ref="G1766:I1766"/>
    <mergeCell ref="J1766:K1766"/>
    <mergeCell ref="G1767:I1767"/>
    <mergeCell ref="J1767:K1767"/>
    <mergeCell ref="G1768:I1768"/>
    <mergeCell ref="J1768:K1768"/>
    <mergeCell ref="G1769:I1769"/>
    <mergeCell ref="J1769:K1769"/>
    <mergeCell ref="G1770:I1770"/>
    <mergeCell ref="J1770:K1770"/>
    <mergeCell ref="G1771:I1771"/>
    <mergeCell ref="J1771:K1771"/>
    <mergeCell ref="G1772:I1772"/>
    <mergeCell ref="J1772:K1772"/>
    <mergeCell ref="J1773:K1773"/>
    <mergeCell ref="J1774:K1774"/>
    <mergeCell ref="G1775:I1775"/>
    <mergeCell ref="J1775:K1775"/>
    <mergeCell ref="G1776:I1776"/>
    <mergeCell ref="J1776:K1776"/>
    <mergeCell ref="B1779:E1779"/>
    <mergeCell ref="H1779:K1779"/>
    <mergeCell ref="D1782:E1782"/>
    <mergeCell ref="H1782:I1782"/>
    <mergeCell ref="D1783:E1783"/>
    <mergeCell ref="H1783:I1783"/>
    <mergeCell ref="D1784:E1784"/>
    <mergeCell ref="A1785:B1785"/>
    <mergeCell ref="D1785:E1785"/>
    <mergeCell ref="A1786:B1786"/>
    <mergeCell ref="D1786:E1786"/>
    <mergeCell ref="G1786:H1786"/>
    <mergeCell ref="D1787:E1787"/>
    <mergeCell ref="G1787:H1787"/>
    <mergeCell ref="D1788:E1788"/>
    <mergeCell ref="G1788:H1788"/>
    <mergeCell ref="D1789:E1789"/>
    <mergeCell ref="A1794:L1795"/>
    <mergeCell ref="A1802:C1802"/>
    <mergeCell ref="G1802:I1802"/>
    <mergeCell ref="A1805:C1805"/>
    <mergeCell ref="G1805:I1805"/>
    <mergeCell ref="A1812:C1812"/>
    <mergeCell ref="G1812:I1812"/>
    <mergeCell ref="J1812:K1812"/>
    <mergeCell ref="G1813:I1813"/>
    <mergeCell ref="J1813:K1813"/>
    <mergeCell ref="G1814:I1814"/>
    <mergeCell ref="J1814:K1814"/>
    <mergeCell ref="G1815:I1815"/>
    <mergeCell ref="J1815:K1815"/>
    <mergeCell ref="G1816:I1816"/>
    <mergeCell ref="J1816:K1816"/>
    <mergeCell ref="G1817:I1817"/>
    <mergeCell ref="J1817:K1817"/>
    <mergeCell ref="G1818:I1818"/>
    <mergeCell ref="J1818:K1818"/>
    <mergeCell ref="J1819:K1819"/>
    <mergeCell ref="J1820:K1820"/>
    <mergeCell ref="G1821:I1821"/>
    <mergeCell ref="J1821:K1821"/>
    <mergeCell ref="G1822:I1822"/>
    <mergeCell ref="J1822:K1822"/>
    <mergeCell ref="B1825:E1825"/>
    <mergeCell ref="H1825:K1825"/>
    <mergeCell ref="D1828:E1828"/>
    <mergeCell ref="H1828:I1828"/>
    <mergeCell ref="D1829:E1829"/>
    <mergeCell ref="H1829:I1829"/>
    <mergeCell ref="D1830:E1830"/>
    <mergeCell ref="A1831:B1831"/>
    <mergeCell ref="D1831:E1831"/>
    <mergeCell ref="A1832:B1832"/>
    <mergeCell ref="D1832:E1832"/>
    <mergeCell ref="G1832:H1832"/>
    <mergeCell ref="D1833:E1833"/>
    <mergeCell ref="G1833:H1833"/>
    <mergeCell ref="D1834:E1834"/>
    <mergeCell ref="G1834:H1834"/>
    <mergeCell ref="D1835:E1835"/>
    <mergeCell ref="A1841:L1842"/>
    <mergeCell ref="A1849:C1849"/>
    <mergeCell ref="G1849:I1849"/>
    <mergeCell ref="A1852:C1852"/>
    <mergeCell ref="G1852:I1852"/>
    <mergeCell ref="A1859:C1859"/>
    <mergeCell ref="G1859:I1859"/>
    <mergeCell ref="J1859:K1859"/>
    <mergeCell ref="G1860:I1860"/>
    <mergeCell ref="J1860:K1860"/>
    <mergeCell ref="G1861:I1861"/>
    <mergeCell ref="J1861:K1861"/>
    <mergeCell ref="D1876:E1876"/>
    <mergeCell ref="H1876:I1876"/>
    <mergeCell ref="D1877:E1877"/>
    <mergeCell ref="A1878:B1878"/>
    <mergeCell ref="D1878:E1878"/>
    <mergeCell ref="A1879:B1879"/>
    <mergeCell ref="D1879:E1879"/>
    <mergeCell ref="G1879:H1879"/>
    <mergeCell ref="D1880:E1880"/>
    <mergeCell ref="G1880:H1880"/>
    <mergeCell ref="D1881:E1881"/>
    <mergeCell ref="G1881:H1881"/>
    <mergeCell ref="D1882:E1882"/>
    <mergeCell ref="G1862:I1862"/>
    <mergeCell ref="J1862:K1862"/>
    <mergeCell ref="G1863:I1863"/>
    <mergeCell ref="J1863:K1863"/>
    <mergeCell ref="G1864:I1864"/>
    <mergeCell ref="J1864:K1864"/>
    <mergeCell ref="G1865:I1865"/>
    <mergeCell ref="J1865:K1865"/>
    <mergeCell ref="J1866:K1866"/>
    <mergeCell ref="J1867:K1867"/>
    <mergeCell ref="G1868:I1868"/>
    <mergeCell ref="J1868:K1868"/>
    <mergeCell ref="G1869:I1869"/>
    <mergeCell ref="J1869:K1869"/>
    <mergeCell ref="B1872:E1872"/>
    <mergeCell ref="H1872:K1872"/>
    <mergeCell ref="D1875:E1875"/>
    <mergeCell ref="H1875:I1875"/>
    <mergeCell ref="A1888:L1889"/>
    <mergeCell ref="A1896:C1896"/>
    <mergeCell ref="G1896:I1896"/>
    <mergeCell ref="A1899:C1899"/>
    <mergeCell ref="G1899:I1899"/>
    <mergeCell ref="A1906:C1906"/>
    <mergeCell ref="G1906:I1906"/>
    <mergeCell ref="J1906:K1906"/>
    <mergeCell ref="G1907:I1907"/>
    <mergeCell ref="J1907:K1907"/>
    <mergeCell ref="G1908:I1908"/>
    <mergeCell ref="J1908:K1908"/>
    <mergeCell ref="G1909:I1909"/>
    <mergeCell ref="J1909:K1909"/>
    <mergeCell ref="G1910:I1910"/>
    <mergeCell ref="J1910:K1910"/>
    <mergeCell ref="G1911:I1911"/>
    <mergeCell ref="J1911:K1911"/>
    <mergeCell ref="G1912:I1912"/>
    <mergeCell ref="J1912:K1912"/>
    <mergeCell ref="J1913:K1913"/>
    <mergeCell ref="J1914:K1914"/>
    <mergeCell ref="G1915:I1915"/>
    <mergeCell ref="J1915:K1915"/>
    <mergeCell ref="G1916:I1916"/>
    <mergeCell ref="J1916:K1916"/>
    <mergeCell ref="B1919:E1919"/>
    <mergeCell ref="H1919:K1919"/>
    <mergeCell ref="D1922:E1922"/>
    <mergeCell ref="H1922:I1922"/>
    <mergeCell ref="D1923:E1923"/>
    <mergeCell ref="H1923:I1923"/>
    <mergeCell ref="D1924:E1924"/>
    <mergeCell ref="A1925:B1925"/>
    <mergeCell ref="D1925:E1925"/>
    <mergeCell ref="A1926:B1926"/>
    <mergeCell ref="D1926:E1926"/>
    <mergeCell ref="G1926:H1926"/>
    <mergeCell ref="D1927:E1927"/>
    <mergeCell ref="G1927:H1927"/>
    <mergeCell ref="D1928:E1928"/>
    <mergeCell ref="G1928:H1928"/>
    <mergeCell ref="D1929:E1929"/>
    <mergeCell ref="A1934:L1935"/>
    <mergeCell ref="A1942:C1942"/>
    <mergeCell ref="G1942:I1942"/>
    <mergeCell ref="A1945:C1945"/>
    <mergeCell ref="G1945:I1945"/>
    <mergeCell ref="A1952:C1952"/>
    <mergeCell ref="G1952:I1952"/>
    <mergeCell ref="J1952:K1952"/>
    <mergeCell ref="G1953:I1953"/>
    <mergeCell ref="J1953:K1953"/>
    <mergeCell ref="G1954:I1954"/>
    <mergeCell ref="J1954:K1954"/>
    <mergeCell ref="G1955:I1955"/>
    <mergeCell ref="J1955:K1955"/>
    <mergeCell ref="G1956:I1956"/>
    <mergeCell ref="J1956:K1956"/>
    <mergeCell ref="G1957:I1957"/>
    <mergeCell ref="J1957:K1957"/>
    <mergeCell ref="G1958:I1958"/>
    <mergeCell ref="J1958:K1958"/>
    <mergeCell ref="J1959:K1959"/>
    <mergeCell ref="J1960:K1960"/>
    <mergeCell ref="G1961:I1961"/>
    <mergeCell ref="J1961:K1961"/>
    <mergeCell ref="G1962:I1962"/>
    <mergeCell ref="J1962:K1962"/>
    <mergeCell ref="B1965:E1965"/>
    <mergeCell ref="H1965:K1965"/>
    <mergeCell ref="D1968:E1968"/>
    <mergeCell ref="H1968:I1968"/>
    <mergeCell ref="D1969:E1969"/>
    <mergeCell ref="H1969:I1969"/>
    <mergeCell ref="D1970:E1970"/>
    <mergeCell ref="A1971:B1971"/>
    <mergeCell ref="D1971:E1971"/>
    <mergeCell ref="A1972:B1972"/>
    <mergeCell ref="D1972:E1972"/>
    <mergeCell ref="G1972:H1972"/>
    <mergeCell ref="D1973:E1973"/>
    <mergeCell ref="G1973:H1973"/>
    <mergeCell ref="D1974:E1974"/>
    <mergeCell ref="G1974:H1974"/>
    <mergeCell ref="D1975:E1975"/>
    <mergeCell ref="A1980:L1981"/>
    <mergeCell ref="A1988:C1988"/>
    <mergeCell ref="G1988:I1988"/>
    <mergeCell ref="A1991:C1991"/>
    <mergeCell ref="G1991:I1991"/>
    <mergeCell ref="A1998:C1998"/>
    <mergeCell ref="G1998:I1998"/>
    <mergeCell ref="J1998:K1998"/>
    <mergeCell ref="G1999:I1999"/>
    <mergeCell ref="J1999:K1999"/>
    <mergeCell ref="G2000:I2000"/>
    <mergeCell ref="J2000:K2000"/>
    <mergeCell ref="G2001:I2001"/>
    <mergeCell ref="J2001:K2001"/>
    <mergeCell ref="G2002:I2002"/>
    <mergeCell ref="J2002:K2002"/>
    <mergeCell ref="G2003:I2003"/>
    <mergeCell ref="J2003:K2003"/>
    <mergeCell ref="G2004:I2004"/>
    <mergeCell ref="J2004:K2004"/>
    <mergeCell ref="J2005:K2005"/>
    <mergeCell ref="J2006:K2006"/>
    <mergeCell ref="G2007:I2007"/>
    <mergeCell ref="J2007:K2007"/>
    <mergeCell ref="G2008:I2008"/>
    <mergeCell ref="J2008:K2008"/>
    <mergeCell ref="B2011:E2011"/>
    <mergeCell ref="H2011:K2011"/>
    <mergeCell ref="D2014:E2014"/>
    <mergeCell ref="H2014:I2014"/>
    <mergeCell ref="D2015:E2015"/>
    <mergeCell ref="H2015:I2015"/>
    <mergeCell ref="D2016:E2016"/>
    <mergeCell ref="A2017:B2017"/>
    <mergeCell ref="D2017:E2017"/>
    <mergeCell ref="A2018:B2018"/>
    <mergeCell ref="D2018:E2018"/>
    <mergeCell ref="G2018:H2018"/>
    <mergeCell ref="D2019:E2019"/>
    <mergeCell ref="G2019:H2019"/>
    <mergeCell ref="D2020:E2020"/>
    <mergeCell ref="G2020:H2020"/>
    <mergeCell ref="D2021:E2021"/>
    <mergeCell ref="A2026:L2027"/>
    <mergeCell ref="A2034:C2034"/>
    <mergeCell ref="G2034:I2034"/>
    <mergeCell ref="A2037:C2037"/>
    <mergeCell ref="G2037:I2037"/>
    <mergeCell ref="A2044:C2044"/>
    <mergeCell ref="G2044:I2044"/>
    <mergeCell ref="J2044:K2044"/>
    <mergeCell ref="G2045:I2045"/>
    <mergeCell ref="J2045:K2045"/>
    <mergeCell ref="G2046:I2046"/>
    <mergeCell ref="J2046:K2046"/>
    <mergeCell ref="G2047:I2047"/>
    <mergeCell ref="J2047:K2047"/>
    <mergeCell ref="G2048:I2048"/>
    <mergeCell ref="J2048:K2048"/>
    <mergeCell ref="G2049:I2049"/>
    <mergeCell ref="J2049:K2049"/>
    <mergeCell ref="G2050:I2050"/>
    <mergeCell ref="J2050:K2050"/>
    <mergeCell ref="J2051:K2051"/>
    <mergeCell ref="J2052:K2052"/>
    <mergeCell ref="G2053:I2053"/>
    <mergeCell ref="J2053:K2053"/>
    <mergeCell ref="G2054:I2054"/>
    <mergeCell ref="J2054:K2054"/>
    <mergeCell ref="B2057:E2057"/>
    <mergeCell ref="H2057:K2057"/>
    <mergeCell ref="D2060:E2060"/>
    <mergeCell ref="H2060:I2060"/>
    <mergeCell ref="D2061:E2061"/>
    <mergeCell ref="H2061:I2061"/>
    <mergeCell ref="D2062:E2062"/>
    <mergeCell ref="A2063:B2063"/>
    <mergeCell ref="D2063:E2063"/>
    <mergeCell ref="A2064:B2064"/>
    <mergeCell ref="D2064:E2064"/>
    <mergeCell ref="G2064:H2064"/>
    <mergeCell ref="D2065:E2065"/>
    <mergeCell ref="G2065:H2065"/>
    <mergeCell ref="D2066:E2066"/>
    <mergeCell ref="G2066:H2066"/>
    <mergeCell ref="D2067:E2067"/>
    <mergeCell ref="A2072:L2073"/>
    <mergeCell ref="A2080:C2080"/>
    <mergeCell ref="G2080:I2080"/>
    <mergeCell ref="A2083:C2083"/>
    <mergeCell ref="G2083:I2083"/>
    <mergeCell ref="A2090:C2090"/>
    <mergeCell ref="G2090:I2090"/>
    <mergeCell ref="J2090:K2090"/>
    <mergeCell ref="G2091:I2091"/>
    <mergeCell ref="J2091:K2091"/>
    <mergeCell ref="G2092:I2092"/>
    <mergeCell ref="J2092:K2092"/>
    <mergeCell ref="G2093:I2093"/>
    <mergeCell ref="J2093:K2093"/>
    <mergeCell ref="G2094:I2094"/>
    <mergeCell ref="J2094:K2094"/>
    <mergeCell ref="G2095:I2095"/>
    <mergeCell ref="J2095:K2095"/>
    <mergeCell ref="G2096:I2096"/>
    <mergeCell ref="J2096:K2096"/>
    <mergeCell ref="J2097:K2097"/>
    <mergeCell ref="J2098:K2098"/>
    <mergeCell ref="D2112:E2112"/>
    <mergeCell ref="G2112:H2112"/>
    <mergeCell ref="D2113:E2113"/>
    <mergeCell ref="G2099:I2099"/>
    <mergeCell ref="J2099:K2099"/>
    <mergeCell ref="G2100:I2100"/>
    <mergeCell ref="J2100:K2100"/>
    <mergeCell ref="B2103:E2103"/>
    <mergeCell ref="H2103:K2103"/>
    <mergeCell ref="D2106:E2106"/>
    <mergeCell ref="H2106:I2106"/>
    <mergeCell ref="D2107:E2107"/>
    <mergeCell ref="H2107:I2107"/>
    <mergeCell ref="D2108:E2108"/>
    <mergeCell ref="A2109:B2109"/>
    <mergeCell ref="D2109:E2109"/>
    <mergeCell ref="A2110:B2110"/>
    <mergeCell ref="D2110:E2110"/>
    <mergeCell ref="G2110:H2110"/>
    <mergeCell ref="D2111:E2111"/>
    <mergeCell ref="G2111:H2111"/>
    <mergeCell ref="A2164:L2165"/>
    <mergeCell ref="A2172:C2172"/>
    <mergeCell ref="G2172:I2172"/>
    <mergeCell ref="A2175:C2175"/>
    <mergeCell ref="G2175:I2175"/>
    <mergeCell ref="A2182:C2182"/>
    <mergeCell ref="G2182:I2182"/>
    <mergeCell ref="J2182:K2182"/>
    <mergeCell ref="G2183:I2183"/>
    <mergeCell ref="J2183:K2183"/>
    <mergeCell ref="G2184:I2184"/>
    <mergeCell ref="J2184:K2184"/>
    <mergeCell ref="G2185:I2185"/>
    <mergeCell ref="J2185:K2185"/>
    <mergeCell ref="G2186:I2186"/>
    <mergeCell ref="J2186:K2186"/>
    <mergeCell ref="G2187:I2187"/>
    <mergeCell ref="J2187:K2187"/>
    <mergeCell ref="G2188:I2188"/>
    <mergeCell ref="J2188:K2188"/>
    <mergeCell ref="J2189:K2189"/>
    <mergeCell ref="J2190:K2190"/>
    <mergeCell ref="G2191:I2191"/>
    <mergeCell ref="J2191:K2191"/>
    <mergeCell ref="G2192:I2192"/>
    <mergeCell ref="J2192:K2192"/>
    <mergeCell ref="B2195:E2195"/>
    <mergeCell ref="H2195:K2195"/>
    <mergeCell ref="D2198:E2198"/>
    <mergeCell ref="H2198:I2198"/>
    <mergeCell ref="D2199:E2199"/>
    <mergeCell ref="H2199:I2199"/>
    <mergeCell ref="D2200:E2200"/>
    <mergeCell ref="A2201:B2201"/>
    <mergeCell ref="D2201:E2201"/>
    <mergeCell ref="A2202:B2202"/>
    <mergeCell ref="D2202:E2202"/>
    <mergeCell ref="G2202:H2202"/>
    <mergeCell ref="D2203:E2203"/>
    <mergeCell ref="G2203:H2203"/>
    <mergeCell ref="D2204:E2204"/>
    <mergeCell ref="G2204:H2204"/>
    <mergeCell ref="D2205:E2205"/>
    <mergeCell ref="A2210:L2211"/>
    <mergeCell ref="A2218:C2218"/>
    <mergeCell ref="G2218:I2218"/>
    <mergeCell ref="A2221:C2221"/>
    <mergeCell ref="G2221:I2221"/>
    <mergeCell ref="A2228:C2228"/>
    <mergeCell ref="G2228:I2228"/>
    <mergeCell ref="J2228:K2228"/>
    <mergeCell ref="G2229:I2229"/>
    <mergeCell ref="J2229:K2229"/>
    <mergeCell ref="G2230:I2230"/>
    <mergeCell ref="J2230:K2230"/>
    <mergeCell ref="G2231:I2231"/>
    <mergeCell ref="J2231:K2231"/>
    <mergeCell ref="G2232:I2232"/>
    <mergeCell ref="J2232:K2232"/>
    <mergeCell ref="G2233:I2233"/>
    <mergeCell ref="J2233:K2233"/>
    <mergeCell ref="G2234:I2234"/>
    <mergeCell ref="J2234:K2234"/>
    <mergeCell ref="J2235:K2235"/>
    <mergeCell ref="J2236:K2236"/>
    <mergeCell ref="G2237:I2237"/>
    <mergeCell ref="J2237:K2237"/>
    <mergeCell ref="G2238:I2238"/>
    <mergeCell ref="J2238:K2238"/>
    <mergeCell ref="B2241:E2241"/>
    <mergeCell ref="H2241:K2241"/>
    <mergeCell ref="D2244:E2244"/>
    <mergeCell ref="H2244:I2244"/>
    <mergeCell ref="D2245:E2245"/>
    <mergeCell ref="H2245:I2245"/>
    <mergeCell ref="D2246:E2246"/>
    <mergeCell ref="A2247:B2247"/>
    <mergeCell ref="D2247:E2247"/>
    <mergeCell ref="A2248:B2248"/>
    <mergeCell ref="D2248:E2248"/>
    <mergeCell ref="G2248:H2248"/>
    <mergeCell ref="D2249:E2249"/>
    <mergeCell ref="G2249:H2249"/>
    <mergeCell ref="D2250:E2250"/>
    <mergeCell ref="G2250:H2250"/>
    <mergeCell ref="D2251:E2251"/>
    <mergeCell ref="A2256:L2257"/>
    <mergeCell ref="A2264:C2264"/>
    <mergeCell ref="G2264:I2264"/>
    <mergeCell ref="A2267:C2267"/>
    <mergeCell ref="G2267:I2267"/>
    <mergeCell ref="A2274:C2274"/>
    <mergeCell ref="G2274:I2274"/>
    <mergeCell ref="J2274:K2274"/>
    <mergeCell ref="G2275:I2275"/>
    <mergeCell ref="J2275:K2275"/>
    <mergeCell ref="G2276:I2276"/>
    <mergeCell ref="J2276:K2276"/>
    <mergeCell ref="G2277:I2277"/>
    <mergeCell ref="J2277:K2277"/>
    <mergeCell ref="G2278:I2278"/>
    <mergeCell ref="J2278:K2278"/>
    <mergeCell ref="G2279:I2279"/>
    <mergeCell ref="J2279:K2279"/>
    <mergeCell ref="G2280:I2280"/>
    <mergeCell ref="J2280:K2280"/>
    <mergeCell ref="J2281:K2281"/>
    <mergeCell ref="J2282:K2282"/>
    <mergeCell ref="G2283:I2283"/>
    <mergeCell ref="J2283:K2283"/>
    <mergeCell ref="G2284:I2284"/>
    <mergeCell ref="J2284:K2284"/>
    <mergeCell ref="B2287:E2287"/>
    <mergeCell ref="H2287:K2287"/>
    <mergeCell ref="D2290:E2290"/>
    <mergeCell ref="H2290:I2290"/>
    <mergeCell ref="D2291:E2291"/>
    <mergeCell ref="H2291:I2291"/>
    <mergeCell ref="D2292:E2292"/>
    <mergeCell ref="A2293:B2293"/>
    <mergeCell ref="D2293:E2293"/>
    <mergeCell ref="A2294:B2294"/>
    <mergeCell ref="D2294:E2294"/>
    <mergeCell ref="G2294:H2294"/>
    <mergeCell ref="D2295:E2295"/>
    <mergeCell ref="G2295:H2295"/>
    <mergeCell ref="D2296:E2296"/>
    <mergeCell ref="G2296:H2296"/>
    <mergeCell ref="D2297:E2297"/>
    <mergeCell ref="A2302:L2303"/>
    <mergeCell ref="A2310:C2310"/>
    <mergeCell ref="G2310:I2310"/>
    <mergeCell ref="A2313:C2313"/>
    <mergeCell ref="G2313:I2313"/>
    <mergeCell ref="A2320:C2320"/>
    <mergeCell ref="G2320:I2320"/>
    <mergeCell ref="J2320:K2320"/>
    <mergeCell ref="G2321:I2321"/>
    <mergeCell ref="J2321:K2321"/>
    <mergeCell ref="G2322:I2322"/>
    <mergeCell ref="J2322:K2322"/>
    <mergeCell ref="G2323:I2323"/>
    <mergeCell ref="J2323:K2323"/>
    <mergeCell ref="G2324:I2324"/>
    <mergeCell ref="J2324:K2324"/>
    <mergeCell ref="G2325:I2325"/>
    <mergeCell ref="J2325:K2325"/>
    <mergeCell ref="G2326:I2326"/>
    <mergeCell ref="J2326:K2326"/>
    <mergeCell ref="J2327:K2327"/>
    <mergeCell ref="J2328:K2328"/>
    <mergeCell ref="G2329:I2329"/>
    <mergeCell ref="J2329:K2329"/>
    <mergeCell ref="G2330:I2330"/>
    <mergeCell ref="J2330:K2330"/>
    <mergeCell ref="B2333:E2333"/>
    <mergeCell ref="H2333:K2333"/>
    <mergeCell ref="D2336:E2336"/>
    <mergeCell ref="H2336:I2336"/>
    <mergeCell ref="D2337:E2337"/>
    <mergeCell ref="H2337:I2337"/>
    <mergeCell ref="D2338:E2338"/>
    <mergeCell ref="A2339:B2339"/>
    <mergeCell ref="D2339:E2339"/>
    <mergeCell ref="A2340:B2340"/>
    <mergeCell ref="D2340:E2340"/>
    <mergeCell ref="G2340:H2340"/>
    <mergeCell ref="D2341:E2341"/>
    <mergeCell ref="G2341:H2341"/>
    <mergeCell ref="D2342:E2342"/>
    <mergeCell ref="G2342:H2342"/>
    <mergeCell ref="D2343:E2343"/>
    <mergeCell ref="A2348:L2349"/>
    <mergeCell ref="A2356:C2356"/>
    <mergeCell ref="G2356:I2356"/>
    <mergeCell ref="A2359:C2359"/>
    <mergeCell ref="G2359:I2359"/>
    <mergeCell ref="A2366:C2366"/>
    <mergeCell ref="G2366:I2366"/>
    <mergeCell ref="J2366:K2366"/>
    <mergeCell ref="G2367:I2367"/>
    <mergeCell ref="J2367:K2367"/>
    <mergeCell ref="G2368:I2368"/>
    <mergeCell ref="J2368:K2368"/>
    <mergeCell ref="G2369:I2369"/>
    <mergeCell ref="J2369:K2369"/>
    <mergeCell ref="G2370:I2370"/>
    <mergeCell ref="J2370:K2370"/>
    <mergeCell ref="G2371:I2371"/>
    <mergeCell ref="J2371:K2371"/>
    <mergeCell ref="G2372:I2372"/>
    <mergeCell ref="J2372:K2372"/>
    <mergeCell ref="J2373:K2373"/>
    <mergeCell ref="J2374:K2374"/>
    <mergeCell ref="D2388:E2388"/>
    <mergeCell ref="G2388:H2388"/>
    <mergeCell ref="D2389:E2389"/>
    <mergeCell ref="G2375:I2375"/>
    <mergeCell ref="J2375:K2375"/>
    <mergeCell ref="G2376:I2376"/>
    <mergeCell ref="J2376:K2376"/>
    <mergeCell ref="B2379:E2379"/>
    <mergeCell ref="H2379:K2379"/>
    <mergeCell ref="D2382:E2382"/>
    <mergeCell ref="H2382:I2382"/>
    <mergeCell ref="D2383:E2383"/>
    <mergeCell ref="H2383:I2383"/>
    <mergeCell ref="D2384:E2384"/>
    <mergeCell ref="A2385:B2385"/>
    <mergeCell ref="D2385:E2385"/>
    <mergeCell ref="A2386:B2386"/>
    <mergeCell ref="D2386:E2386"/>
    <mergeCell ref="G2386:H2386"/>
    <mergeCell ref="D2387:E2387"/>
    <mergeCell ref="G2387:H2387"/>
    <mergeCell ref="A2624:L2625"/>
    <mergeCell ref="A2632:C2632"/>
    <mergeCell ref="G2632:I2632"/>
    <mergeCell ref="A2635:C2635"/>
    <mergeCell ref="G2635:I2635"/>
    <mergeCell ref="A2642:C2642"/>
    <mergeCell ref="G2642:I2642"/>
    <mergeCell ref="J2642:K2642"/>
    <mergeCell ref="G2643:I2643"/>
    <mergeCell ref="J2643:K2643"/>
    <mergeCell ref="G2644:I2644"/>
    <mergeCell ref="J2644:K2644"/>
    <mergeCell ref="G2645:I2645"/>
    <mergeCell ref="J2645:K2645"/>
    <mergeCell ref="G2646:I2646"/>
    <mergeCell ref="J2646:K2646"/>
    <mergeCell ref="G2647:I2647"/>
    <mergeCell ref="J2647:K2647"/>
    <mergeCell ref="G2648:I2648"/>
    <mergeCell ref="J2648:K2648"/>
    <mergeCell ref="J2649:K2649"/>
    <mergeCell ref="J2650:K2650"/>
    <mergeCell ref="G2651:I2651"/>
    <mergeCell ref="J2651:K2651"/>
    <mergeCell ref="G2652:I2652"/>
    <mergeCell ref="J2652:K2652"/>
    <mergeCell ref="B2655:E2655"/>
    <mergeCell ref="H2655:K2655"/>
    <mergeCell ref="D2658:E2658"/>
    <mergeCell ref="H2658:I2658"/>
    <mergeCell ref="D2659:E2659"/>
    <mergeCell ref="H2659:I2659"/>
    <mergeCell ref="D2660:E2660"/>
    <mergeCell ref="A2661:B2661"/>
    <mergeCell ref="D2661:E2661"/>
    <mergeCell ref="A2662:B2662"/>
    <mergeCell ref="D2662:E2662"/>
    <mergeCell ref="G2662:H2662"/>
    <mergeCell ref="D2663:E2663"/>
    <mergeCell ref="G2663:H2663"/>
    <mergeCell ref="D2664:E2664"/>
    <mergeCell ref="G2664:H2664"/>
    <mergeCell ref="D2665:E2665"/>
    <mergeCell ref="A2670:L2671"/>
    <mergeCell ref="A2678:C2678"/>
    <mergeCell ref="G2678:I2678"/>
    <mergeCell ref="A2681:C2681"/>
    <mergeCell ref="G2681:I2681"/>
    <mergeCell ref="A2688:C2688"/>
    <mergeCell ref="G2688:I2688"/>
    <mergeCell ref="J2688:K2688"/>
    <mergeCell ref="G2689:I2689"/>
    <mergeCell ref="J2689:K2689"/>
    <mergeCell ref="G2690:I2690"/>
    <mergeCell ref="J2690:K2690"/>
    <mergeCell ref="G2691:I2691"/>
    <mergeCell ref="J2691:K2691"/>
    <mergeCell ref="G2692:I2692"/>
    <mergeCell ref="J2692:K2692"/>
    <mergeCell ref="G2693:I2693"/>
    <mergeCell ref="J2693:K2693"/>
    <mergeCell ref="G2694:I2694"/>
    <mergeCell ref="J2694:K2694"/>
    <mergeCell ref="J2695:K2695"/>
    <mergeCell ref="J2696:K2696"/>
    <mergeCell ref="G2697:I2697"/>
    <mergeCell ref="J2697:K2697"/>
    <mergeCell ref="G2698:I2698"/>
    <mergeCell ref="J2698:K2698"/>
    <mergeCell ref="B2701:E2701"/>
    <mergeCell ref="H2701:K2701"/>
    <mergeCell ref="D2704:E2704"/>
    <mergeCell ref="H2704:I2704"/>
    <mergeCell ref="D2705:E2705"/>
    <mergeCell ref="H2705:I2705"/>
    <mergeCell ref="D2706:E2706"/>
    <mergeCell ref="A2707:B2707"/>
    <mergeCell ref="D2707:E2707"/>
    <mergeCell ref="A2708:B2708"/>
    <mergeCell ref="D2708:E2708"/>
    <mergeCell ref="G2708:H2708"/>
    <mergeCell ref="D2709:E2709"/>
    <mergeCell ref="G2709:H2709"/>
    <mergeCell ref="D2710:E2710"/>
    <mergeCell ref="G2710:H2710"/>
    <mergeCell ref="D2711:E2711"/>
    <mergeCell ref="A2716:L2717"/>
    <mergeCell ref="A2724:C2724"/>
    <mergeCell ref="G2724:I2724"/>
    <mergeCell ref="A2727:C2727"/>
    <mergeCell ref="G2727:I2727"/>
    <mergeCell ref="A2734:C2734"/>
    <mergeCell ref="G2734:I2734"/>
    <mergeCell ref="J2734:K2734"/>
    <mergeCell ref="G2735:I2735"/>
    <mergeCell ref="J2735:K2735"/>
    <mergeCell ref="G2736:I2736"/>
    <mergeCell ref="J2736:K2736"/>
    <mergeCell ref="G2737:I2737"/>
    <mergeCell ref="J2737:K2737"/>
    <mergeCell ref="G2738:I2738"/>
    <mergeCell ref="J2738:K2738"/>
    <mergeCell ref="G2739:I2739"/>
    <mergeCell ref="J2739:K2739"/>
    <mergeCell ref="G2740:I2740"/>
    <mergeCell ref="J2740:K2740"/>
    <mergeCell ref="J2741:K2741"/>
    <mergeCell ref="J2742:K2742"/>
    <mergeCell ref="G2743:I2743"/>
    <mergeCell ref="J2743:K2743"/>
    <mergeCell ref="G2744:I2744"/>
    <mergeCell ref="J2744:K2744"/>
    <mergeCell ref="B2747:E2747"/>
    <mergeCell ref="H2747:K2747"/>
    <mergeCell ref="D2750:E2750"/>
    <mergeCell ref="H2750:I2750"/>
    <mergeCell ref="D2751:E2751"/>
    <mergeCell ref="H2751:I2751"/>
    <mergeCell ref="D2752:E2752"/>
    <mergeCell ref="A2753:B2753"/>
    <mergeCell ref="D2753:E2753"/>
    <mergeCell ref="A2754:B2754"/>
    <mergeCell ref="D2754:E2754"/>
    <mergeCell ref="G2754:H2754"/>
    <mergeCell ref="D2755:E2755"/>
    <mergeCell ref="G2755:H2755"/>
    <mergeCell ref="D2756:E2756"/>
    <mergeCell ref="G2756:H2756"/>
    <mergeCell ref="D2757:E2757"/>
    <mergeCell ref="A2762:L2763"/>
    <mergeCell ref="A2770:C2770"/>
    <mergeCell ref="G2770:I2770"/>
    <mergeCell ref="A2773:C2773"/>
    <mergeCell ref="G2773:I2773"/>
    <mergeCell ref="A2780:C2780"/>
    <mergeCell ref="G2780:I2780"/>
    <mergeCell ref="J2780:K2780"/>
    <mergeCell ref="G2781:I2781"/>
    <mergeCell ref="J2781:K2781"/>
    <mergeCell ref="G2782:I2782"/>
    <mergeCell ref="J2782:K2782"/>
    <mergeCell ref="G2783:I2783"/>
    <mergeCell ref="J2783:K2783"/>
    <mergeCell ref="G2784:I2784"/>
    <mergeCell ref="J2784:K2784"/>
    <mergeCell ref="G2785:I2785"/>
    <mergeCell ref="J2785:K2785"/>
    <mergeCell ref="G2786:I2786"/>
    <mergeCell ref="J2786:K2786"/>
    <mergeCell ref="J2787:K2787"/>
    <mergeCell ref="J2788:K2788"/>
    <mergeCell ref="G2789:I2789"/>
    <mergeCell ref="J2789:K2789"/>
    <mergeCell ref="G2790:I2790"/>
    <mergeCell ref="J2790:K2790"/>
    <mergeCell ref="B2793:E2793"/>
    <mergeCell ref="H2793:K2793"/>
    <mergeCell ref="D2796:E2796"/>
    <mergeCell ref="H2796:I2796"/>
    <mergeCell ref="D2797:E2797"/>
    <mergeCell ref="H2797:I2797"/>
    <mergeCell ref="D2798:E2798"/>
    <mergeCell ref="A2799:B2799"/>
    <mergeCell ref="D2799:E2799"/>
    <mergeCell ref="A2800:B2800"/>
    <mergeCell ref="D2800:E2800"/>
    <mergeCell ref="G2800:H2800"/>
    <mergeCell ref="D2801:E2801"/>
    <mergeCell ref="G2801:H2801"/>
    <mergeCell ref="D2802:E2802"/>
    <mergeCell ref="G2802:H2802"/>
    <mergeCell ref="D2803:E2803"/>
    <mergeCell ref="A2808:L2809"/>
    <mergeCell ref="A2816:C2816"/>
    <mergeCell ref="G2816:I2816"/>
    <mergeCell ref="A2819:C2819"/>
    <mergeCell ref="G2819:I2819"/>
    <mergeCell ref="A2826:C2826"/>
    <mergeCell ref="G2826:I2826"/>
    <mergeCell ref="J2826:K2826"/>
    <mergeCell ref="G2827:I2827"/>
    <mergeCell ref="J2827:K2827"/>
    <mergeCell ref="G2828:I2828"/>
    <mergeCell ref="J2828:K2828"/>
    <mergeCell ref="G2829:I2829"/>
    <mergeCell ref="J2829:K2829"/>
    <mergeCell ref="G2830:I2830"/>
    <mergeCell ref="J2830:K2830"/>
    <mergeCell ref="G2831:I2831"/>
    <mergeCell ref="J2831:K2831"/>
    <mergeCell ref="G2832:I2832"/>
    <mergeCell ref="J2832:K2832"/>
    <mergeCell ref="J2833:K2833"/>
    <mergeCell ref="J2834:K2834"/>
    <mergeCell ref="G2835:I2835"/>
    <mergeCell ref="J2835:K2835"/>
    <mergeCell ref="G2836:I2836"/>
    <mergeCell ref="J2836:K2836"/>
    <mergeCell ref="B2839:E2839"/>
    <mergeCell ref="H2839:K2839"/>
    <mergeCell ref="D2842:E2842"/>
    <mergeCell ref="H2842:I2842"/>
    <mergeCell ref="D2843:E2843"/>
    <mergeCell ref="H2843:I2843"/>
    <mergeCell ref="D2844:E2844"/>
    <mergeCell ref="A2845:B2845"/>
    <mergeCell ref="D2845:E2845"/>
    <mergeCell ref="A2846:B2846"/>
    <mergeCell ref="D2846:E2846"/>
    <mergeCell ref="G2846:H2846"/>
    <mergeCell ref="D2847:E2847"/>
    <mergeCell ref="G2847:H2847"/>
    <mergeCell ref="D2848:E2848"/>
    <mergeCell ref="G2848:H2848"/>
    <mergeCell ref="D2849:E2849"/>
    <mergeCell ref="A2854:L2855"/>
    <mergeCell ref="A2862:C2862"/>
    <mergeCell ref="G2862:I2862"/>
    <mergeCell ref="A2865:C2865"/>
    <mergeCell ref="G2865:I2865"/>
    <mergeCell ref="A2872:C2872"/>
    <mergeCell ref="G2872:I2872"/>
    <mergeCell ref="J2872:K2872"/>
    <mergeCell ref="G2873:I2873"/>
    <mergeCell ref="J2873:K2873"/>
    <mergeCell ref="G2874:I2874"/>
    <mergeCell ref="J2874:K2874"/>
    <mergeCell ref="G2875:I2875"/>
    <mergeCell ref="J2875:K2875"/>
    <mergeCell ref="D2890:E2890"/>
    <mergeCell ref="A2891:B2891"/>
    <mergeCell ref="D2891:E2891"/>
    <mergeCell ref="A2892:B2892"/>
    <mergeCell ref="D2892:E2892"/>
    <mergeCell ref="G2892:H2892"/>
    <mergeCell ref="D2893:E2893"/>
    <mergeCell ref="G2893:H2893"/>
    <mergeCell ref="D2894:E2894"/>
    <mergeCell ref="G2894:H2894"/>
    <mergeCell ref="D2895:E2895"/>
    <mergeCell ref="G2876:I2876"/>
    <mergeCell ref="J2876:K2876"/>
    <mergeCell ref="G2877:I2877"/>
    <mergeCell ref="J2877:K2877"/>
    <mergeCell ref="G2878:I2878"/>
    <mergeCell ref="J2878:K2878"/>
    <mergeCell ref="J2879:K2879"/>
    <mergeCell ref="J2880:K2880"/>
    <mergeCell ref="G2881:I2881"/>
    <mergeCell ref="J2881:K2881"/>
    <mergeCell ref="G2882:I2882"/>
    <mergeCell ref="J2882:K2882"/>
    <mergeCell ref="B2885:E2885"/>
    <mergeCell ref="H2885:K2885"/>
    <mergeCell ref="D2888:E2888"/>
    <mergeCell ref="H2888:I2888"/>
    <mergeCell ref="D2889:E2889"/>
    <mergeCell ref="H2889:I2889"/>
    <mergeCell ref="A3177:L3178"/>
    <mergeCell ref="A3185:C3185"/>
    <mergeCell ref="G3185:I3185"/>
    <mergeCell ref="A3188:C3188"/>
    <mergeCell ref="G3188:I3188"/>
    <mergeCell ref="A3195:C3195"/>
    <mergeCell ref="G3195:I3195"/>
    <mergeCell ref="J3195:K3195"/>
    <mergeCell ref="G3196:I3196"/>
    <mergeCell ref="J3196:K3196"/>
    <mergeCell ref="G3197:I3197"/>
    <mergeCell ref="J3197:K3197"/>
    <mergeCell ref="G3198:I3198"/>
    <mergeCell ref="J3198:K3198"/>
    <mergeCell ref="G3199:I3199"/>
    <mergeCell ref="J3199:K3199"/>
    <mergeCell ref="G3200:I3200"/>
    <mergeCell ref="J3200:K3200"/>
    <mergeCell ref="G3201:I3201"/>
    <mergeCell ref="J3201:K3201"/>
    <mergeCell ref="J3202:K3202"/>
    <mergeCell ref="J3203:K3203"/>
    <mergeCell ref="G3204:I3204"/>
    <mergeCell ref="J3204:K3204"/>
    <mergeCell ref="G3205:I3205"/>
    <mergeCell ref="J3205:K3205"/>
    <mergeCell ref="B3208:E3208"/>
    <mergeCell ref="H3208:K3208"/>
    <mergeCell ref="D3211:E3211"/>
    <mergeCell ref="H3211:I3211"/>
    <mergeCell ref="D3212:E3212"/>
    <mergeCell ref="H3212:I3212"/>
    <mergeCell ref="D3213:E3213"/>
    <mergeCell ref="A3214:B3214"/>
    <mergeCell ref="D3214:E3214"/>
    <mergeCell ref="A3215:B3215"/>
    <mergeCell ref="D3215:E3215"/>
    <mergeCell ref="G3215:H3215"/>
    <mergeCell ref="D3216:E3216"/>
    <mergeCell ref="G3216:H3216"/>
    <mergeCell ref="D3217:E3217"/>
    <mergeCell ref="G3217:H3217"/>
    <mergeCell ref="D3218:E3218"/>
    <mergeCell ref="A3223:L3224"/>
    <mergeCell ref="A3231:C3231"/>
    <mergeCell ref="G3231:I3231"/>
    <mergeCell ref="A3234:C3234"/>
    <mergeCell ref="G3234:I3234"/>
    <mergeCell ref="A3241:C3241"/>
    <mergeCell ref="G3241:I3241"/>
    <mergeCell ref="J3241:K3241"/>
    <mergeCell ref="G3242:I3242"/>
    <mergeCell ref="J3242:K3242"/>
    <mergeCell ref="G3243:I3243"/>
    <mergeCell ref="J3243:K3243"/>
    <mergeCell ref="G3244:I3244"/>
    <mergeCell ref="J3244:K3244"/>
    <mergeCell ref="G3245:I3245"/>
    <mergeCell ref="J3245:K3245"/>
    <mergeCell ref="G3246:I3246"/>
    <mergeCell ref="J3246:K3246"/>
    <mergeCell ref="G3247:I3247"/>
    <mergeCell ref="J3247:K3247"/>
    <mergeCell ref="J3248:K3248"/>
    <mergeCell ref="J3249:K3249"/>
    <mergeCell ref="G3250:I3250"/>
    <mergeCell ref="J3250:K3250"/>
    <mergeCell ref="G3251:I3251"/>
    <mergeCell ref="J3251:K3251"/>
    <mergeCell ref="B3254:E3254"/>
    <mergeCell ref="H3254:K3254"/>
    <mergeCell ref="D3257:E3257"/>
    <mergeCell ref="H3257:I3257"/>
    <mergeCell ref="D3258:E3258"/>
    <mergeCell ref="H3258:I3258"/>
    <mergeCell ref="D3259:E3259"/>
    <mergeCell ref="A3260:B3260"/>
    <mergeCell ref="D3260:E3260"/>
    <mergeCell ref="A3261:B3261"/>
    <mergeCell ref="D3261:E3261"/>
    <mergeCell ref="G3261:H3261"/>
    <mergeCell ref="D3262:E3262"/>
    <mergeCell ref="G3262:H3262"/>
    <mergeCell ref="D3263:E3263"/>
    <mergeCell ref="G3263:H3263"/>
    <mergeCell ref="D3264:E3264"/>
    <mergeCell ref="A3269:L3270"/>
    <mergeCell ref="A3277:C3277"/>
    <mergeCell ref="G3277:I3277"/>
    <mergeCell ref="A3280:C3280"/>
    <mergeCell ref="G3280:I3280"/>
    <mergeCell ref="A3287:C3287"/>
    <mergeCell ref="G3287:I3287"/>
    <mergeCell ref="J3287:K3287"/>
    <mergeCell ref="G3288:I3288"/>
    <mergeCell ref="J3288:K3288"/>
    <mergeCell ref="G3289:I3289"/>
    <mergeCell ref="J3289:K3289"/>
    <mergeCell ref="G3290:I3290"/>
    <mergeCell ref="J3290:K3290"/>
    <mergeCell ref="G3291:I3291"/>
    <mergeCell ref="J3291:K3291"/>
    <mergeCell ref="G3292:I3292"/>
    <mergeCell ref="J3292:K3292"/>
    <mergeCell ref="G3293:I3293"/>
    <mergeCell ref="J3293:K3293"/>
    <mergeCell ref="J3294:K3294"/>
    <mergeCell ref="J3295:K3295"/>
    <mergeCell ref="G3296:I3296"/>
    <mergeCell ref="J3296:K3296"/>
    <mergeCell ref="G3297:I3297"/>
    <mergeCell ref="J3297:K3297"/>
    <mergeCell ref="B3300:E3300"/>
    <mergeCell ref="H3300:K3300"/>
    <mergeCell ref="D3303:E3303"/>
    <mergeCell ref="H3303:I3303"/>
    <mergeCell ref="D3304:E3304"/>
    <mergeCell ref="H3304:I3304"/>
    <mergeCell ref="D3305:E3305"/>
    <mergeCell ref="A3306:B3306"/>
    <mergeCell ref="D3306:E3306"/>
    <mergeCell ref="A3307:B3307"/>
    <mergeCell ref="D3307:E3307"/>
    <mergeCell ref="G3307:H3307"/>
    <mergeCell ref="D3308:E3308"/>
    <mergeCell ref="G3308:H3308"/>
    <mergeCell ref="D3309:E3309"/>
    <mergeCell ref="G3309:H3309"/>
    <mergeCell ref="D3310:E3310"/>
    <mergeCell ref="A3315:L3316"/>
    <mergeCell ref="A3323:C3323"/>
    <mergeCell ref="G3323:I3323"/>
    <mergeCell ref="A3326:C3326"/>
    <mergeCell ref="G3326:I3326"/>
    <mergeCell ref="A3333:C3333"/>
    <mergeCell ref="G3333:I3333"/>
    <mergeCell ref="J3333:K3333"/>
    <mergeCell ref="G3334:I3334"/>
    <mergeCell ref="J3334:K3334"/>
    <mergeCell ref="G3335:I3335"/>
    <mergeCell ref="J3335:K3335"/>
    <mergeCell ref="G3336:I3336"/>
    <mergeCell ref="J3336:K3336"/>
    <mergeCell ref="G3337:I3337"/>
    <mergeCell ref="J3337:K3337"/>
    <mergeCell ref="G3338:I3338"/>
    <mergeCell ref="J3338:K3338"/>
    <mergeCell ref="G3339:I3339"/>
    <mergeCell ref="J3339:K3339"/>
    <mergeCell ref="J3340:K3340"/>
    <mergeCell ref="J3341:K3341"/>
    <mergeCell ref="G3342:I3342"/>
    <mergeCell ref="J3342:K3342"/>
    <mergeCell ref="G3343:I3343"/>
    <mergeCell ref="J3343:K3343"/>
    <mergeCell ref="B3346:E3346"/>
    <mergeCell ref="H3346:K3346"/>
    <mergeCell ref="D3349:E3349"/>
    <mergeCell ref="H3349:I3349"/>
    <mergeCell ref="D3350:E3350"/>
    <mergeCell ref="H3350:I3350"/>
    <mergeCell ref="D3351:E3351"/>
    <mergeCell ref="A3352:B3352"/>
    <mergeCell ref="D3352:E3352"/>
    <mergeCell ref="A3353:B3353"/>
    <mergeCell ref="D3353:E3353"/>
    <mergeCell ref="G3353:H3353"/>
    <mergeCell ref="D3354:E3354"/>
    <mergeCell ref="G3354:H3354"/>
    <mergeCell ref="D3355:E3355"/>
    <mergeCell ref="G3355:H3355"/>
    <mergeCell ref="D3356:E3356"/>
    <mergeCell ref="A3361:L3362"/>
    <mergeCell ref="A3369:C3369"/>
    <mergeCell ref="G3369:I3369"/>
    <mergeCell ref="A3372:C3372"/>
    <mergeCell ref="G3372:I3372"/>
    <mergeCell ref="A3379:C3379"/>
    <mergeCell ref="G3379:I3379"/>
    <mergeCell ref="J3379:K3379"/>
    <mergeCell ref="G3380:I3380"/>
    <mergeCell ref="J3380:K3380"/>
    <mergeCell ref="G3381:I3381"/>
    <mergeCell ref="J3381:K3381"/>
    <mergeCell ref="G3382:I3382"/>
    <mergeCell ref="J3382:K3382"/>
    <mergeCell ref="G3383:I3383"/>
    <mergeCell ref="J3383:K3383"/>
    <mergeCell ref="G3384:I3384"/>
    <mergeCell ref="J3384:K3384"/>
    <mergeCell ref="G3385:I3385"/>
    <mergeCell ref="J3385:K3385"/>
    <mergeCell ref="J3386:K3386"/>
    <mergeCell ref="J3387:K3387"/>
    <mergeCell ref="D3401:E3401"/>
    <mergeCell ref="G3401:H3401"/>
    <mergeCell ref="D3402:E3402"/>
    <mergeCell ref="G3388:I3388"/>
    <mergeCell ref="J3388:K3388"/>
    <mergeCell ref="G3389:I3389"/>
    <mergeCell ref="J3389:K3389"/>
    <mergeCell ref="B3392:E3392"/>
    <mergeCell ref="H3392:K3392"/>
    <mergeCell ref="D3395:E3395"/>
    <mergeCell ref="H3395:I3395"/>
    <mergeCell ref="D3396:E3396"/>
    <mergeCell ref="H3396:I3396"/>
    <mergeCell ref="D3397:E3397"/>
    <mergeCell ref="A3398:B3398"/>
    <mergeCell ref="D3398:E3398"/>
    <mergeCell ref="A3399:B3399"/>
    <mergeCell ref="D3399:E3399"/>
    <mergeCell ref="G3399:H3399"/>
    <mergeCell ref="D3400:E3400"/>
    <mergeCell ref="G3400:H3400"/>
    <mergeCell ref="A3684:L3685"/>
    <mergeCell ref="A3692:C3692"/>
    <mergeCell ref="G3692:I3692"/>
    <mergeCell ref="A3695:C3695"/>
    <mergeCell ref="G3695:I3695"/>
    <mergeCell ref="A3702:C3702"/>
    <mergeCell ref="G3702:I3702"/>
    <mergeCell ref="J3702:K3702"/>
    <mergeCell ref="G3703:I3703"/>
    <mergeCell ref="J3703:K3703"/>
    <mergeCell ref="G3704:I3704"/>
    <mergeCell ref="J3704:K3704"/>
    <mergeCell ref="G3705:I3705"/>
    <mergeCell ref="J3705:K3705"/>
    <mergeCell ref="G3706:I3706"/>
    <mergeCell ref="J3706:K3706"/>
    <mergeCell ref="G3707:I3707"/>
    <mergeCell ref="J3707:K3707"/>
    <mergeCell ref="A3722:B3722"/>
    <mergeCell ref="D3722:E3722"/>
    <mergeCell ref="G3722:H3722"/>
    <mergeCell ref="D3723:E3723"/>
    <mergeCell ref="G3723:H3723"/>
    <mergeCell ref="D3724:E3724"/>
    <mergeCell ref="G3724:H3724"/>
    <mergeCell ref="D3725:E3725"/>
    <mergeCell ref="G3708:I3708"/>
    <mergeCell ref="J3708:K3708"/>
    <mergeCell ref="J3709:K3709"/>
    <mergeCell ref="J3710:K3710"/>
    <mergeCell ref="G3711:I3711"/>
    <mergeCell ref="J3711:K3711"/>
    <mergeCell ref="G3712:I3712"/>
    <mergeCell ref="J3712:K3712"/>
    <mergeCell ref="B3715:E3715"/>
    <mergeCell ref="H3715:K3715"/>
    <mergeCell ref="D3718:E3718"/>
    <mergeCell ref="H3718:I3718"/>
    <mergeCell ref="D3719:E3719"/>
    <mergeCell ref="H3719:I3719"/>
    <mergeCell ref="D3720:E3720"/>
    <mergeCell ref="A3721:B3721"/>
    <mergeCell ref="D3721:E3721"/>
    <mergeCell ref="A3960:L3961"/>
    <mergeCell ref="A3968:C3968"/>
    <mergeCell ref="G3968:I3968"/>
    <mergeCell ref="A3971:C3971"/>
    <mergeCell ref="G3971:I3971"/>
    <mergeCell ref="A3978:C3978"/>
    <mergeCell ref="G3978:I3978"/>
    <mergeCell ref="J3978:K3978"/>
    <mergeCell ref="G3979:I3979"/>
    <mergeCell ref="J3979:K3979"/>
    <mergeCell ref="G3980:I3980"/>
    <mergeCell ref="J3980:K3980"/>
    <mergeCell ref="G3981:I3981"/>
    <mergeCell ref="J3981:K3981"/>
    <mergeCell ref="G3982:I3982"/>
    <mergeCell ref="J3982:K3982"/>
    <mergeCell ref="G3983:I3983"/>
    <mergeCell ref="J3983:K3983"/>
    <mergeCell ref="A3998:B3998"/>
    <mergeCell ref="D3998:E3998"/>
    <mergeCell ref="G3998:H3998"/>
    <mergeCell ref="D3999:E3999"/>
    <mergeCell ref="G3999:H3999"/>
    <mergeCell ref="D4000:E4000"/>
    <mergeCell ref="G4000:H4000"/>
    <mergeCell ref="D4001:E4001"/>
    <mergeCell ref="G3984:I3984"/>
    <mergeCell ref="J3984:K3984"/>
    <mergeCell ref="J3985:K3985"/>
    <mergeCell ref="J3986:K3986"/>
    <mergeCell ref="G3987:I3987"/>
    <mergeCell ref="J3987:K3987"/>
    <mergeCell ref="G3988:I3988"/>
    <mergeCell ref="J3988:K3988"/>
    <mergeCell ref="B3991:E3991"/>
    <mergeCell ref="H3991:K3991"/>
    <mergeCell ref="D3994:E3994"/>
    <mergeCell ref="H3994:I3994"/>
    <mergeCell ref="D3995:E3995"/>
    <mergeCell ref="H3995:I3995"/>
    <mergeCell ref="D3996:E3996"/>
    <mergeCell ref="A3997:B3997"/>
    <mergeCell ref="D3997:E3997"/>
    <mergeCell ref="A4190:L4191"/>
    <mergeCell ref="A4198:C4198"/>
    <mergeCell ref="G4198:I4198"/>
    <mergeCell ref="A4201:C4201"/>
    <mergeCell ref="G4201:I4201"/>
    <mergeCell ref="A4208:C4208"/>
    <mergeCell ref="G4208:I4208"/>
    <mergeCell ref="J4208:K4208"/>
    <mergeCell ref="G4209:I4209"/>
    <mergeCell ref="J4209:K4209"/>
    <mergeCell ref="G4210:I4210"/>
    <mergeCell ref="J4210:K4210"/>
    <mergeCell ref="G4211:I4211"/>
    <mergeCell ref="J4211:K4211"/>
    <mergeCell ref="G4212:I4212"/>
    <mergeCell ref="J4212:K4212"/>
    <mergeCell ref="G4213:I4213"/>
    <mergeCell ref="J4213:K4213"/>
    <mergeCell ref="G4214:I4214"/>
    <mergeCell ref="J4214:K4214"/>
    <mergeCell ref="J4215:K4215"/>
    <mergeCell ref="J4216:K4216"/>
    <mergeCell ref="G4217:I4217"/>
    <mergeCell ref="J4217:K4217"/>
    <mergeCell ref="G4218:I4218"/>
    <mergeCell ref="J4218:K4218"/>
    <mergeCell ref="B4221:E4221"/>
    <mergeCell ref="H4221:K4221"/>
    <mergeCell ref="D4224:E4224"/>
    <mergeCell ref="H4224:I4224"/>
    <mergeCell ref="D4225:E4225"/>
    <mergeCell ref="H4225:I4225"/>
    <mergeCell ref="D4226:E4226"/>
    <mergeCell ref="A4227:B4227"/>
    <mergeCell ref="D4227:E4227"/>
    <mergeCell ref="A4228:B4228"/>
    <mergeCell ref="D4228:E4228"/>
    <mergeCell ref="G4228:H4228"/>
    <mergeCell ref="D4229:E4229"/>
    <mergeCell ref="G4229:H4229"/>
    <mergeCell ref="D4230:E4230"/>
    <mergeCell ref="G4230:H4230"/>
    <mergeCell ref="D4231:E4231"/>
    <mergeCell ref="A4236:L4237"/>
    <mergeCell ref="A4244:C4244"/>
    <mergeCell ref="G4244:I4244"/>
    <mergeCell ref="A4247:C4247"/>
    <mergeCell ref="G4247:I4247"/>
    <mergeCell ref="A4254:C4254"/>
    <mergeCell ref="G4254:I4254"/>
    <mergeCell ref="J4254:K4254"/>
    <mergeCell ref="G4255:I4255"/>
    <mergeCell ref="J4255:K4255"/>
    <mergeCell ref="G4256:I4256"/>
    <mergeCell ref="J4256:K4256"/>
    <mergeCell ref="G4257:I4257"/>
    <mergeCell ref="J4257:K4257"/>
    <mergeCell ref="G4258:I4258"/>
    <mergeCell ref="J4258:K4258"/>
    <mergeCell ref="G4259:I4259"/>
    <mergeCell ref="J4259:K4259"/>
    <mergeCell ref="G4260:I4260"/>
    <mergeCell ref="J4260:K4260"/>
    <mergeCell ref="J4261:K4261"/>
    <mergeCell ref="J4262:K4262"/>
    <mergeCell ref="G4263:I4263"/>
    <mergeCell ref="J4263:K4263"/>
    <mergeCell ref="G4264:I4264"/>
    <mergeCell ref="J4264:K4264"/>
    <mergeCell ref="B4267:E4267"/>
    <mergeCell ref="H4267:K4267"/>
    <mergeCell ref="D4270:E4270"/>
    <mergeCell ref="H4270:I4270"/>
    <mergeCell ref="D4271:E4271"/>
    <mergeCell ref="H4271:I4271"/>
    <mergeCell ref="D4272:E4272"/>
    <mergeCell ref="A4273:B4273"/>
    <mergeCell ref="D4273:E4273"/>
    <mergeCell ref="A4274:B4274"/>
    <mergeCell ref="D4274:E4274"/>
    <mergeCell ref="G4274:H4274"/>
    <mergeCell ref="D4275:E4275"/>
    <mergeCell ref="G4275:H4275"/>
    <mergeCell ref="D4276:E4276"/>
    <mergeCell ref="G4276:H4276"/>
    <mergeCell ref="D4277:E4277"/>
    <mergeCell ref="A4282:L4283"/>
    <mergeCell ref="A4290:C4290"/>
    <mergeCell ref="G4290:I4290"/>
    <mergeCell ref="A4293:C4293"/>
    <mergeCell ref="G4293:I4293"/>
    <mergeCell ref="A4300:C4300"/>
    <mergeCell ref="G4300:I4300"/>
    <mergeCell ref="J4300:K4300"/>
    <mergeCell ref="G4301:I4301"/>
    <mergeCell ref="J4301:K4301"/>
    <mergeCell ref="G4302:I4302"/>
    <mergeCell ref="J4302:K4302"/>
    <mergeCell ref="G4303:I4303"/>
    <mergeCell ref="J4303:K4303"/>
    <mergeCell ref="G4304:I4304"/>
    <mergeCell ref="J4304:K4304"/>
    <mergeCell ref="G4305:I4305"/>
    <mergeCell ref="J4305:K4305"/>
    <mergeCell ref="G4306:I4306"/>
    <mergeCell ref="J4306:K4306"/>
    <mergeCell ref="J4307:K4307"/>
    <mergeCell ref="J4308:K4308"/>
    <mergeCell ref="G4309:I4309"/>
    <mergeCell ref="J4309:K4309"/>
    <mergeCell ref="G4310:I4310"/>
    <mergeCell ref="J4310:K4310"/>
    <mergeCell ref="B4313:E4313"/>
    <mergeCell ref="H4313:K4313"/>
    <mergeCell ref="D4316:E4316"/>
    <mergeCell ref="H4316:I4316"/>
    <mergeCell ref="D4317:E4317"/>
    <mergeCell ref="H4317:I4317"/>
    <mergeCell ref="D4318:E4318"/>
    <mergeCell ref="A4319:B4319"/>
    <mergeCell ref="D4319:E4319"/>
    <mergeCell ref="A4320:B4320"/>
    <mergeCell ref="D4320:E4320"/>
    <mergeCell ref="G4320:H4320"/>
    <mergeCell ref="D4321:E4321"/>
    <mergeCell ref="G4321:H4321"/>
    <mergeCell ref="D4322:E4322"/>
    <mergeCell ref="G4322:H4322"/>
    <mergeCell ref="D4323:E4323"/>
    <mergeCell ref="A4328:L4329"/>
    <mergeCell ref="A4336:C4336"/>
    <mergeCell ref="G4336:I4336"/>
    <mergeCell ref="A4339:C4339"/>
    <mergeCell ref="G4339:I4339"/>
    <mergeCell ref="A4346:C4346"/>
    <mergeCell ref="G4346:I4346"/>
    <mergeCell ref="J4346:K4346"/>
    <mergeCell ref="G4347:I4347"/>
    <mergeCell ref="J4347:K4347"/>
    <mergeCell ref="G4348:I4348"/>
    <mergeCell ref="J4348:K4348"/>
    <mergeCell ref="D4363:E4363"/>
    <mergeCell ref="H4363:I4363"/>
    <mergeCell ref="D4364:E4364"/>
    <mergeCell ref="A4365:B4365"/>
    <mergeCell ref="D4365:E4365"/>
    <mergeCell ref="A4366:B4366"/>
    <mergeCell ref="D4366:E4366"/>
    <mergeCell ref="G4366:H4366"/>
    <mergeCell ref="D4367:E4367"/>
    <mergeCell ref="G4367:H4367"/>
    <mergeCell ref="D4368:E4368"/>
    <mergeCell ref="G4368:H4368"/>
    <mergeCell ref="D4369:E4369"/>
    <mergeCell ref="G4349:I4349"/>
    <mergeCell ref="J4349:K4349"/>
    <mergeCell ref="G4350:I4350"/>
    <mergeCell ref="J4350:K4350"/>
    <mergeCell ref="G4351:I4351"/>
    <mergeCell ref="J4351:K4351"/>
    <mergeCell ref="G4352:I4352"/>
    <mergeCell ref="J4352:K4352"/>
    <mergeCell ref="J4353:K4353"/>
    <mergeCell ref="J4354:K4354"/>
    <mergeCell ref="G4355:I4355"/>
    <mergeCell ref="J4355:K4355"/>
    <mergeCell ref="G4356:I4356"/>
    <mergeCell ref="J4356:K4356"/>
    <mergeCell ref="B4359:E4359"/>
    <mergeCell ref="H4359:K4359"/>
    <mergeCell ref="D4362:E4362"/>
    <mergeCell ref="H4362:I4362"/>
    <mergeCell ref="A4420:L4421"/>
    <mergeCell ref="A4428:C4428"/>
    <mergeCell ref="G4428:I4428"/>
    <mergeCell ref="A4431:C4431"/>
    <mergeCell ref="G4431:I4431"/>
    <mergeCell ref="A4438:C4438"/>
    <mergeCell ref="G4438:I4438"/>
    <mergeCell ref="J4438:K4438"/>
    <mergeCell ref="G4439:I4439"/>
    <mergeCell ref="J4439:K4439"/>
    <mergeCell ref="G4440:I4440"/>
    <mergeCell ref="J4440:K4440"/>
    <mergeCell ref="G4441:I4441"/>
    <mergeCell ref="J4441:K4441"/>
    <mergeCell ref="G4442:I4442"/>
    <mergeCell ref="J4442:K4442"/>
    <mergeCell ref="G4443:I4443"/>
    <mergeCell ref="J4443:K4443"/>
    <mergeCell ref="A4458:B4458"/>
    <mergeCell ref="D4458:E4458"/>
    <mergeCell ref="G4458:H4458"/>
    <mergeCell ref="D4459:E4459"/>
    <mergeCell ref="G4459:H4459"/>
    <mergeCell ref="D4460:E4460"/>
    <mergeCell ref="G4460:H4460"/>
    <mergeCell ref="D4461:E4461"/>
    <mergeCell ref="G4444:I4444"/>
    <mergeCell ref="J4444:K4444"/>
    <mergeCell ref="J4445:K4445"/>
    <mergeCell ref="J4446:K4446"/>
    <mergeCell ref="G4447:I4447"/>
    <mergeCell ref="J4447:K4447"/>
    <mergeCell ref="G4448:I4448"/>
    <mergeCell ref="J4448:K4448"/>
    <mergeCell ref="B4451:E4451"/>
    <mergeCell ref="H4451:K4451"/>
    <mergeCell ref="D4454:E4454"/>
    <mergeCell ref="H4454:I4454"/>
    <mergeCell ref="D4455:E4455"/>
    <mergeCell ref="H4455:I4455"/>
    <mergeCell ref="D4456:E4456"/>
    <mergeCell ref="A4457:B4457"/>
    <mergeCell ref="D4457:E4457"/>
    <mergeCell ref="A4742:L4743"/>
    <mergeCell ref="A4750:C4750"/>
    <mergeCell ref="G4750:I4750"/>
    <mergeCell ref="A4753:C4753"/>
    <mergeCell ref="G4753:I4753"/>
    <mergeCell ref="A4760:C4760"/>
    <mergeCell ref="G4760:I4760"/>
    <mergeCell ref="J4760:K4760"/>
    <mergeCell ref="G4761:I4761"/>
    <mergeCell ref="J4761:K4761"/>
    <mergeCell ref="G4762:I4762"/>
    <mergeCell ref="J4762:K4762"/>
    <mergeCell ref="G4763:I4763"/>
    <mergeCell ref="J4763:K4763"/>
    <mergeCell ref="G4764:I4764"/>
    <mergeCell ref="J4764:K4764"/>
    <mergeCell ref="G4765:I4765"/>
    <mergeCell ref="J4765:K4765"/>
    <mergeCell ref="G4766:I4766"/>
    <mergeCell ref="J4766:K4766"/>
    <mergeCell ref="J4767:K4767"/>
    <mergeCell ref="J4768:K4768"/>
    <mergeCell ref="G4769:I4769"/>
    <mergeCell ref="J4769:K4769"/>
    <mergeCell ref="G4770:I4770"/>
    <mergeCell ref="J4770:K4770"/>
    <mergeCell ref="B4773:E4773"/>
    <mergeCell ref="H4773:K4773"/>
    <mergeCell ref="D4776:E4776"/>
    <mergeCell ref="H4776:I4776"/>
    <mergeCell ref="D4777:E4777"/>
    <mergeCell ref="H4777:I4777"/>
    <mergeCell ref="D4778:E4778"/>
    <mergeCell ref="A4779:B4779"/>
    <mergeCell ref="D4779:E4779"/>
    <mergeCell ref="H4819:K4819"/>
    <mergeCell ref="A4780:B4780"/>
    <mergeCell ref="D4780:E4780"/>
    <mergeCell ref="G4780:H4780"/>
    <mergeCell ref="D4781:E4781"/>
    <mergeCell ref="G4781:H4781"/>
    <mergeCell ref="D4782:E4782"/>
    <mergeCell ref="G4782:H4782"/>
    <mergeCell ref="D4783:E4783"/>
    <mergeCell ref="A4788:L4789"/>
    <mergeCell ref="A4796:C4796"/>
    <mergeCell ref="G4796:I4796"/>
    <mergeCell ref="A4799:C4799"/>
    <mergeCell ref="G4799:I4799"/>
    <mergeCell ref="A4806:C4806"/>
    <mergeCell ref="G4806:I4806"/>
    <mergeCell ref="J4806:K4806"/>
    <mergeCell ref="G4807:I4807"/>
    <mergeCell ref="J4807:K4807"/>
    <mergeCell ref="D4822:E4822"/>
    <mergeCell ref="H4822:I4822"/>
    <mergeCell ref="D4823:E4823"/>
    <mergeCell ref="H4823:I4823"/>
    <mergeCell ref="D4824:E4824"/>
    <mergeCell ref="A4825:B4825"/>
    <mergeCell ref="D4825:E4825"/>
    <mergeCell ref="A4826:B4826"/>
    <mergeCell ref="D4826:E4826"/>
    <mergeCell ref="G4826:H4826"/>
    <mergeCell ref="D4827:E4827"/>
    <mergeCell ref="G4827:H4827"/>
    <mergeCell ref="D4828:E4828"/>
    <mergeCell ref="G4828:H4828"/>
    <mergeCell ref="D4829:E4829"/>
    <mergeCell ref="G4808:I4808"/>
    <mergeCell ref="J4808:K4808"/>
    <mergeCell ref="G4809:I4809"/>
    <mergeCell ref="J4809:K4809"/>
    <mergeCell ref="G4810:I4810"/>
    <mergeCell ref="J4810:K4810"/>
    <mergeCell ref="G4811:I4811"/>
    <mergeCell ref="J4811:K4811"/>
    <mergeCell ref="G4812:I4812"/>
    <mergeCell ref="J4812:K4812"/>
    <mergeCell ref="J4813:K4813"/>
    <mergeCell ref="J4814:K4814"/>
    <mergeCell ref="G4815:I4815"/>
    <mergeCell ref="J4815:K4815"/>
    <mergeCell ref="G4816:I4816"/>
    <mergeCell ref="J4816:K4816"/>
    <mergeCell ref="B4819:E4819"/>
    <mergeCell ref="A4834:L4835"/>
    <mergeCell ref="A4842:C4842"/>
    <mergeCell ref="G4842:I4842"/>
    <mergeCell ref="A4845:C4845"/>
    <mergeCell ref="G4845:I4845"/>
    <mergeCell ref="A4852:C4852"/>
    <mergeCell ref="G4852:I4852"/>
    <mergeCell ref="J4852:K4852"/>
    <mergeCell ref="G4853:I4853"/>
    <mergeCell ref="J4853:K4853"/>
    <mergeCell ref="G4854:I4854"/>
    <mergeCell ref="J4854:K4854"/>
    <mergeCell ref="G4855:I4855"/>
    <mergeCell ref="J4855:K4855"/>
    <mergeCell ref="G4856:I4856"/>
    <mergeCell ref="J4856:K4856"/>
    <mergeCell ref="G4857:I4857"/>
    <mergeCell ref="J4857:K4857"/>
    <mergeCell ref="G4858:I4858"/>
    <mergeCell ref="J4858:K4858"/>
    <mergeCell ref="J4859:K4859"/>
    <mergeCell ref="J4860:K4860"/>
    <mergeCell ref="G4861:I4861"/>
    <mergeCell ref="J4861:K4861"/>
    <mergeCell ref="G4862:I4862"/>
    <mergeCell ref="J4862:K4862"/>
    <mergeCell ref="B4865:E4865"/>
    <mergeCell ref="H4865:K4865"/>
    <mergeCell ref="D4868:E4868"/>
    <mergeCell ref="H4868:I4868"/>
    <mergeCell ref="D4869:E4869"/>
    <mergeCell ref="H4869:I4869"/>
    <mergeCell ref="D4870:E4870"/>
    <mergeCell ref="A4871:B4871"/>
    <mergeCell ref="D4871:E4871"/>
    <mergeCell ref="H4911:K4911"/>
    <mergeCell ref="A4872:B4872"/>
    <mergeCell ref="D4872:E4872"/>
    <mergeCell ref="G4872:H4872"/>
    <mergeCell ref="D4873:E4873"/>
    <mergeCell ref="G4873:H4873"/>
    <mergeCell ref="D4874:E4874"/>
    <mergeCell ref="G4874:H4874"/>
    <mergeCell ref="D4875:E4875"/>
    <mergeCell ref="A4880:L4881"/>
    <mergeCell ref="A4888:C4888"/>
    <mergeCell ref="G4888:I4888"/>
    <mergeCell ref="A4891:C4891"/>
    <mergeCell ref="G4891:I4891"/>
    <mergeCell ref="A4898:C4898"/>
    <mergeCell ref="G4898:I4898"/>
    <mergeCell ref="J4898:K4898"/>
    <mergeCell ref="G4899:I4899"/>
    <mergeCell ref="J4899:K4899"/>
    <mergeCell ref="D4914:E4914"/>
    <mergeCell ref="H4914:I4914"/>
    <mergeCell ref="D4915:E4915"/>
    <mergeCell ref="H4915:I4915"/>
    <mergeCell ref="D4916:E4916"/>
    <mergeCell ref="A4917:B4917"/>
    <mergeCell ref="D4917:E4917"/>
    <mergeCell ref="A4918:B4918"/>
    <mergeCell ref="D4918:E4918"/>
    <mergeCell ref="G4918:H4918"/>
    <mergeCell ref="D4919:E4919"/>
    <mergeCell ref="G4919:H4919"/>
    <mergeCell ref="D4920:E4920"/>
    <mergeCell ref="G4920:H4920"/>
    <mergeCell ref="D4921:E4921"/>
    <mergeCell ref="G4900:I4900"/>
    <mergeCell ref="J4900:K4900"/>
    <mergeCell ref="G4901:I4901"/>
    <mergeCell ref="J4901:K4901"/>
    <mergeCell ref="G4902:I4902"/>
    <mergeCell ref="J4902:K4902"/>
    <mergeCell ref="G4903:I4903"/>
    <mergeCell ref="J4903:K4903"/>
    <mergeCell ref="G4904:I4904"/>
    <mergeCell ref="J4904:K4904"/>
    <mergeCell ref="J4905:K4905"/>
    <mergeCell ref="J4906:K4906"/>
    <mergeCell ref="G4907:I4907"/>
    <mergeCell ref="J4907:K4907"/>
    <mergeCell ref="G4908:I4908"/>
    <mergeCell ref="J4908:K4908"/>
    <mergeCell ref="B4911:E4911"/>
    <mergeCell ref="A5065:L5066"/>
    <mergeCell ref="A5073:C5073"/>
    <mergeCell ref="G5073:I5073"/>
    <mergeCell ref="A5076:C5076"/>
    <mergeCell ref="G5076:I5076"/>
    <mergeCell ref="A5083:C5083"/>
    <mergeCell ref="G5083:I5083"/>
    <mergeCell ref="J5083:K5083"/>
    <mergeCell ref="G5084:I5084"/>
    <mergeCell ref="J5084:K5084"/>
    <mergeCell ref="G5085:I5085"/>
    <mergeCell ref="J5085:K5085"/>
    <mergeCell ref="G5086:I5086"/>
    <mergeCell ref="J5086:K5086"/>
    <mergeCell ref="G5087:I5087"/>
    <mergeCell ref="J5087:K5087"/>
    <mergeCell ref="G5088:I5088"/>
    <mergeCell ref="J5088:K5088"/>
    <mergeCell ref="A5103:B5103"/>
    <mergeCell ref="D5103:E5103"/>
    <mergeCell ref="G5103:H5103"/>
    <mergeCell ref="D5104:E5104"/>
    <mergeCell ref="G5104:H5104"/>
    <mergeCell ref="D5105:E5105"/>
    <mergeCell ref="G5105:H5105"/>
    <mergeCell ref="D5106:E5106"/>
    <mergeCell ref="G5089:I5089"/>
    <mergeCell ref="J5089:K5089"/>
    <mergeCell ref="J5090:K5090"/>
    <mergeCell ref="J5091:K5091"/>
    <mergeCell ref="G5092:I5092"/>
    <mergeCell ref="J5092:K5092"/>
    <mergeCell ref="G5093:I5093"/>
    <mergeCell ref="J5093:K5093"/>
    <mergeCell ref="B5096:E5096"/>
    <mergeCell ref="H5096:K5096"/>
    <mergeCell ref="D5099:E5099"/>
    <mergeCell ref="H5099:I5099"/>
    <mergeCell ref="D5100:E5100"/>
    <mergeCell ref="H5100:I5100"/>
    <mergeCell ref="D5101:E5101"/>
    <mergeCell ref="A5102:B5102"/>
    <mergeCell ref="D5102:E5102"/>
  </mergeCells>
  <printOptions horizontalCentered="1"/>
  <pageMargins left="0" right="0" top="0" bottom="0" header="0" footer="0"/>
  <pageSetup paperSize="9" scale="60" orientation="landscape" r:id="rId1"/>
  <rowBreaks count="7" manualBreakCount="7">
    <brk id="3615" max="12" man="1"/>
    <brk id="3680" max="12" man="1"/>
    <brk id="3726" max="12" man="1"/>
    <brk id="3772" max="12" man="1"/>
    <brk id="3818" max="12" man="1"/>
    <brk id="3864" max="12" man="1"/>
    <brk id="3910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1034"/>
  <sheetViews>
    <sheetView workbookViewId="0">
      <selection activeCell="C35" sqref="C35"/>
    </sheetView>
  </sheetViews>
  <sheetFormatPr defaultRowHeight="15" x14ac:dyDescent="0.25"/>
  <cols>
    <col min="1" max="1" width="34.7109375" customWidth="1"/>
    <col min="2" max="2" width="12.28515625" style="69" customWidth="1"/>
    <col min="3" max="3" width="12.7109375" style="70" customWidth="1"/>
    <col min="6" max="6" width="30.85546875" customWidth="1"/>
    <col min="7" max="7" width="13" customWidth="1"/>
    <col min="8" max="8" width="16.5703125" customWidth="1"/>
  </cols>
  <sheetData>
    <row r="1" spans="1:8" x14ac:dyDescent="0.25">
      <c r="A1" s="159" t="s">
        <v>134</v>
      </c>
      <c r="B1" s="160"/>
      <c r="C1" s="160"/>
      <c r="F1" s="161" t="s">
        <v>135</v>
      </c>
      <c r="G1" s="162"/>
      <c r="H1" s="162"/>
    </row>
    <row r="2" spans="1:8" x14ac:dyDescent="0.25">
      <c r="G2" s="69"/>
      <c r="H2" s="70"/>
    </row>
    <row r="3" spans="1:8" x14ac:dyDescent="0.25">
      <c r="G3" s="69"/>
      <c r="H3" s="70"/>
    </row>
    <row r="4" spans="1:8" ht="24" customHeight="1" x14ac:dyDescent="0.25">
      <c r="A4" t="s">
        <v>107</v>
      </c>
      <c r="C4" s="71">
        <v>136520</v>
      </c>
      <c r="F4" t="s">
        <v>107</v>
      </c>
      <c r="G4" s="69"/>
      <c r="H4" s="71">
        <v>0</v>
      </c>
    </row>
    <row r="5" spans="1:8" x14ac:dyDescent="0.25">
      <c r="A5" s="49" t="s">
        <v>108</v>
      </c>
      <c r="F5" s="49" t="s">
        <v>108</v>
      </c>
      <c r="G5" s="69"/>
      <c r="H5" s="70"/>
    </row>
    <row r="6" spans="1:8" x14ac:dyDescent="0.25">
      <c r="A6" t="s">
        <v>109</v>
      </c>
      <c r="B6" s="69">
        <v>1970</v>
      </c>
      <c r="F6" t="s">
        <v>109</v>
      </c>
      <c r="G6" s="69">
        <v>0</v>
      </c>
      <c r="H6" s="70"/>
    </row>
    <row r="7" spans="1:8" x14ac:dyDescent="0.25">
      <c r="A7" t="s">
        <v>110</v>
      </c>
      <c r="B7" s="69">
        <v>1200</v>
      </c>
      <c r="F7" t="s">
        <v>110</v>
      </c>
      <c r="G7" s="69">
        <v>0</v>
      </c>
      <c r="H7" s="70"/>
    </row>
    <row r="8" spans="1:8" x14ac:dyDescent="0.25">
      <c r="A8" t="s">
        <v>111</v>
      </c>
      <c r="B8" s="69">
        <v>4000</v>
      </c>
      <c r="F8" t="s">
        <v>111</v>
      </c>
      <c r="G8" s="69">
        <v>0</v>
      </c>
      <c r="H8" s="70"/>
    </row>
    <row r="9" spans="1:8" ht="48" customHeight="1" x14ac:dyDescent="0.25">
      <c r="A9" s="72" t="s">
        <v>133</v>
      </c>
      <c r="B9" s="69">
        <v>84650.59</v>
      </c>
      <c r="C9" s="70">
        <f>-B6-B7-B8-B9</f>
        <v>-91820.59</v>
      </c>
      <c r="F9" s="72" t="s">
        <v>133</v>
      </c>
      <c r="G9" s="69">
        <v>0</v>
      </c>
      <c r="H9" s="70">
        <f>-G6-G7-G8-G9</f>
        <v>0</v>
      </c>
    </row>
    <row r="10" spans="1:8" x14ac:dyDescent="0.25">
      <c r="G10" s="69"/>
      <c r="H10" s="70"/>
    </row>
    <row r="11" spans="1:8" ht="15.75" thickBot="1" x14ac:dyDescent="0.3">
      <c r="C11" s="73">
        <f>C4+C9</f>
        <v>44699.41</v>
      </c>
      <c r="G11" s="69"/>
      <c r="H11" s="73">
        <f>H4+H9</f>
        <v>0</v>
      </c>
    </row>
    <row r="12" spans="1:8" x14ac:dyDescent="0.25">
      <c r="G12" s="69"/>
      <c r="H12" s="70"/>
    </row>
    <row r="17" spans="1:8" x14ac:dyDescent="0.25">
      <c r="A17" s="163" t="s">
        <v>136</v>
      </c>
      <c r="B17" s="164"/>
      <c r="C17" s="164"/>
      <c r="F17" s="165" t="s">
        <v>137</v>
      </c>
      <c r="G17" s="166"/>
      <c r="H17" s="166"/>
    </row>
    <row r="18" spans="1:8" x14ac:dyDescent="0.25">
      <c r="G18" s="69"/>
      <c r="H18" s="70"/>
    </row>
    <row r="19" spans="1:8" x14ac:dyDescent="0.25">
      <c r="G19" s="69"/>
      <c r="H19" s="70"/>
    </row>
    <row r="20" spans="1:8" x14ac:dyDescent="0.25">
      <c r="A20" t="s">
        <v>107</v>
      </c>
      <c r="C20" s="71">
        <v>133506</v>
      </c>
      <c r="F20" t="s">
        <v>107</v>
      </c>
      <c r="G20" s="69"/>
      <c r="H20" s="71">
        <v>169093</v>
      </c>
    </row>
    <row r="21" spans="1:8" x14ac:dyDescent="0.25">
      <c r="A21" s="49" t="s">
        <v>108</v>
      </c>
      <c r="F21" s="49" t="s">
        <v>108</v>
      </c>
      <c r="G21" s="69"/>
      <c r="H21" s="70"/>
    </row>
    <row r="22" spans="1:8" x14ac:dyDescent="0.25">
      <c r="A22" t="s">
        <v>109</v>
      </c>
      <c r="B22" s="69">
        <v>2235</v>
      </c>
      <c r="F22" t="s">
        <v>109</v>
      </c>
      <c r="G22" s="69">
        <v>1970</v>
      </c>
      <c r="H22" s="70"/>
    </row>
    <row r="23" spans="1:8" x14ac:dyDescent="0.25">
      <c r="A23" t="s">
        <v>110</v>
      </c>
      <c r="B23" s="69">
        <v>1300</v>
      </c>
      <c r="F23" t="s">
        <v>110</v>
      </c>
      <c r="G23" s="69">
        <v>1300</v>
      </c>
      <c r="H23" s="70"/>
    </row>
    <row r="24" spans="1:8" x14ac:dyDescent="0.25">
      <c r="A24" t="s">
        <v>111</v>
      </c>
      <c r="B24" s="69">
        <v>4000</v>
      </c>
      <c r="F24" t="s">
        <v>111</v>
      </c>
      <c r="G24" s="69">
        <v>4000</v>
      </c>
      <c r="H24" s="70"/>
    </row>
    <row r="25" spans="1:8" ht="45" x14ac:dyDescent="0.25">
      <c r="A25" s="72" t="s">
        <v>133</v>
      </c>
      <c r="B25" s="69">
        <v>91035</v>
      </c>
      <c r="C25" s="70">
        <f>-B22-B23-B24-B25</f>
        <v>-98570</v>
      </c>
      <c r="F25" s="72" t="s">
        <v>133</v>
      </c>
      <c r="G25" s="69">
        <v>113952.99</v>
      </c>
      <c r="H25" s="70">
        <f>-G22-G23-G24-G25</f>
        <v>-121222.99</v>
      </c>
    </row>
    <row r="26" spans="1:8" x14ac:dyDescent="0.25">
      <c r="G26" s="69"/>
      <c r="H26" s="70"/>
    </row>
    <row r="27" spans="1:8" ht="15.75" thickBot="1" x14ac:dyDescent="0.3">
      <c r="C27" s="73">
        <f>C20+C25</f>
        <v>34936</v>
      </c>
      <c r="G27" s="69"/>
      <c r="H27" s="73">
        <f>H20+H25</f>
        <v>47870.009999999995</v>
      </c>
    </row>
    <row r="32" spans="1:8" x14ac:dyDescent="0.25">
      <c r="A32" s="167" t="s">
        <v>141</v>
      </c>
      <c r="B32" s="168"/>
      <c r="C32" s="168"/>
      <c r="F32" s="169" t="s">
        <v>138</v>
      </c>
      <c r="G32" s="170"/>
      <c r="H32" s="170"/>
    </row>
    <row r="33" spans="1:8" x14ac:dyDescent="0.25">
      <c r="G33" s="69"/>
      <c r="H33" s="70"/>
    </row>
    <row r="34" spans="1:8" x14ac:dyDescent="0.25">
      <c r="G34" s="69"/>
      <c r="H34" s="70"/>
    </row>
    <row r="35" spans="1:8" x14ac:dyDescent="0.25">
      <c r="A35" t="s">
        <v>107</v>
      </c>
      <c r="C35" s="71" t="e">
        <f>+#REF!+#REF!</f>
        <v>#REF!</v>
      </c>
      <c r="F35" t="s">
        <v>107</v>
      </c>
      <c r="G35" s="69"/>
      <c r="H35" s="71">
        <v>0</v>
      </c>
    </row>
    <row r="36" spans="1:8" x14ac:dyDescent="0.25">
      <c r="A36" s="49" t="s">
        <v>108</v>
      </c>
      <c r="F36" s="49" t="s">
        <v>108</v>
      </c>
      <c r="G36" s="69"/>
      <c r="H36" s="70"/>
    </row>
    <row r="37" spans="1:8" x14ac:dyDescent="0.25">
      <c r="A37" t="s">
        <v>109</v>
      </c>
      <c r="B37" s="69">
        <v>5883</v>
      </c>
      <c r="F37" t="s">
        <v>109</v>
      </c>
      <c r="G37" s="69">
        <v>0</v>
      </c>
      <c r="H37" s="70"/>
    </row>
    <row r="38" spans="1:8" x14ac:dyDescent="0.25">
      <c r="A38" t="s">
        <v>110</v>
      </c>
      <c r="B38" s="69">
        <v>2350</v>
      </c>
      <c r="F38" t="s">
        <v>110</v>
      </c>
      <c r="G38" s="69">
        <v>0</v>
      </c>
      <c r="H38" s="70"/>
    </row>
    <row r="39" spans="1:8" x14ac:dyDescent="0.25">
      <c r="A39" t="s">
        <v>111</v>
      </c>
      <c r="B39" s="69">
        <v>4000</v>
      </c>
      <c r="F39" t="s">
        <v>111</v>
      </c>
      <c r="G39" s="69">
        <v>0</v>
      </c>
      <c r="H39" s="70"/>
    </row>
    <row r="40" spans="1:8" ht="45" x14ac:dyDescent="0.25">
      <c r="A40" s="72" t="s">
        <v>133</v>
      </c>
      <c r="B40" s="69" t="e">
        <f>+#REF!+#REF!</f>
        <v>#REF!</v>
      </c>
      <c r="C40" s="70" t="e">
        <f>-B37-B38-B39-B40</f>
        <v>#REF!</v>
      </c>
      <c r="F40" s="72" t="s">
        <v>133</v>
      </c>
      <c r="G40" s="69">
        <v>0</v>
      </c>
      <c r="H40" s="70">
        <f>-G37-G38-G39-G40</f>
        <v>0</v>
      </c>
    </row>
    <row r="41" spans="1:8" x14ac:dyDescent="0.25">
      <c r="G41" s="69"/>
      <c r="H41" s="70"/>
    </row>
    <row r="42" spans="1:8" ht="15.75" thickBot="1" x14ac:dyDescent="0.3">
      <c r="C42" s="73" t="e">
        <f>C35+C40</f>
        <v>#REF!</v>
      </c>
      <c r="G42" s="69"/>
      <c r="H42" s="73">
        <f>H35+H40</f>
        <v>0</v>
      </c>
    </row>
    <row r="46" spans="1:8" x14ac:dyDescent="0.25">
      <c r="A46" s="157" t="s">
        <v>139</v>
      </c>
      <c r="B46" s="158"/>
      <c r="C46" s="158"/>
    </row>
    <row r="49" spans="1:3" x14ac:dyDescent="0.25">
      <c r="A49" t="s">
        <v>107</v>
      </c>
      <c r="C49" s="71">
        <v>156710</v>
      </c>
    </row>
    <row r="50" spans="1:3" x14ac:dyDescent="0.25">
      <c r="A50" s="49" t="s">
        <v>108</v>
      </c>
    </row>
    <row r="51" spans="1:3" x14ac:dyDescent="0.25">
      <c r="A51" t="s">
        <v>109</v>
      </c>
      <c r="B51" s="69">
        <v>13500</v>
      </c>
    </row>
    <row r="52" spans="1:3" x14ac:dyDescent="0.25">
      <c r="A52" t="s">
        <v>110</v>
      </c>
      <c r="B52" s="69">
        <v>2000</v>
      </c>
    </row>
    <row r="53" spans="1:3" x14ac:dyDescent="0.25">
      <c r="A53" t="s">
        <v>111</v>
      </c>
      <c r="B53" s="69">
        <v>6000</v>
      </c>
    </row>
    <row r="54" spans="1:3" ht="45" x14ac:dyDescent="0.25">
      <c r="A54" s="72" t="s">
        <v>133</v>
      </c>
      <c r="B54" s="69">
        <v>109151</v>
      </c>
      <c r="C54" s="70">
        <f>-B51-B52-B53-B54</f>
        <v>-130651</v>
      </c>
    </row>
    <row r="56" spans="1:3" ht="15.75" thickBot="1" x14ac:dyDescent="0.3">
      <c r="C56" s="73">
        <f>C49+C54</f>
        <v>26059</v>
      </c>
    </row>
    <row r="59" spans="1:3" x14ac:dyDescent="0.25">
      <c r="B59" s="61"/>
      <c r="C59" s="61"/>
    </row>
    <row r="60" spans="1:3" x14ac:dyDescent="0.25">
      <c r="B60" s="61"/>
      <c r="C60" s="61"/>
    </row>
    <row r="61" spans="1:3" x14ac:dyDescent="0.25">
      <c r="B61" s="61"/>
      <c r="C61" s="61"/>
    </row>
    <row r="62" spans="1:3" x14ac:dyDescent="0.25">
      <c r="B62" s="61"/>
      <c r="C62" s="61"/>
    </row>
    <row r="63" spans="1:3" x14ac:dyDescent="0.25">
      <c r="B63" s="61"/>
      <c r="C63" s="61"/>
    </row>
    <row r="64" spans="1:3" x14ac:dyDescent="0.25">
      <c r="B64" s="61"/>
      <c r="C64" s="61"/>
    </row>
    <row r="65" spans="2:3" x14ac:dyDescent="0.25">
      <c r="B65" s="61"/>
      <c r="C65" s="61"/>
    </row>
    <row r="66" spans="2:3" x14ac:dyDescent="0.25">
      <c r="B66" s="61"/>
      <c r="C66" s="61"/>
    </row>
    <row r="67" spans="2:3" x14ac:dyDescent="0.25">
      <c r="B67" s="61"/>
      <c r="C67" s="61"/>
    </row>
    <row r="68" spans="2:3" x14ac:dyDescent="0.25">
      <c r="B68" s="61"/>
      <c r="C68" s="61"/>
    </row>
    <row r="69" spans="2:3" x14ac:dyDescent="0.25">
      <c r="B69" s="61"/>
      <c r="C69" s="61"/>
    </row>
    <row r="70" spans="2:3" x14ac:dyDescent="0.25">
      <c r="B70" s="61"/>
      <c r="C70" s="61"/>
    </row>
    <row r="71" spans="2:3" x14ac:dyDescent="0.25">
      <c r="B71" s="61"/>
      <c r="C71" s="61"/>
    </row>
    <row r="72" spans="2:3" x14ac:dyDescent="0.25">
      <c r="B72" s="61"/>
      <c r="C72" s="61"/>
    </row>
    <row r="73" spans="2:3" x14ac:dyDescent="0.25">
      <c r="B73" s="61"/>
      <c r="C73" s="61"/>
    </row>
    <row r="74" spans="2:3" x14ac:dyDescent="0.25">
      <c r="B74" s="61"/>
      <c r="C74" s="61"/>
    </row>
    <row r="75" spans="2:3" x14ac:dyDescent="0.25">
      <c r="B75" s="61"/>
      <c r="C75" s="61"/>
    </row>
    <row r="76" spans="2:3" x14ac:dyDescent="0.25">
      <c r="B76" s="61"/>
      <c r="C76" s="61"/>
    </row>
    <row r="77" spans="2:3" x14ac:dyDescent="0.25">
      <c r="B77" s="61"/>
      <c r="C77" s="61"/>
    </row>
    <row r="78" spans="2:3" x14ac:dyDescent="0.25">
      <c r="B78" s="61"/>
      <c r="C78" s="61"/>
    </row>
    <row r="79" spans="2:3" x14ac:dyDescent="0.25">
      <c r="B79" s="61"/>
      <c r="C79" s="61"/>
    </row>
    <row r="80" spans="2:3" x14ac:dyDescent="0.25">
      <c r="B80" s="61"/>
      <c r="C80" s="61"/>
    </row>
    <row r="81" spans="2:3" x14ac:dyDescent="0.25">
      <c r="B81" s="61"/>
      <c r="C81" s="61"/>
    </row>
    <row r="82" spans="2:3" x14ac:dyDescent="0.25">
      <c r="B82" s="61"/>
      <c r="C82" s="61"/>
    </row>
    <row r="83" spans="2:3" x14ac:dyDescent="0.25">
      <c r="B83" s="61"/>
      <c r="C83" s="61"/>
    </row>
    <row r="84" spans="2:3" x14ac:dyDescent="0.25">
      <c r="B84" s="61"/>
      <c r="C84" s="61"/>
    </row>
    <row r="85" spans="2:3" x14ac:dyDescent="0.25">
      <c r="B85" s="61"/>
      <c r="C85" s="61"/>
    </row>
    <row r="86" spans="2:3" x14ac:dyDescent="0.25">
      <c r="B86" s="61"/>
      <c r="C86" s="61"/>
    </row>
    <row r="87" spans="2:3" x14ac:dyDescent="0.25">
      <c r="B87" s="61"/>
      <c r="C87" s="61"/>
    </row>
    <row r="88" spans="2:3" x14ac:dyDescent="0.25">
      <c r="B88" s="61"/>
      <c r="C88" s="61"/>
    </row>
    <row r="89" spans="2:3" x14ac:dyDescent="0.25">
      <c r="B89" s="61"/>
      <c r="C89" s="61"/>
    </row>
    <row r="90" spans="2:3" x14ac:dyDescent="0.25">
      <c r="B90" s="61"/>
      <c r="C90" s="61"/>
    </row>
    <row r="91" spans="2:3" x14ac:dyDescent="0.25">
      <c r="B91" s="61"/>
      <c r="C91" s="61"/>
    </row>
    <row r="92" spans="2:3" x14ac:dyDescent="0.25">
      <c r="B92" s="61"/>
      <c r="C92" s="61"/>
    </row>
    <row r="93" spans="2:3" x14ac:dyDescent="0.25">
      <c r="B93" s="61"/>
      <c r="C93" s="61"/>
    </row>
    <row r="94" spans="2:3" x14ac:dyDescent="0.25">
      <c r="B94" s="61"/>
      <c r="C94" s="61"/>
    </row>
    <row r="95" spans="2:3" x14ac:dyDescent="0.25">
      <c r="B95" s="61"/>
      <c r="C95" s="61"/>
    </row>
    <row r="96" spans="2:3" x14ac:dyDescent="0.25">
      <c r="B96" s="61"/>
      <c r="C96" s="61"/>
    </row>
    <row r="97" spans="2:3" x14ac:dyDescent="0.25">
      <c r="B97" s="61"/>
      <c r="C97" s="61"/>
    </row>
    <row r="98" spans="2:3" x14ac:dyDescent="0.25">
      <c r="B98" s="61"/>
      <c r="C98" s="61"/>
    </row>
    <row r="99" spans="2:3" x14ac:dyDescent="0.25">
      <c r="B99" s="61"/>
      <c r="C99" s="61"/>
    </row>
    <row r="100" spans="2:3" x14ac:dyDescent="0.25">
      <c r="B100" s="61"/>
      <c r="C100" s="61"/>
    </row>
    <row r="101" spans="2:3" x14ac:dyDescent="0.25">
      <c r="B101" s="61"/>
      <c r="C101" s="61"/>
    </row>
    <row r="102" spans="2:3" x14ac:dyDescent="0.25">
      <c r="B102" s="61"/>
      <c r="C102" s="61"/>
    </row>
    <row r="103" spans="2:3" x14ac:dyDescent="0.25">
      <c r="B103" s="61"/>
      <c r="C103" s="61"/>
    </row>
    <row r="104" spans="2:3" x14ac:dyDescent="0.25">
      <c r="B104" s="61"/>
      <c r="C104" s="61"/>
    </row>
    <row r="105" spans="2:3" x14ac:dyDescent="0.25">
      <c r="B105" s="61"/>
      <c r="C105" s="61"/>
    </row>
    <row r="106" spans="2:3" x14ac:dyDescent="0.25">
      <c r="B106" s="61"/>
      <c r="C106" s="61"/>
    </row>
    <row r="107" spans="2:3" x14ac:dyDescent="0.25">
      <c r="B107" s="61"/>
      <c r="C107" s="61"/>
    </row>
    <row r="108" spans="2:3" x14ac:dyDescent="0.25">
      <c r="B108" s="61"/>
      <c r="C108" s="61"/>
    </row>
    <row r="109" spans="2:3" x14ac:dyDescent="0.25">
      <c r="B109" s="61"/>
      <c r="C109" s="61"/>
    </row>
    <row r="110" spans="2:3" x14ac:dyDescent="0.25">
      <c r="B110" s="61"/>
      <c r="C110" s="61"/>
    </row>
    <row r="111" spans="2:3" x14ac:dyDescent="0.25">
      <c r="B111" s="61"/>
      <c r="C111" s="61"/>
    </row>
    <row r="112" spans="2:3" x14ac:dyDescent="0.25">
      <c r="B112" s="61"/>
      <c r="C112" s="61"/>
    </row>
    <row r="113" spans="2:3" x14ac:dyDescent="0.25">
      <c r="B113" s="61"/>
      <c r="C113" s="61"/>
    </row>
    <row r="114" spans="2:3" x14ac:dyDescent="0.25">
      <c r="B114" s="61"/>
      <c r="C114" s="61"/>
    </row>
    <row r="115" spans="2:3" x14ac:dyDescent="0.25">
      <c r="B115" s="61"/>
      <c r="C115" s="61"/>
    </row>
    <row r="116" spans="2:3" x14ac:dyDescent="0.25">
      <c r="B116" s="61"/>
      <c r="C116" s="61"/>
    </row>
    <row r="117" spans="2:3" x14ac:dyDescent="0.25">
      <c r="B117" s="61"/>
      <c r="C117" s="61"/>
    </row>
    <row r="118" spans="2:3" x14ac:dyDescent="0.25">
      <c r="B118" s="61"/>
      <c r="C118" s="61"/>
    </row>
    <row r="119" spans="2:3" x14ac:dyDescent="0.25">
      <c r="B119" s="61"/>
      <c r="C119" s="61"/>
    </row>
    <row r="120" spans="2:3" x14ac:dyDescent="0.25">
      <c r="B120" s="61"/>
      <c r="C120" s="61"/>
    </row>
    <row r="121" spans="2:3" x14ac:dyDescent="0.25">
      <c r="B121" s="61"/>
      <c r="C121" s="61"/>
    </row>
    <row r="122" spans="2:3" x14ac:dyDescent="0.25">
      <c r="B122" s="61"/>
      <c r="C122" s="61"/>
    </row>
    <row r="123" spans="2:3" x14ac:dyDescent="0.25">
      <c r="B123" s="61"/>
      <c r="C123" s="61"/>
    </row>
    <row r="124" spans="2:3" x14ac:dyDescent="0.25">
      <c r="B124" s="61"/>
      <c r="C124" s="61"/>
    </row>
    <row r="125" spans="2:3" x14ac:dyDescent="0.25">
      <c r="B125" s="61"/>
      <c r="C125" s="61"/>
    </row>
    <row r="126" spans="2:3" x14ac:dyDescent="0.25">
      <c r="B126" s="61"/>
      <c r="C126" s="61"/>
    </row>
    <row r="127" spans="2:3" x14ac:dyDescent="0.25">
      <c r="B127" s="61"/>
      <c r="C127" s="61"/>
    </row>
    <row r="128" spans="2:3" x14ac:dyDescent="0.25">
      <c r="B128" s="61"/>
      <c r="C128" s="61"/>
    </row>
    <row r="129" spans="2:3" x14ac:dyDescent="0.25">
      <c r="B129" s="61"/>
      <c r="C129" s="61"/>
    </row>
    <row r="130" spans="2:3" x14ac:dyDescent="0.25">
      <c r="B130" s="61"/>
      <c r="C130" s="61"/>
    </row>
    <row r="131" spans="2:3" x14ac:dyDescent="0.25">
      <c r="B131" s="61"/>
      <c r="C131" s="61"/>
    </row>
    <row r="132" spans="2:3" x14ac:dyDescent="0.25">
      <c r="B132" s="61"/>
      <c r="C132" s="61"/>
    </row>
    <row r="133" spans="2:3" x14ac:dyDescent="0.25">
      <c r="B133" s="61"/>
      <c r="C133" s="61"/>
    </row>
    <row r="134" spans="2:3" x14ac:dyDescent="0.25">
      <c r="B134" s="61"/>
      <c r="C134" s="61"/>
    </row>
    <row r="135" spans="2:3" x14ac:dyDescent="0.25">
      <c r="B135" s="61"/>
      <c r="C135" s="61"/>
    </row>
    <row r="136" spans="2:3" x14ac:dyDescent="0.25">
      <c r="B136" s="61"/>
      <c r="C136" s="61"/>
    </row>
    <row r="137" spans="2:3" x14ac:dyDescent="0.25">
      <c r="B137" s="61"/>
      <c r="C137" s="61"/>
    </row>
    <row r="138" spans="2:3" x14ac:dyDescent="0.25">
      <c r="B138" s="61"/>
      <c r="C138" s="61"/>
    </row>
    <row r="139" spans="2:3" x14ac:dyDescent="0.25">
      <c r="B139" s="61"/>
      <c r="C139" s="61"/>
    </row>
    <row r="140" spans="2:3" x14ac:dyDescent="0.25">
      <c r="B140" s="61"/>
      <c r="C140" s="61"/>
    </row>
    <row r="141" spans="2:3" x14ac:dyDescent="0.25">
      <c r="B141" s="61"/>
      <c r="C141" s="61"/>
    </row>
    <row r="142" spans="2:3" x14ac:dyDescent="0.25">
      <c r="B142" s="61"/>
      <c r="C142" s="61"/>
    </row>
    <row r="143" spans="2:3" x14ac:dyDescent="0.25">
      <c r="B143" s="61"/>
      <c r="C143" s="61"/>
    </row>
    <row r="144" spans="2:3" x14ac:dyDescent="0.25">
      <c r="B144" s="61"/>
      <c r="C144" s="61"/>
    </row>
    <row r="145" spans="2:3" x14ac:dyDescent="0.25">
      <c r="B145" s="61"/>
      <c r="C145" s="61"/>
    </row>
    <row r="146" spans="2:3" x14ac:dyDescent="0.25">
      <c r="B146" s="61"/>
      <c r="C146" s="61"/>
    </row>
    <row r="147" spans="2:3" x14ac:dyDescent="0.25">
      <c r="B147" s="61"/>
      <c r="C147" s="61"/>
    </row>
    <row r="148" spans="2:3" x14ac:dyDescent="0.25">
      <c r="B148" s="61"/>
      <c r="C148" s="61"/>
    </row>
    <row r="149" spans="2:3" x14ac:dyDescent="0.25">
      <c r="B149" s="61"/>
      <c r="C149" s="61"/>
    </row>
    <row r="150" spans="2:3" x14ac:dyDescent="0.25">
      <c r="B150" s="61"/>
      <c r="C150" s="61"/>
    </row>
    <row r="151" spans="2:3" x14ac:dyDescent="0.25">
      <c r="B151" s="61"/>
      <c r="C151" s="61"/>
    </row>
    <row r="152" spans="2:3" x14ac:dyDescent="0.25">
      <c r="B152" s="61"/>
      <c r="C152" s="61"/>
    </row>
    <row r="153" spans="2:3" x14ac:dyDescent="0.25">
      <c r="B153" s="61"/>
      <c r="C153" s="61"/>
    </row>
    <row r="154" spans="2:3" x14ac:dyDescent="0.25">
      <c r="B154" s="61"/>
      <c r="C154" s="61"/>
    </row>
    <row r="155" spans="2:3" x14ac:dyDescent="0.25">
      <c r="B155" s="61"/>
      <c r="C155" s="61"/>
    </row>
    <row r="156" spans="2:3" x14ac:dyDescent="0.25">
      <c r="B156" s="61"/>
      <c r="C156" s="61"/>
    </row>
    <row r="157" spans="2:3" x14ac:dyDescent="0.25">
      <c r="B157" s="61"/>
      <c r="C157" s="61"/>
    </row>
    <row r="158" spans="2:3" x14ac:dyDescent="0.25">
      <c r="B158" s="61"/>
      <c r="C158" s="61"/>
    </row>
    <row r="159" spans="2:3" x14ac:dyDescent="0.25">
      <c r="B159" s="61"/>
      <c r="C159" s="61"/>
    </row>
    <row r="160" spans="2:3" x14ac:dyDescent="0.25">
      <c r="B160" s="61"/>
      <c r="C160" s="61"/>
    </row>
    <row r="161" spans="2:3" x14ac:dyDescent="0.25">
      <c r="B161" s="61"/>
      <c r="C161" s="61"/>
    </row>
    <row r="162" spans="2:3" x14ac:dyDescent="0.25">
      <c r="B162" s="61"/>
      <c r="C162" s="61"/>
    </row>
    <row r="163" spans="2:3" x14ac:dyDescent="0.25">
      <c r="B163" s="61"/>
      <c r="C163" s="61"/>
    </row>
    <row r="164" spans="2:3" x14ac:dyDescent="0.25">
      <c r="B164" s="61"/>
      <c r="C164" s="61"/>
    </row>
    <row r="165" spans="2:3" x14ac:dyDescent="0.25">
      <c r="B165" s="61"/>
      <c r="C165" s="61"/>
    </row>
    <row r="166" spans="2:3" x14ac:dyDescent="0.25">
      <c r="B166" s="61"/>
      <c r="C166" s="61"/>
    </row>
    <row r="167" spans="2:3" x14ac:dyDescent="0.25">
      <c r="B167" s="61"/>
      <c r="C167" s="61"/>
    </row>
    <row r="168" spans="2:3" x14ac:dyDescent="0.25">
      <c r="B168" s="61"/>
      <c r="C168" s="61"/>
    </row>
    <row r="169" spans="2:3" x14ac:dyDescent="0.25">
      <c r="B169" s="61"/>
      <c r="C169" s="61"/>
    </row>
    <row r="170" spans="2:3" x14ac:dyDescent="0.25">
      <c r="B170" s="61"/>
      <c r="C170" s="61"/>
    </row>
    <row r="171" spans="2:3" x14ac:dyDescent="0.25">
      <c r="B171" s="61"/>
      <c r="C171" s="61"/>
    </row>
    <row r="172" spans="2:3" x14ac:dyDescent="0.25">
      <c r="B172" s="61"/>
      <c r="C172" s="61"/>
    </row>
    <row r="173" spans="2:3" x14ac:dyDescent="0.25">
      <c r="B173" s="61"/>
      <c r="C173" s="61"/>
    </row>
    <row r="174" spans="2:3" x14ac:dyDescent="0.25">
      <c r="B174" s="61"/>
      <c r="C174" s="61"/>
    </row>
    <row r="175" spans="2:3" x14ac:dyDescent="0.25">
      <c r="B175" s="61"/>
      <c r="C175" s="61"/>
    </row>
    <row r="176" spans="2:3" x14ac:dyDescent="0.25">
      <c r="B176" s="61"/>
      <c r="C176" s="61"/>
    </row>
    <row r="177" spans="2:3" x14ac:dyDescent="0.25">
      <c r="B177" s="61"/>
      <c r="C177" s="61"/>
    </row>
    <row r="178" spans="2:3" x14ac:dyDescent="0.25">
      <c r="B178" s="61"/>
      <c r="C178" s="61"/>
    </row>
    <row r="179" spans="2:3" x14ac:dyDescent="0.25">
      <c r="B179" s="61"/>
      <c r="C179" s="61"/>
    </row>
    <row r="180" spans="2:3" x14ac:dyDescent="0.25">
      <c r="B180" s="61"/>
      <c r="C180" s="61"/>
    </row>
    <row r="181" spans="2:3" x14ac:dyDescent="0.25">
      <c r="B181" s="61"/>
      <c r="C181" s="61"/>
    </row>
    <row r="182" spans="2:3" x14ac:dyDescent="0.25">
      <c r="B182" s="61"/>
      <c r="C182" s="61"/>
    </row>
    <row r="183" spans="2:3" x14ac:dyDescent="0.25">
      <c r="B183" s="61"/>
      <c r="C183" s="61"/>
    </row>
    <row r="184" spans="2:3" x14ac:dyDescent="0.25">
      <c r="B184" s="61"/>
      <c r="C184" s="61"/>
    </row>
    <row r="185" spans="2:3" x14ac:dyDescent="0.25">
      <c r="B185" s="61"/>
      <c r="C185" s="61"/>
    </row>
    <row r="186" spans="2:3" x14ac:dyDescent="0.25">
      <c r="B186" s="61"/>
      <c r="C186" s="61"/>
    </row>
    <row r="187" spans="2:3" x14ac:dyDescent="0.25">
      <c r="B187" s="61"/>
      <c r="C187" s="61"/>
    </row>
    <row r="188" spans="2:3" x14ac:dyDescent="0.25">
      <c r="B188" s="61"/>
      <c r="C188" s="61"/>
    </row>
    <row r="189" spans="2:3" x14ac:dyDescent="0.25">
      <c r="B189" s="61"/>
      <c r="C189" s="61"/>
    </row>
    <row r="190" spans="2:3" x14ac:dyDescent="0.25">
      <c r="B190" s="61"/>
      <c r="C190" s="61"/>
    </row>
    <row r="191" spans="2:3" x14ac:dyDescent="0.25">
      <c r="B191" s="61"/>
      <c r="C191" s="61"/>
    </row>
    <row r="192" spans="2:3" x14ac:dyDescent="0.25">
      <c r="B192" s="61"/>
      <c r="C192" s="61"/>
    </row>
    <row r="193" spans="2:3" x14ac:dyDescent="0.25">
      <c r="B193" s="61"/>
      <c r="C193" s="61"/>
    </row>
    <row r="194" spans="2:3" x14ac:dyDescent="0.25">
      <c r="B194" s="61"/>
      <c r="C194" s="61"/>
    </row>
    <row r="195" spans="2:3" x14ac:dyDescent="0.25">
      <c r="B195" s="61"/>
      <c r="C195" s="61"/>
    </row>
    <row r="196" spans="2:3" x14ac:dyDescent="0.25">
      <c r="B196" s="61"/>
      <c r="C196" s="61"/>
    </row>
    <row r="197" spans="2:3" x14ac:dyDescent="0.25">
      <c r="B197" s="61"/>
      <c r="C197" s="61"/>
    </row>
    <row r="198" spans="2:3" x14ac:dyDescent="0.25">
      <c r="B198" s="61"/>
      <c r="C198" s="61"/>
    </row>
    <row r="199" spans="2:3" x14ac:dyDescent="0.25">
      <c r="B199" s="61"/>
      <c r="C199" s="61"/>
    </row>
    <row r="200" spans="2:3" x14ac:dyDescent="0.25">
      <c r="B200" s="61"/>
      <c r="C200" s="61"/>
    </row>
    <row r="201" spans="2:3" x14ac:dyDescent="0.25">
      <c r="B201" s="61"/>
      <c r="C201" s="61"/>
    </row>
    <row r="202" spans="2:3" x14ac:dyDescent="0.25">
      <c r="B202" s="61"/>
      <c r="C202" s="61"/>
    </row>
    <row r="203" spans="2:3" x14ac:dyDescent="0.25">
      <c r="B203" s="61"/>
      <c r="C203" s="61"/>
    </row>
    <row r="204" spans="2:3" x14ac:dyDescent="0.25">
      <c r="B204" s="61"/>
      <c r="C204" s="61"/>
    </row>
    <row r="205" spans="2:3" x14ac:dyDescent="0.25">
      <c r="B205" s="61"/>
      <c r="C205" s="61"/>
    </row>
    <row r="206" spans="2:3" x14ac:dyDescent="0.25">
      <c r="B206" s="61"/>
      <c r="C206" s="61"/>
    </row>
    <row r="207" spans="2:3" x14ac:dyDescent="0.25">
      <c r="B207" s="61"/>
      <c r="C207" s="61"/>
    </row>
    <row r="208" spans="2:3" x14ac:dyDescent="0.25">
      <c r="B208" s="61"/>
      <c r="C208" s="61"/>
    </row>
    <row r="209" spans="2:3" x14ac:dyDescent="0.25">
      <c r="B209" s="61"/>
      <c r="C209" s="61"/>
    </row>
    <row r="210" spans="2:3" x14ac:dyDescent="0.25">
      <c r="B210" s="61"/>
      <c r="C210" s="61"/>
    </row>
    <row r="211" spans="2:3" x14ac:dyDescent="0.25">
      <c r="B211" s="61"/>
      <c r="C211" s="61"/>
    </row>
    <row r="212" spans="2:3" x14ac:dyDescent="0.25">
      <c r="B212" s="61"/>
      <c r="C212" s="61"/>
    </row>
    <row r="213" spans="2:3" x14ac:dyDescent="0.25">
      <c r="B213" s="61"/>
      <c r="C213" s="61"/>
    </row>
    <row r="214" spans="2:3" x14ac:dyDescent="0.25">
      <c r="B214" s="61"/>
      <c r="C214" s="61"/>
    </row>
    <row r="215" spans="2:3" x14ac:dyDescent="0.25">
      <c r="B215" s="61"/>
      <c r="C215" s="61"/>
    </row>
    <row r="216" spans="2:3" x14ac:dyDescent="0.25">
      <c r="B216" s="61"/>
      <c r="C216" s="61"/>
    </row>
    <row r="217" spans="2:3" x14ac:dyDescent="0.25">
      <c r="B217" s="61"/>
      <c r="C217" s="61"/>
    </row>
    <row r="218" spans="2:3" x14ac:dyDescent="0.25">
      <c r="B218" s="61"/>
      <c r="C218" s="61"/>
    </row>
    <row r="219" spans="2:3" x14ac:dyDescent="0.25">
      <c r="B219" s="61"/>
      <c r="C219" s="61"/>
    </row>
    <row r="220" spans="2:3" x14ac:dyDescent="0.25">
      <c r="B220" s="61"/>
      <c r="C220" s="61"/>
    </row>
    <row r="221" spans="2:3" x14ac:dyDescent="0.25">
      <c r="B221" s="61"/>
      <c r="C221" s="61"/>
    </row>
    <row r="222" spans="2:3" x14ac:dyDescent="0.25">
      <c r="B222" s="61"/>
      <c r="C222" s="61"/>
    </row>
    <row r="223" spans="2:3" x14ac:dyDescent="0.25">
      <c r="B223" s="61"/>
      <c r="C223" s="61"/>
    </row>
    <row r="224" spans="2:3" x14ac:dyDescent="0.25">
      <c r="B224" s="61"/>
      <c r="C224" s="61"/>
    </row>
    <row r="225" spans="2:3" x14ac:dyDescent="0.25">
      <c r="B225" s="61"/>
      <c r="C225" s="61"/>
    </row>
    <row r="226" spans="2:3" x14ac:dyDescent="0.25">
      <c r="B226" s="61"/>
      <c r="C226" s="61"/>
    </row>
    <row r="227" spans="2:3" x14ac:dyDescent="0.25">
      <c r="B227" s="61"/>
      <c r="C227" s="61"/>
    </row>
    <row r="228" spans="2:3" x14ac:dyDescent="0.25">
      <c r="B228" s="61"/>
      <c r="C228" s="61"/>
    </row>
    <row r="229" spans="2:3" x14ac:dyDescent="0.25">
      <c r="B229" s="61"/>
      <c r="C229" s="61"/>
    </row>
    <row r="230" spans="2:3" x14ac:dyDescent="0.25">
      <c r="B230" s="61"/>
      <c r="C230" s="61"/>
    </row>
    <row r="231" spans="2:3" x14ac:dyDescent="0.25">
      <c r="B231" s="61"/>
      <c r="C231" s="61"/>
    </row>
    <row r="232" spans="2:3" x14ac:dyDescent="0.25">
      <c r="B232" s="61"/>
      <c r="C232" s="61"/>
    </row>
    <row r="233" spans="2:3" x14ac:dyDescent="0.25">
      <c r="B233" s="61"/>
      <c r="C233" s="61"/>
    </row>
    <row r="234" spans="2:3" x14ac:dyDescent="0.25">
      <c r="B234" s="61"/>
      <c r="C234" s="61"/>
    </row>
    <row r="235" spans="2:3" x14ac:dyDescent="0.25">
      <c r="B235" s="61"/>
      <c r="C235" s="61"/>
    </row>
    <row r="236" spans="2:3" x14ac:dyDescent="0.25">
      <c r="B236" s="61"/>
      <c r="C236" s="61"/>
    </row>
    <row r="237" spans="2:3" x14ac:dyDescent="0.25">
      <c r="B237" s="61"/>
      <c r="C237" s="61"/>
    </row>
    <row r="238" spans="2:3" x14ac:dyDescent="0.25">
      <c r="B238" s="61"/>
      <c r="C238" s="61"/>
    </row>
    <row r="239" spans="2:3" x14ac:dyDescent="0.25">
      <c r="B239" s="61"/>
      <c r="C239" s="61"/>
    </row>
    <row r="240" spans="2:3" x14ac:dyDescent="0.25">
      <c r="B240" s="61"/>
      <c r="C240" s="61"/>
    </row>
    <row r="241" spans="2:3" x14ac:dyDescent="0.25">
      <c r="B241" s="61"/>
      <c r="C241" s="61"/>
    </row>
    <row r="242" spans="2:3" x14ac:dyDescent="0.25">
      <c r="B242" s="61"/>
      <c r="C242" s="61"/>
    </row>
    <row r="243" spans="2:3" x14ac:dyDescent="0.25">
      <c r="B243" s="61"/>
      <c r="C243" s="61"/>
    </row>
    <row r="244" spans="2:3" x14ac:dyDescent="0.25">
      <c r="B244" s="61"/>
      <c r="C244" s="61"/>
    </row>
    <row r="245" spans="2:3" x14ac:dyDescent="0.25">
      <c r="B245" s="61"/>
      <c r="C245" s="61"/>
    </row>
    <row r="246" spans="2:3" x14ac:dyDescent="0.25">
      <c r="B246" s="61"/>
      <c r="C246" s="61"/>
    </row>
    <row r="247" spans="2:3" x14ac:dyDescent="0.25">
      <c r="B247" s="61"/>
      <c r="C247" s="61"/>
    </row>
    <row r="248" spans="2:3" x14ac:dyDescent="0.25">
      <c r="B248" s="61"/>
      <c r="C248" s="61"/>
    </row>
    <row r="249" spans="2:3" x14ac:dyDescent="0.25">
      <c r="B249" s="61"/>
      <c r="C249" s="61"/>
    </row>
    <row r="250" spans="2:3" x14ac:dyDescent="0.25">
      <c r="B250" s="61"/>
      <c r="C250" s="61"/>
    </row>
    <row r="251" spans="2:3" x14ac:dyDescent="0.25">
      <c r="B251" s="61"/>
      <c r="C251" s="61"/>
    </row>
    <row r="252" spans="2:3" x14ac:dyDescent="0.25">
      <c r="B252" s="61"/>
      <c r="C252" s="61"/>
    </row>
    <row r="253" spans="2:3" x14ac:dyDescent="0.25">
      <c r="B253" s="61"/>
      <c r="C253" s="61"/>
    </row>
    <row r="254" spans="2:3" x14ac:dyDescent="0.25">
      <c r="B254" s="61"/>
      <c r="C254" s="61"/>
    </row>
    <row r="255" spans="2:3" x14ac:dyDescent="0.25">
      <c r="B255" s="61"/>
      <c r="C255" s="61"/>
    </row>
    <row r="256" spans="2:3" x14ac:dyDescent="0.25">
      <c r="B256" s="61"/>
      <c r="C256" s="61"/>
    </row>
    <row r="257" spans="2:3" x14ac:dyDescent="0.25">
      <c r="B257" s="61"/>
      <c r="C257" s="61"/>
    </row>
    <row r="258" spans="2:3" x14ac:dyDescent="0.25">
      <c r="B258" s="61"/>
      <c r="C258" s="61"/>
    </row>
    <row r="259" spans="2:3" x14ac:dyDescent="0.25">
      <c r="B259" s="61"/>
      <c r="C259" s="61"/>
    </row>
    <row r="260" spans="2:3" x14ac:dyDescent="0.25">
      <c r="B260" s="61"/>
      <c r="C260" s="61"/>
    </row>
    <row r="261" spans="2:3" x14ac:dyDescent="0.25">
      <c r="B261" s="61"/>
      <c r="C261" s="61"/>
    </row>
    <row r="262" spans="2:3" x14ac:dyDescent="0.25">
      <c r="B262" s="61"/>
      <c r="C262" s="61"/>
    </row>
    <row r="263" spans="2:3" x14ac:dyDescent="0.25">
      <c r="B263" s="61"/>
      <c r="C263" s="61"/>
    </row>
    <row r="264" spans="2:3" x14ac:dyDescent="0.25">
      <c r="B264" s="61"/>
      <c r="C264" s="61"/>
    </row>
    <row r="265" spans="2:3" x14ac:dyDescent="0.25">
      <c r="B265" s="61"/>
      <c r="C265" s="61"/>
    </row>
    <row r="266" spans="2:3" x14ac:dyDescent="0.25">
      <c r="B266" s="61"/>
      <c r="C266" s="61"/>
    </row>
    <row r="267" spans="2:3" x14ac:dyDescent="0.25">
      <c r="B267" s="61"/>
      <c r="C267" s="61"/>
    </row>
    <row r="268" spans="2:3" x14ac:dyDescent="0.25">
      <c r="B268" s="61"/>
      <c r="C268" s="61"/>
    </row>
    <row r="269" spans="2:3" x14ac:dyDescent="0.25">
      <c r="B269" s="61"/>
      <c r="C269" s="61"/>
    </row>
    <row r="270" spans="2:3" x14ac:dyDescent="0.25">
      <c r="B270" s="61"/>
      <c r="C270" s="61"/>
    </row>
    <row r="271" spans="2:3" x14ac:dyDescent="0.25">
      <c r="B271" s="61"/>
      <c r="C271" s="61"/>
    </row>
    <row r="272" spans="2:3" x14ac:dyDescent="0.25">
      <c r="B272" s="61"/>
      <c r="C272" s="61"/>
    </row>
    <row r="273" spans="2:3" x14ac:dyDescent="0.25">
      <c r="B273" s="61"/>
      <c r="C273" s="61"/>
    </row>
    <row r="274" spans="2:3" x14ac:dyDescent="0.25">
      <c r="B274" s="61"/>
      <c r="C274" s="61"/>
    </row>
    <row r="275" spans="2:3" x14ac:dyDescent="0.25">
      <c r="B275" s="61"/>
      <c r="C275" s="61"/>
    </row>
    <row r="276" spans="2:3" x14ac:dyDescent="0.25">
      <c r="B276" s="61"/>
      <c r="C276" s="61"/>
    </row>
    <row r="277" spans="2:3" x14ac:dyDescent="0.25">
      <c r="B277" s="61"/>
      <c r="C277" s="61"/>
    </row>
    <row r="278" spans="2:3" x14ac:dyDescent="0.25">
      <c r="B278" s="61"/>
      <c r="C278" s="61"/>
    </row>
    <row r="279" spans="2:3" x14ac:dyDescent="0.25">
      <c r="B279" s="61"/>
      <c r="C279" s="61"/>
    </row>
    <row r="280" spans="2:3" x14ac:dyDescent="0.25">
      <c r="B280" s="61"/>
      <c r="C280" s="61"/>
    </row>
    <row r="281" spans="2:3" x14ac:dyDescent="0.25">
      <c r="B281" s="61"/>
      <c r="C281" s="61"/>
    </row>
    <row r="282" spans="2:3" x14ac:dyDescent="0.25">
      <c r="B282" s="61"/>
      <c r="C282" s="61"/>
    </row>
    <row r="283" spans="2:3" x14ac:dyDescent="0.25">
      <c r="B283" s="61"/>
      <c r="C283" s="61"/>
    </row>
    <row r="284" spans="2:3" x14ac:dyDescent="0.25">
      <c r="B284" s="61"/>
      <c r="C284" s="61"/>
    </row>
    <row r="285" spans="2:3" x14ac:dyDescent="0.25">
      <c r="B285" s="61"/>
      <c r="C285" s="61"/>
    </row>
    <row r="286" spans="2:3" x14ac:dyDescent="0.25">
      <c r="B286" s="61"/>
      <c r="C286" s="61"/>
    </row>
    <row r="287" spans="2:3" x14ac:dyDescent="0.25">
      <c r="B287" s="61"/>
      <c r="C287" s="61"/>
    </row>
    <row r="288" spans="2:3" x14ac:dyDescent="0.25">
      <c r="B288" s="61"/>
      <c r="C288" s="61"/>
    </row>
    <row r="289" spans="2:3" x14ac:dyDescent="0.25">
      <c r="B289" s="61"/>
      <c r="C289" s="61"/>
    </row>
    <row r="290" spans="2:3" x14ac:dyDescent="0.25">
      <c r="B290" s="61"/>
      <c r="C290" s="61"/>
    </row>
    <row r="291" spans="2:3" x14ac:dyDescent="0.25">
      <c r="B291" s="61"/>
      <c r="C291" s="61"/>
    </row>
    <row r="292" spans="2:3" x14ac:dyDescent="0.25">
      <c r="B292" s="61"/>
      <c r="C292" s="61"/>
    </row>
    <row r="293" spans="2:3" x14ac:dyDescent="0.25">
      <c r="B293" s="61"/>
      <c r="C293" s="61"/>
    </row>
    <row r="294" spans="2:3" x14ac:dyDescent="0.25">
      <c r="B294" s="61"/>
      <c r="C294" s="61"/>
    </row>
    <row r="295" spans="2:3" x14ac:dyDescent="0.25">
      <c r="B295" s="61"/>
      <c r="C295" s="61"/>
    </row>
    <row r="296" spans="2:3" x14ac:dyDescent="0.25">
      <c r="B296" s="61"/>
      <c r="C296" s="61"/>
    </row>
    <row r="297" spans="2:3" x14ac:dyDescent="0.25">
      <c r="B297" s="61"/>
      <c r="C297" s="61"/>
    </row>
    <row r="298" spans="2:3" x14ac:dyDescent="0.25">
      <c r="B298" s="61"/>
      <c r="C298" s="61"/>
    </row>
    <row r="299" spans="2:3" x14ac:dyDescent="0.25">
      <c r="B299" s="61"/>
      <c r="C299" s="61"/>
    </row>
    <row r="300" spans="2:3" x14ac:dyDescent="0.25">
      <c r="B300" s="61"/>
      <c r="C300" s="61"/>
    </row>
    <row r="301" spans="2:3" x14ac:dyDescent="0.25">
      <c r="B301" s="61"/>
      <c r="C301" s="61"/>
    </row>
    <row r="302" spans="2:3" x14ac:dyDescent="0.25">
      <c r="B302" s="61"/>
      <c r="C302" s="61"/>
    </row>
    <row r="303" spans="2:3" x14ac:dyDescent="0.25">
      <c r="B303" s="61"/>
      <c r="C303" s="61"/>
    </row>
    <row r="304" spans="2:3" x14ac:dyDescent="0.25">
      <c r="B304" s="61"/>
      <c r="C304" s="61"/>
    </row>
    <row r="305" spans="2:3" x14ac:dyDescent="0.25">
      <c r="B305" s="61"/>
      <c r="C305" s="61"/>
    </row>
    <row r="306" spans="2:3" x14ac:dyDescent="0.25">
      <c r="B306" s="61"/>
      <c r="C306" s="61"/>
    </row>
    <row r="307" spans="2:3" x14ac:dyDescent="0.25">
      <c r="B307" s="61"/>
      <c r="C307" s="61"/>
    </row>
    <row r="308" spans="2:3" x14ac:dyDescent="0.25">
      <c r="B308" s="61"/>
      <c r="C308" s="61"/>
    </row>
    <row r="309" spans="2:3" x14ac:dyDescent="0.25">
      <c r="B309" s="61"/>
      <c r="C309" s="61"/>
    </row>
    <row r="310" spans="2:3" x14ac:dyDescent="0.25">
      <c r="B310" s="61"/>
      <c r="C310" s="61"/>
    </row>
    <row r="311" spans="2:3" x14ac:dyDescent="0.25">
      <c r="B311" s="61"/>
      <c r="C311" s="61"/>
    </row>
    <row r="312" spans="2:3" x14ac:dyDescent="0.25">
      <c r="B312" s="61"/>
      <c r="C312" s="61"/>
    </row>
    <row r="313" spans="2:3" x14ac:dyDescent="0.25">
      <c r="B313" s="61"/>
      <c r="C313" s="61"/>
    </row>
    <row r="314" spans="2:3" x14ac:dyDescent="0.25">
      <c r="B314" s="61"/>
      <c r="C314" s="61"/>
    </row>
    <row r="315" spans="2:3" x14ac:dyDescent="0.25">
      <c r="B315" s="61"/>
      <c r="C315" s="61"/>
    </row>
    <row r="316" spans="2:3" x14ac:dyDescent="0.25">
      <c r="B316" s="61"/>
      <c r="C316" s="61"/>
    </row>
    <row r="317" spans="2:3" x14ac:dyDescent="0.25">
      <c r="B317" s="61"/>
      <c r="C317" s="61"/>
    </row>
    <row r="318" spans="2:3" x14ac:dyDescent="0.25">
      <c r="B318" s="61"/>
      <c r="C318" s="61"/>
    </row>
    <row r="319" spans="2:3" x14ac:dyDescent="0.25">
      <c r="B319" s="61"/>
      <c r="C319" s="61"/>
    </row>
    <row r="320" spans="2:3" x14ac:dyDescent="0.25">
      <c r="B320" s="61"/>
      <c r="C320" s="61"/>
    </row>
    <row r="321" spans="2:3" x14ac:dyDescent="0.25">
      <c r="B321" s="61"/>
      <c r="C321" s="61"/>
    </row>
    <row r="322" spans="2:3" x14ac:dyDescent="0.25">
      <c r="B322" s="61"/>
      <c r="C322" s="61"/>
    </row>
    <row r="323" spans="2:3" x14ac:dyDescent="0.25">
      <c r="B323" s="61"/>
      <c r="C323" s="61"/>
    </row>
    <row r="324" spans="2:3" x14ac:dyDescent="0.25">
      <c r="B324" s="61"/>
      <c r="C324" s="61"/>
    </row>
    <row r="325" spans="2:3" x14ac:dyDescent="0.25">
      <c r="B325" s="61"/>
      <c r="C325" s="61"/>
    </row>
    <row r="326" spans="2:3" x14ac:dyDescent="0.25">
      <c r="B326" s="61"/>
      <c r="C326" s="61"/>
    </row>
    <row r="327" spans="2:3" x14ac:dyDescent="0.25">
      <c r="B327" s="61"/>
      <c r="C327" s="61"/>
    </row>
    <row r="328" spans="2:3" x14ac:dyDescent="0.25">
      <c r="B328" s="61"/>
      <c r="C328" s="61"/>
    </row>
    <row r="329" spans="2:3" x14ac:dyDescent="0.25">
      <c r="B329" s="61"/>
      <c r="C329" s="61"/>
    </row>
    <row r="330" spans="2:3" x14ac:dyDescent="0.25">
      <c r="B330" s="61"/>
      <c r="C330" s="61"/>
    </row>
    <row r="331" spans="2:3" x14ac:dyDescent="0.25">
      <c r="B331" s="61"/>
      <c r="C331" s="61"/>
    </row>
    <row r="332" spans="2:3" x14ac:dyDescent="0.25">
      <c r="B332" s="61"/>
      <c r="C332" s="61"/>
    </row>
    <row r="333" spans="2:3" x14ac:dyDescent="0.25">
      <c r="B333" s="61"/>
      <c r="C333" s="61"/>
    </row>
    <row r="334" spans="2:3" x14ac:dyDescent="0.25">
      <c r="B334" s="61"/>
      <c r="C334" s="61"/>
    </row>
    <row r="335" spans="2:3" x14ac:dyDescent="0.25">
      <c r="B335" s="61"/>
      <c r="C335" s="61"/>
    </row>
    <row r="336" spans="2:3" x14ac:dyDescent="0.25">
      <c r="B336" s="61"/>
      <c r="C336" s="61"/>
    </row>
    <row r="337" spans="2:3" x14ac:dyDescent="0.25">
      <c r="B337" s="61"/>
      <c r="C337" s="61"/>
    </row>
    <row r="338" spans="2:3" x14ac:dyDescent="0.25">
      <c r="B338" s="61"/>
      <c r="C338" s="61"/>
    </row>
    <row r="339" spans="2:3" x14ac:dyDescent="0.25">
      <c r="B339" s="61"/>
      <c r="C339" s="61"/>
    </row>
    <row r="340" spans="2:3" x14ac:dyDescent="0.25">
      <c r="B340" s="61"/>
      <c r="C340" s="61"/>
    </row>
    <row r="341" spans="2:3" x14ac:dyDescent="0.25">
      <c r="B341" s="61"/>
      <c r="C341" s="61"/>
    </row>
    <row r="342" spans="2:3" x14ac:dyDescent="0.25">
      <c r="B342" s="61"/>
      <c r="C342" s="61"/>
    </row>
    <row r="343" spans="2:3" x14ac:dyDescent="0.25">
      <c r="B343" s="61"/>
      <c r="C343" s="61"/>
    </row>
    <row r="344" spans="2:3" x14ac:dyDescent="0.25">
      <c r="B344" s="61"/>
      <c r="C344" s="61"/>
    </row>
    <row r="345" spans="2:3" x14ac:dyDescent="0.25">
      <c r="B345" s="61"/>
      <c r="C345" s="61"/>
    </row>
    <row r="346" spans="2:3" x14ac:dyDescent="0.25">
      <c r="B346" s="61"/>
      <c r="C346" s="61"/>
    </row>
    <row r="347" spans="2:3" x14ac:dyDescent="0.25">
      <c r="B347" s="61"/>
      <c r="C347" s="61"/>
    </row>
    <row r="348" spans="2:3" x14ac:dyDescent="0.25">
      <c r="B348" s="61"/>
      <c r="C348" s="61"/>
    </row>
    <row r="349" spans="2:3" x14ac:dyDescent="0.25">
      <c r="B349" s="61"/>
      <c r="C349" s="61"/>
    </row>
    <row r="350" spans="2:3" x14ac:dyDescent="0.25">
      <c r="B350" s="61"/>
      <c r="C350" s="61"/>
    </row>
    <row r="351" spans="2:3" x14ac:dyDescent="0.25">
      <c r="B351" s="61"/>
      <c r="C351" s="61"/>
    </row>
    <row r="352" spans="2:3" x14ac:dyDescent="0.25">
      <c r="B352" s="61"/>
      <c r="C352" s="61"/>
    </row>
    <row r="353" spans="2:3" x14ac:dyDescent="0.25">
      <c r="B353" s="61"/>
      <c r="C353" s="61"/>
    </row>
    <row r="354" spans="2:3" x14ac:dyDescent="0.25">
      <c r="B354" s="61"/>
      <c r="C354" s="61"/>
    </row>
    <row r="355" spans="2:3" x14ac:dyDescent="0.25">
      <c r="B355" s="61"/>
      <c r="C355" s="61"/>
    </row>
    <row r="356" spans="2:3" x14ac:dyDescent="0.25">
      <c r="B356" s="61"/>
      <c r="C356" s="61"/>
    </row>
    <row r="357" spans="2:3" x14ac:dyDescent="0.25">
      <c r="B357" s="61"/>
      <c r="C357" s="61"/>
    </row>
    <row r="358" spans="2:3" x14ac:dyDescent="0.25">
      <c r="B358" s="61"/>
      <c r="C358" s="61"/>
    </row>
    <row r="359" spans="2:3" x14ac:dyDescent="0.25">
      <c r="B359" s="61"/>
      <c r="C359" s="61"/>
    </row>
    <row r="360" spans="2:3" x14ac:dyDescent="0.25">
      <c r="B360" s="61"/>
      <c r="C360" s="61"/>
    </row>
    <row r="361" spans="2:3" x14ac:dyDescent="0.25">
      <c r="B361" s="61"/>
      <c r="C361" s="61"/>
    </row>
    <row r="362" spans="2:3" x14ac:dyDescent="0.25">
      <c r="B362" s="61"/>
      <c r="C362" s="61"/>
    </row>
    <row r="363" spans="2:3" x14ac:dyDescent="0.25">
      <c r="B363" s="61"/>
      <c r="C363" s="61"/>
    </row>
    <row r="364" spans="2:3" x14ac:dyDescent="0.25">
      <c r="B364" s="61"/>
      <c r="C364" s="61"/>
    </row>
    <row r="365" spans="2:3" x14ac:dyDescent="0.25">
      <c r="B365" s="61"/>
      <c r="C365" s="61"/>
    </row>
    <row r="366" spans="2:3" x14ac:dyDescent="0.25">
      <c r="B366" s="61"/>
      <c r="C366" s="61"/>
    </row>
    <row r="367" spans="2:3" x14ac:dyDescent="0.25">
      <c r="B367" s="61"/>
      <c r="C367" s="61"/>
    </row>
    <row r="368" spans="2:3" x14ac:dyDescent="0.25">
      <c r="B368" s="61"/>
      <c r="C368" s="61"/>
    </row>
    <row r="369" spans="2:3" x14ac:dyDescent="0.25">
      <c r="B369" s="61"/>
      <c r="C369" s="61"/>
    </row>
    <row r="370" spans="2:3" x14ac:dyDescent="0.25">
      <c r="B370" s="61"/>
      <c r="C370" s="61"/>
    </row>
    <row r="371" spans="2:3" x14ac:dyDescent="0.25">
      <c r="B371" s="61"/>
      <c r="C371" s="61"/>
    </row>
    <row r="372" spans="2:3" x14ac:dyDescent="0.25">
      <c r="B372" s="61"/>
      <c r="C372" s="61"/>
    </row>
    <row r="373" spans="2:3" x14ac:dyDescent="0.25">
      <c r="B373" s="61"/>
      <c r="C373" s="61"/>
    </row>
    <row r="374" spans="2:3" x14ac:dyDescent="0.25">
      <c r="B374" s="61"/>
      <c r="C374" s="61"/>
    </row>
    <row r="375" spans="2:3" x14ac:dyDescent="0.25">
      <c r="B375" s="61"/>
      <c r="C375" s="61"/>
    </row>
    <row r="376" spans="2:3" x14ac:dyDescent="0.25">
      <c r="B376" s="61"/>
      <c r="C376" s="61"/>
    </row>
    <row r="377" spans="2:3" x14ac:dyDescent="0.25">
      <c r="B377" s="61"/>
      <c r="C377" s="61"/>
    </row>
    <row r="378" spans="2:3" x14ac:dyDescent="0.25">
      <c r="B378" s="61"/>
      <c r="C378" s="61"/>
    </row>
    <row r="379" spans="2:3" x14ac:dyDescent="0.25">
      <c r="B379" s="61"/>
      <c r="C379" s="61"/>
    </row>
    <row r="380" spans="2:3" x14ac:dyDescent="0.25">
      <c r="B380" s="61"/>
      <c r="C380" s="61"/>
    </row>
    <row r="381" spans="2:3" x14ac:dyDescent="0.25">
      <c r="B381" s="61"/>
      <c r="C381" s="61"/>
    </row>
    <row r="382" spans="2:3" x14ac:dyDescent="0.25">
      <c r="B382" s="61"/>
      <c r="C382" s="61"/>
    </row>
    <row r="383" spans="2:3" x14ac:dyDescent="0.25">
      <c r="B383" s="61"/>
      <c r="C383" s="61"/>
    </row>
    <row r="384" spans="2:3" x14ac:dyDescent="0.25">
      <c r="B384" s="61"/>
      <c r="C384" s="61"/>
    </row>
    <row r="385" spans="2:3" x14ac:dyDescent="0.25">
      <c r="B385" s="61"/>
      <c r="C385" s="61"/>
    </row>
    <row r="386" spans="2:3" x14ac:dyDescent="0.25">
      <c r="B386" s="61"/>
      <c r="C386" s="61"/>
    </row>
    <row r="387" spans="2:3" x14ac:dyDescent="0.25">
      <c r="B387" s="61"/>
      <c r="C387" s="61"/>
    </row>
    <row r="388" spans="2:3" x14ac:dyDescent="0.25">
      <c r="B388" s="61"/>
      <c r="C388" s="61"/>
    </row>
    <row r="389" spans="2:3" x14ac:dyDescent="0.25">
      <c r="B389" s="61"/>
      <c r="C389" s="61"/>
    </row>
    <row r="390" spans="2:3" x14ac:dyDescent="0.25">
      <c r="B390" s="61"/>
      <c r="C390" s="61"/>
    </row>
    <row r="391" spans="2:3" x14ac:dyDescent="0.25">
      <c r="B391" s="61"/>
      <c r="C391" s="61"/>
    </row>
    <row r="392" spans="2:3" x14ac:dyDescent="0.25">
      <c r="B392" s="61"/>
      <c r="C392" s="61"/>
    </row>
    <row r="393" spans="2:3" x14ac:dyDescent="0.25">
      <c r="B393" s="61"/>
      <c r="C393" s="61"/>
    </row>
    <row r="394" spans="2:3" x14ac:dyDescent="0.25">
      <c r="B394" s="61"/>
      <c r="C394" s="61"/>
    </row>
    <row r="395" spans="2:3" x14ac:dyDescent="0.25">
      <c r="B395" s="61"/>
      <c r="C395" s="61"/>
    </row>
    <row r="396" spans="2:3" x14ac:dyDescent="0.25">
      <c r="B396" s="61"/>
      <c r="C396" s="61"/>
    </row>
    <row r="397" spans="2:3" x14ac:dyDescent="0.25">
      <c r="B397" s="61"/>
      <c r="C397" s="61"/>
    </row>
    <row r="398" spans="2:3" x14ac:dyDescent="0.25">
      <c r="B398" s="61"/>
      <c r="C398" s="61"/>
    </row>
    <row r="399" spans="2:3" x14ac:dyDescent="0.25">
      <c r="B399" s="61"/>
      <c r="C399" s="61"/>
    </row>
    <row r="400" spans="2:3" x14ac:dyDescent="0.25">
      <c r="B400" s="61"/>
      <c r="C400" s="61"/>
    </row>
    <row r="401" spans="2:3" x14ac:dyDescent="0.25">
      <c r="B401" s="61"/>
      <c r="C401" s="61"/>
    </row>
    <row r="402" spans="2:3" x14ac:dyDescent="0.25">
      <c r="B402" s="61"/>
      <c r="C402" s="61"/>
    </row>
    <row r="403" spans="2:3" x14ac:dyDescent="0.25">
      <c r="B403" s="61"/>
      <c r="C403" s="61"/>
    </row>
    <row r="404" spans="2:3" x14ac:dyDescent="0.25">
      <c r="B404" s="61"/>
      <c r="C404" s="61"/>
    </row>
    <row r="405" spans="2:3" x14ac:dyDescent="0.25">
      <c r="B405" s="61"/>
      <c r="C405" s="61"/>
    </row>
    <row r="406" spans="2:3" x14ac:dyDescent="0.25">
      <c r="B406" s="61"/>
      <c r="C406" s="61"/>
    </row>
    <row r="407" spans="2:3" x14ac:dyDescent="0.25">
      <c r="B407" s="61"/>
      <c r="C407" s="61"/>
    </row>
    <row r="408" spans="2:3" x14ac:dyDescent="0.25">
      <c r="B408" s="61"/>
      <c r="C408" s="61"/>
    </row>
    <row r="409" spans="2:3" x14ac:dyDescent="0.25">
      <c r="B409" s="61"/>
      <c r="C409" s="61"/>
    </row>
    <row r="410" spans="2:3" x14ac:dyDescent="0.25">
      <c r="B410" s="61"/>
      <c r="C410" s="61"/>
    </row>
    <row r="411" spans="2:3" x14ac:dyDescent="0.25">
      <c r="B411" s="61"/>
      <c r="C411" s="61"/>
    </row>
    <row r="412" spans="2:3" x14ac:dyDescent="0.25">
      <c r="B412" s="61"/>
      <c r="C412" s="61"/>
    </row>
    <row r="413" spans="2:3" x14ac:dyDescent="0.25">
      <c r="B413" s="61"/>
      <c r="C413" s="61"/>
    </row>
    <row r="414" spans="2:3" x14ac:dyDescent="0.25">
      <c r="B414" s="61"/>
      <c r="C414" s="61"/>
    </row>
    <row r="415" spans="2:3" x14ac:dyDescent="0.25">
      <c r="B415" s="61"/>
      <c r="C415" s="61"/>
    </row>
    <row r="416" spans="2:3" x14ac:dyDescent="0.25">
      <c r="B416" s="61"/>
      <c r="C416" s="61"/>
    </row>
    <row r="417" spans="2:3" x14ac:dyDescent="0.25">
      <c r="B417" s="61"/>
      <c r="C417" s="61"/>
    </row>
    <row r="418" spans="2:3" x14ac:dyDescent="0.25">
      <c r="B418" s="61"/>
      <c r="C418" s="61"/>
    </row>
    <row r="419" spans="2:3" x14ac:dyDescent="0.25">
      <c r="B419" s="61"/>
      <c r="C419" s="61"/>
    </row>
    <row r="420" spans="2:3" x14ac:dyDescent="0.25">
      <c r="B420" s="61"/>
      <c r="C420" s="61"/>
    </row>
    <row r="421" spans="2:3" x14ac:dyDescent="0.25">
      <c r="B421" s="61"/>
      <c r="C421" s="61"/>
    </row>
    <row r="422" spans="2:3" x14ac:dyDescent="0.25">
      <c r="B422" s="61"/>
      <c r="C422" s="61"/>
    </row>
    <row r="423" spans="2:3" x14ac:dyDescent="0.25">
      <c r="B423" s="61"/>
      <c r="C423" s="61"/>
    </row>
    <row r="424" spans="2:3" x14ac:dyDescent="0.25">
      <c r="B424" s="61"/>
      <c r="C424" s="61"/>
    </row>
    <row r="425" spans="2:3" x14ac:dyDescent="0.25">
      <c r="B425" s="61"/>
      <c r="C425" s="61"/>
    </row>
    <row r="426" spans="2:3" x14ac:dyDescent="0.25">
      <c r="B426" s="61"/>
      <c r="C426" s="61"/>
    </row>
    <row r="427" spans="2:3" x14ac:dyDescent="0.25">
      <c r="B427" s="61"/>
      <c r="C427" s="61"/>
    </row>
    <row r="428" spans="2:3" x14ac:dyDescent="0.25">
      <c r="B428" s="61"/>
      <c r="C428" s="61"/>
    </row>
    <row r="429" spans="2:3" x14ac:dyDescent="0.25">
      <c r="B429" s="61"/>
      <c r="C429" s="61"/>
    </row>
    <row r="430" spans="2:3" x14ac:dyDescent="0.25">
      <c r="B430" s="61"/>
      <c r="C430" s="61"/>
    </row>
    <row r="431" spans="2:3" x14ac:dyDescent="0.25">
      <c r="B431" s="61"/>
      <c r="C431" s="61"/>
    </row>
    <row r="432" spans="2:3" x14ac:dyDescent="0.25">
      <c r="B432" s="61"/>
      <c r="C432" s="61"/>
    </row>
    <row r="433" spans="2:3" x14ac:dyDescent="0.25">
      <c r="B433" s="61"/>
      <c r="C433" s="61"/>
    </row>
    <row r="434" spans="2:3" x14ac:dyDescent="0.25">
      <c r="B434" s="61"/>
      <c r="C434" s="61"/>
    </row>
    <row r="435" spans="2:3" x14ac:dyDescent="0.25">
      <c r="B435" s="61"/>
      <c r="C435" s="61"/>
    </row>
    <row r="436" spans="2:3" x14ac:dyDescent="0.25">
      <c r="B436" s="61"/>
      <c r="C436" s="61"/>
    </row>
    <row r="437" spans="2:3" x14ac:dyDescent="0.25">
      <c r="B437" s="61"/>
      <c r="C437" s="61"/>
    </row>
    <row r="438" spans="2:3" x14ac:dyDescent="0.25">
      <c r="B438" s="61"/>
      <c r="C438" s="61"/>
    </row>
    <row r="439" spans="2:3" x14ac:dyDescent="0.25">
      <c r="B439" s="61"/>
      <c r="C439" s="61"/>
    </row>
    <row r="440" spans="2:3" x14ac:dyDescent="0.25">
      <c r="B440" s="61"/>
      <c r="C440" s="61"/>
    </row>
    <row r="441" spans="2:3" x14ac:dyDescent="0.25">
      <c r="B441" s="61"/>
      <c r="C441" s="61"/>
    </row>
    <row r="442" spans="2:3" x14ac:dyDescent="0.25">
      <c r="B442" s="61"/>
      <c r="C442" s="61"/>
    </row>
    <row r="443" spans="2:3" x14ac:dyDescent="0.25">
      <c r="B443" s="61"/>
      <c r="C443" s="61"/>
    </row>
    <row r="444" spans="2:3" x14ac:dyDescent="0.25">
      <c r="B444" s="61"/>
      <c r="C444" s="61"/>
    </row>
    <row r="445" spans="2:3" x14ac:dyDescent="0.25">
      <c r="B445" s="61"/>
      <c r="C445" s="61"/>
    </row>
    <row r="446" spans="2:3" x14ac:dyDescent="0.25">
      <c r="B446" s="61"/>
      <c r="C446" s="61"/>
    </row>
    <row r="447" spans="2:3" x14ac:dyDescent="0.25">
      <c r="B447" s="61"/>
      <c r="C447" s="61"/>
    </row>
    <row r="448" spans="2:3" x14ac:dyDescent="0.25">
      <c r="B448" s="61"/>
      <c r="C448" s="61"/>
    </row>
    <row r="449" spans="2:3" x14ac:dyDescent="0.25">
      <c r="B449" s="61"/>
      <c r="C449" s="61"/>
    </row>
    <row r="450" spans="2:3" x14ac:dyDescent="0.25">
      <c r="B450" s="61"/>
      <c r="C450" s="61"/>
    </row>
    <row r="451" spans="2:3" x14ac:dyDescent="0.25">
      <c r="B451" s="61"/>
      <c r="C451" s="61"/>
    </row>
    <row r="452" spans="2:3" x14ac:dyDescent="0.25">
      <c r="B452" s="61"/>
      <c r="C452" s="61"/>
    </row>
    <row r="453" spans="2:3" x14ac:dyDescent="0.25">
      <c r="B453" s="61"/>
      <c r="C453" s="61"/>
    </row>
    <row r="454" spans="2:3" x14ac:dyDescent="0.25">
      <c r="B454" s="61"/>
      <c r="C454" s="61"/>
    </row>
    <row r="455" spans="2:3" x14ac:dyDescent="0.25">
      <c r="B455" s="61"/>
      <c r="C455" s="61"/>
    </row>
    <row r="456" spans="2:3" x14ac:dyDescent="0.25">
      <c r="B456" s="61"/>
      <c r="C456" s="61"/>
    </row>
    <row r="457" spans="2:3" x14ac:dyDescent="0.25">
      <c r="B457" s="61"/>
      <c r="C457" s="61"/>
    </row>
    <row r="458" spans="2:3" x14ac:dyDescent="0.25">
      <c r="B458" s="61"/>
      <c r="C458" s="61"/>
    </row>
    <row r="459" spans="2:3" x14ac:dyDescent="0.25">
      <c r="B459" s="61"/>
      <c r="C459" s="61"/>
    </row>
    <row r="460" spans="2:3" x14ac:dyDescent="0.25">
      <c r="B460" s="61"/>
      <c r="C460" s="61"/>
    </row>
    <row r="461" spans="2:3" x14ac:dyDescent="0.25">
      <c r="B461" s="61"/>
      <c r="C461" s="61"/>
    </row>
    <row r="462" spans="2:3" x14ac:dyDescent="0.25">
      <c r="B462" s="61"/>
      <c r="C462" s="61"/>
    </row>
    <row r="463" spans="2:3" x14ac:dyDescent="0.25">
      <c r="B463" s="61"/>
      <c r="C463" s="61"/>
    </row>
    <row r="464" spans="2:3" x14ac:dyDescent="0.25">
      <c r="B464" s="61"/>
      <c r="C464" s="61"/>
    </row>
    <row r="465" spans="2:3" x14ac:dyDescent="0.25">
      <c r="B465" s="61"/>
      <c r="C465" s="61"/>
    </row>
    <row r="466" spans="2:3" x14ac:dyDescent="0.25">
      <c r="B466" s="61"/>
      <c r="C466" s="61"/>
    </row>
    <row r="467" spans="2:3" x14ac:dyDescent="0.25">
      <c r="B467" s="61"/>
      <c r="C467" s="61"/>
    </row>
    <row r="468" spans="2:3" x14ac:dyDescent="0.25">
      <c r="B468" s="61"/>
      <c r="C468" s="61"/>
    </row>
    <row r="469" spans="2:3" x14ac:dyDescent="0.25">
      <c r="B469" s="61"/>
      <c r="C469" s="61"/>
    </row>
    <row r="470" spans="2:3" x14ac:dyDescent="0.25">
      <c r="B470" s="61"/>
      <c r="C470" s="61"/>
    </row>
    <row r="471" spans="2:3" x14ac:dyDescent="0.25">
      <c r="B471" s="61"/>
      <c r="C471" s="61"/>
    </row>
    <row r="472" spans="2:3" x14ac:dyDescent="0.25">
      <c r="B472" s="61"/>
      <c r="C472" s="61"/>
    </row>
    <row r="473" spans="2:3" x14ac:dyDescent="0.25">
      <c r="B473" s="61"/>
      <c r="C473" s="61"/>
    </row>
    <row r="474" spans="2:3" x14ac:dyDescent="0.25">
      <c r="B474" s="61"/>
      <c r="C474" s="61"/>
    </row>
    <row r="475" spans="2:3" x14ac:dyDescent="0.25">
      <c r="B475" s="61"/>
      <c r="C475" s="61"/>
    </row>
    <row r="476" spans="2:3" x14ac:dyDescent="0.25">
      <c r="B476" s="61"/>
      <c r="C476" s="61"/>
    </row>
    <row r="477" spans="2:3" x14ac:dyDescent="0.25">
      <c r="B477" s="61"/>
      <c r="C477" s="61"/>
    </row>
    <row r="478" spans="2:3" x14ac:dyDescent="0.25">
      <c r="B478" s="61"/>
      <c r="C478" s="61"/>
    </row>
    <row r="479" spans="2:3" x14ac:dyDescent="0.25">
      <c r="B479" s="61"/>
      <c r="C479" s="61"/>
    </row>
    <row r="480" spans="2:3" x14ac:dyDescent="0.25">
      <c r="B480" s="61"/>
      <c r="C480" s="61"/>
    </row>
    <row r="481" spans="2:3" x14ac:dyDescent="0.25">
      <c r="B481" s="61"/>
      <c r="C481" s="61"/>
    </row>
    <row r="482" spans="2:3" x14ac:dyDescent="0.25">
      <c r="B482" s="61"/>
      <c r="C482" s="61"/>
    </row>
    <row r="483" spans="2:3" x14ac:dyDescent="0.25">
      <c r="B483" s="61"/>
      <c r="C483" s="61"/>
    </row>
    <row r="484" spans="2:3" x14ac:dyDescent="0.25">
      <c r="B484" s="61"/>
      <c r="C484" s="61"/>
    </row>
    <row r="485" spans="2:3" x14ac:dyDescent="0.25">
      <c r="B485" s="61"/>
      <c r="C485" s="61"/>
    </row>
    <row r="486" spans="2:3" x14ac:dyDescent="0.25">
      <c r="B486" s="61"/>
      <c r="C486" s="61"/>
    </row>
    <row r="487" spans="2:3" x14ac:dyDescent="0.25">
      <c r="B487" s="61"/>
      <c r="C487" s="61"/>
    </row>
    <row r="488" spans="2:3" x14ac:dyDescent="0.25">
      <c r="B488" s="61"/>
      <c r="C488" s="61"/>
    </row>
    <row r="489" spans="2:3" x14ac:dyDescent="0.25">
      <c r="B489" s="61"/>
      <c r="C489" s="61"/>
    </row>
    <row r="490" spans="2:3" x14ac:dyDescent="0.25">
      <c r="B490" s="61"/>
      <c r="C490" s="61"/>
    </row>
    <row r="491" spans="2:3" x14ac:dyDescent="0.25">
      <c r="B491" s="61"/>
      <c r="C491" s="61"/>
    </row>
    <row r="492" spans="2:3" x14ac:dyDescent="0.25">
      <c r="B492" s="61"/>
      <c r="C492" s="61"/>
    </row>
    <row r="493" spans="2:3" x14ac:dyDescent="0.25">
      <c r="B493" s="61"/>
      <c r="C493" s="61"/>
    </row>
    <row r="494" spans="2:3" x14ac:dyDescent="0.25">
      <c r="B494" s="61"/>
      <c r="C494" s="61"/>
    </row>
    <row r="495" spans="2:3" x14ac:dyDescent="0.25">
      <c r="B495" s="61"/>
      <c r="C495" s="61"/>
    </row>
    <row r="496" spans="2:3" x14ac:dyDescent="0.25">
      <c r="B496" s="61"/>
      <c r="C496" s="61"/>
    </row>
    <row r="497" spans="2:3" x14ac:dyDescent="0.25">
      <c r="B497" s="61"/>
      <c r="C497" s="61"/>
    </row>
    <row r="498" spans="2:3" x14ac:dyDescent="0.25">
      <c r="B498" s="61"/>
      <c r="C498" s="61"/>
    </row>
    <row r="499" spans="2:3" x14ac:dyDescent="0.25">
      <c r="B499" s="61"/>
      <c r="C499" s="61"/>
    </row>
    <row r="500" spans="2:3" x14ac:dyDescent="0.25">
      <c r="B500" s="61"/>
      <c r="C500" s="61"/>
    </row>
    <row r="501" spans="2:3" x14ac:dyDescent="0.25">
      <c r="B501" s="61"/>
      <c r="C501" s="61"/>
    </row>
    <row r="502" spans="2:3" x14ac:dyDescent="0.25">
      <c r="B502" s="61"/>
      <c r="C502" s="61"/>
    </row>
    <row r="503" spans="2:3" x14ac:dyDescent="0.25">
      <c r="B503" s="61"/>
      <c r="C503" s="61"/>
    </row>
    <row r="504" spans="2:3" x14ac:dyDescent="0.25">
      <c r="B504" s="61"/>
      <c r="C504" s="61"/>
    </row>
    <row r="505" spans="2:3" x14ac:dyDescent="0.25">
      <c r="B505" s="61"/>
      <c r="C505" s="61"/>
    </row>
    <row r="506" spans="2:3" x14ac:dyDescent="0.25">
      <c r="B506" s="61"/>
      <c r="C506" s="61"/>
    </row>
    <row r="507" spans="2:3" x14ac:dyDescent="0.25">
      <c r="B507" s="61"/>
      <c r="C507" s="61"/>
    </row>
    <row r="508" spans="2:3" x14ac:dyDescent="0.25">
      <c r="B508" s="61"/>
      <c r="C508" s="61"/>
    </row>
    <row r="509" spans="2:3" x14ac:dyDescent="0.25">
      <c r="B509" s="61"/>
      <c r="C509" s="61"/>
    </row>
    <row r="510" spans="2:3" x14ac:dyDescent="0.25">
      <c r="B510" s="61"/>
      <c r="C510" s="61"/>
    </row>
    <row r="511" spans="2:3" x14ac:dyDescent="0.25">
      <c r="B511" s="61"/>
      <c r="C511" s="61"/>
    </row>
    <row r="512" spans="2:3" x14ac:dyDescent="0.25">
      <c r="B512" s="61"/>
      <c r="C512" s="61"/>
    </row>
    <row r="513" spans="2:3" x14ac:dyDescent="0.25">
      <c r="B513" s="61"/>
      <c r="C513" s="61"/>
    </row>
    <row r="514" spans="2:3" x14ac:dyDescent="0.25">
      <c r="B514" s="61"/>
      <c r="C514" s="61"/>
    </row>
    <row r="515" spans="2:3" x14ac:dyDescent="0.25">
      <c r="B515" s="61"/>
      <c r="C515" s="61"/>
    </row>
    <row r="516" spans="2:3" x14ac:dyDescent="0.25">
      <c r="B516" s="61"/>
      <c r="C516" s="61"/>
    </row>
    <row r="517" spans="2:3" x14ac:dyDescent="0.25">
      <c r="B517" s="61"/>
      <c r="C517" s="61"/>
    </row>
    <row r="518" spans="2:3" x14ac:dyDescent="0.25">
      <c r="B518" s="61"/>
      <c r="C518" s="61"/>
    </row>
    <row r="519" spans="2:3" x14ac:dyDescent="0.25">
      <c r="B519" s="61"/>
      <c r="C519" s="61"/>
    </row>
    <row r="520" spans="2:3" x14ac:dyDescent="0.25">
      <c r="B520" s="61"/>
      <c r="C520" s="61"/>
    </row>
    <row r="521" spans="2:3" x14ac:dyDescent="0.25">
      <c r="B521" s="61"/>
      <c r="C521" s="61"/>
    </row>
    <row r="522" spans="2:3" x14ac:dyDescent="0.25">
      <c r="B522" s="61"/>
      <c r="C522" s="61"/>
    </row>
    <row r="523" spans="2:3" x14ac:dyDescent="0.25">
      <c r="B523" s="61"/>
      <c r="C523" s="61"/>
    </row>
    <row r="524" spans="2:3" x14ac:dyDescent="0.25">
      <c r="B524" s="61"/>
      <c r="C524" s="61"/>
    </row>
    <row r="525" spans="2:3" x14ac:dyDescent="0.25">
      <c r="B525" s="61"/>
      <c r="C525" s="61"/>
    </row>
    <row r="526" spans="2:3" x14ac:dyDescent="0.25">
      <c r="B526" s="61"/>
      <c r="C526" s="61"/>
    </row>
    <row r="527" spans="2:3" x14ac:dyDescent="0.25">
      <c r="B527" s="61"/>
      <c r="C527" s="61"/>
    </row>
    <row r="528" spans="2:3" x14ac:dyDescent="0.25">
      <c r="B528" s="61"/>
      <c r="C528" s="61"/>
    </row>
    <row r="529" spans="2:3" x14ac:dyDescent="0.25">
      <c r="B529" s="61"/>
      <c r="C529" s="61"/>
    </row>
    <row r="530" spans="2:3" x14ac:dyDescent="0.25">
      <c r="B530" s="61"/>
      <c r="C530" s="61"/>
    </row>
    <row r="531" spans="2:3" x14ac:dyDescent="0.25">
      <c r="B531" s="61"/>
      <c r="C531" s="61"/>
    </row>
    <row r="532" spans="2:3" x14ac:dyDescent="0.25">
      <c r="B532" s="61"/>
      <c r="C532" s="61"/>
    </row>
    <row r="533" spans="2:3" x14ac:dyDescent="0.25">
      <c r="B533" s="61"/>
      <c r="C533" s="61"/>
    </row>
    <row r="534" spans="2:3" x14ac:dyDescent="0.25">
      <c r="B534" s="61"/>
      <c r="C534" s="61"/>
    </row>
    <row r="535" spans="2:3" x14ac:dyDescent="0.25">
      <c r="B535" s="61"/>
      <c r="C535" s="61"/>
    </row>
    <row r="536" spans="2:3" x14ac:dyDescent="0.25">
      <c r="B536" s="61"/>
      <c r="C536" s="61"/>
    </row>
    <row r="537" spans="2:3" x14ac:dyDescent="0.25">
      <c r="B537" s="61"/>
      <c r="C537" s="61"/>
    </row>
    <row r="538" spans="2:3" x14ac:dyDescent="0.25">
      <c r="B538" s="61"/>
      <c r="C538" s="61"/>
    </row>
    <row r="539" spans="2:3" x14ac:dyDescent="0.25">
      <c r="B539" s="61"/>
      <c r="C539" s="61"/>
    </row>
    <row r="540" spans="2:3" x14ac:dyDescent="0.25">
      <c r="B540" s="61"/>
      <c r="C540" s="61"/>
    </row>
    <row r="541" spans="2:3" x14ac:dyDescent="0.25">
      <c r="B541" s="61"/>
      <c r="C541" s="61"/>
    </row>
    <row r="542" spans="2:3" x14ac:dyDescent="0.25">
      <c r="B542" s="61"/>
      <c r="C542" s="61"/>
    </row>
    <row r="543" spans="2:3" x14ac:dyDescent="0.25">
      <c r="B543" s="61"/>
      <c r="C543" s="61"/>
    </row>
    <row r="544" spans="2:3" x14ac:dyDescent="0.25">
      <c r="B544" s="61"/>
      <c r="C544" s="61"/>
    </row>
    <row r="545" spans="2:3" x14ac:dyDescent="0.25">
      <c r="B545" s="61"/>
      <c r="C545" s="61"/>
    </row>
    <row r="546" spans="2:3" x14ac:dyDescent="0.25">
      <c r="B546" s="61"/>
      <c r="C546" s="61"/>
    </row>
    <row r="547" spans="2:3" x14ac:dyDescent="0.25">
      <c r="B547" s="61"/>
      <c r="C547" s="61"/>
    </row>
    <row r="548" spans="2:3" x14ac:dyDescent="0.25">
      <c r="B548" s="61"/>
      <c r="C548" s="61"/>
    </row>
    <row r="549" spans="2:3" x14ac:dyDescent="0.25">
      <c r="B549" s="61"/>
      <c r="C549" s="61"/>
    </row>
    <row r="550" spans="2:3" x14ac:dyDescent="0.25">
      <c r="B550" s="61"/>
      <c r="C550" s="61"/>
    </row>
    <row r="551" spans="2:3" x14ac:dyDescent="0.25">
      <c r="B551" s="61"/>
      <c r="C551" s="61"/>
    </row>
    <row r="552" spans="2:3" x14ac:dyDescent="0.25">
      <c r="B552" s="61"/>
      <c r="C552" s="61"/>
    </row>
    <row r="553" spans="2:3" x14ac:dyDescent="0.25">
      <c r="B553" s="61"/>
      <c r="C553" s="61"/>
    </row>
    <row r="554" spans="2:3" x14ac:dyDescent="0.25">
      <c r="B554" s="61"/>
      <c r="C554" s="61"/>
    </row>
    <row r="555" spans="2:3" x14ac:dyDescent="0.25">
      <c r="B555" s="61"/>
      <c r="C555" s="61"/>
    </row>
    <row r="556" spans="2:3" x14ac:dyDescent="0.25">
      <c r="B556" s="61"/>
      <c r="C556" s="61"/>
    </row>
    <row r="557" spans="2:3" x14ac:dyDescent="0.25">
      <c r="B557" s="61"/>
      <c r="C557" s="61"/>
    </row>
    <row r="558" spans="2:3" x14ac:dyDescent="0.25">
      <c r="B558" s="61"/>
      <c r="C558" s="61"/>
    </row>
    <row r="559" spans="2:3" x14ac:dyDescent="0.25">
      <c r="B559" s="61"/>
      <c r="C559" s="61"/>
    </row>
    <row r="560" spans="2:3" x14ac:dyDescent="0.25">
      <c r="B560" s="61"/>
      <c r="C560" s="61"/>
    </row>
    <row r="561" spans="2:3" x14ac:dyDescent="0.25">
      <c r="B561" s="61"/>
      <c r="C561" s="61"/>
    </row>
    <row r="562" spans="2:3" x14ac:dyDescent="0.25">
      <c r="B562" s="61"/>
      <c r="C562" s="61"/>
    </row>
    <row r="563" spans="2:3" x14ac:dyDescent="0.25">
      <c r="B563" s="61"/>
      <c r="C563" s="61"/>
    </row>
    <row r="564" spans="2:3" x14ac:dyDescent="0.25">
      <c r="B564" s="61"/>
      <c r="C564" s="61"/>
    </row>
    <row r="565" spans="2:3" x14ac:dyDescent="0.25">
      <c r="B565" s="61"/>
      <c r="C565" s="61"/>
    </row>
    <row r="566" spans="2:3" x14ac:dyDescent="0.25">
      <c r="B566" s="61"/>
      <c r="C566" s="61"/>
    </row>
    <row r="567" spans="2:3" x14ac:dyDescent="0.25">
      <c r="B567" s="61"/>
      <c r="C567" s="61"/>
    </row>
    <row r="568" spans="2:3" x14ac:dyDescent="0.25">
      <c r="B568" s="61"/>
      <c r="C568" s="61"/>
    </row>
    <row r="569" spans="2:3" x14ac:dyDescent="0.25">
      <c r="B569" s="61"/>
      <c r="C569" s="61"/>
    </row>
    <row r="570" spans="2:3" x14ac:dyDescent="0.25">
      <c r="B570" s="61"/>
      <c r="C570" s="61"/>
    </row>
    <row r="571" spans="2:3" x14ac:dyDescent="0.25">
      <c r="B571" s="61"/>
      <c r="C571" s="61"/>
    </row>
    <row r="572" spans="2:3" x14ac:dyDescent="0.25">
      <c r="B572" s="61"/>
      <c r="C572" s="61"/>
    </row>
    <row r="573" spans="2:3" x14ac:dyDescent="0.25">
      <c r="B573" s="61"/>
      <c r="C573" s="61"/>
    </row>
    <row r="574" spans="2:3" x14ac:dyDescent="0.25">
      <c r="B574" s="61"/>
      <c r="C574" s="61"/>
    </row>
    <row r="575" spans="2:3" x14ac:dyDescent="0.25">
      <c r="B575" s="61"/>
      <c r="C575" s="61"/>
    </row>
    <row r="576" spans="2:3" x14ac:dyDescent="0.25">
      <c r="B576" s="61"/>
      <c r="C576" s="61"/>
    </row>
    <row r="577" spans="2:3" x14ac:dyDescent="0.25">
      <c r="B577" s="61"/>
      <c r="C577" s="61"/>
    </row>
    <row r="578" spans="2:3" x14ac:dyDescent="0.25">
      <c r="B578" s="61"/>
      <c r="C578" s="61"/>
    </row>
    <row r="579" spans="2:3" x14ac:dyDescent="0.25">
      <c r="B579" s="61"/>
      <c r="C579" s="61"/>
    </row>
    <row r="580" spans="2:3" x14ac:dyDescent="0.25">
      <c r="B580" s="61"/>
      <c r="C580" s="61"/>
    </row>
    <row r="581" spans="2:3" x14ac:dyDescent="0.25">
      <c r="B581" s="61"/>
      <c r="C581" s="61"/>
    </row>
    <row r="582" spans="2:3" x14ac:dyDescent="0.25">
      <c r="B582" s="61"/>
      <c r="C582" s="61"/>
    </row>
    <row r="583" spans="2:3" x14ac:dyDescent="0.25">
      <c r="B583" s="61"/>
      <c r="C583" s="61"/>
    </row>
    <row r="584" spans="2:3" x14ac:dyDescent="0.25">
      <c r="B584" s="61"/>
      <c r="C584" s="61"/>
    </row>
    <row r="585" spans="2:3" x14ac:dyDescent="0.25">
      <c r="B585" s="61"/>
      <c r="C585" s="61"/>
    </row>
    <row r="586" spans="2:3" x14ac:dyDescent="0.25">
      <c r="B586" s="61"/>
      <c r="C586" s="61"/>
    </row>
    <row r="587" spans="2:3" x14ac:dyDescent="0.25">
      <c r="B587" s="61"/>
      <c r="C587" s="61"/>
    </row>
    <row r="588" spans="2:3" x14ac:dyDescent="0.25">
      <c r="B588" s="61"/>
      <c r="C588" s="61"/>
    </row>
    <row r="589" spans="2:3" x14ac:dyDescent="0.25">
      <c r="B589" s="61"/>
      <c r="C589" s="61"/>
    </row>
    <row r="590" spans="2:3" x14ac:dyDescent="0.25">
      <c r="B590" s="61"/>
      <c r="C590" s="61"/>
    </row>
    <row r="591" spans="2:3" x14ac:dyDescent="0.25">
      <c r="B591" s="61"/>
      <c r="C591" s="61"/>
    </row>
    <row r="592" spans="2:3" x14ac:dyDescent="0.25">
      <c r="B592" s="61"/>
      <c r="C592" s="61"/>
    </row>
    <row r="593" spans="2:3" x14ac:dyDescent="0.25">
      <c r="B593" s="61"/>
      <c r="C593" s="61"/>
    </row>
    <row r="594" spans="2:3" x14ac:dyDescent="0.25">
      <c r="B594" s="61"/>
      <c r="C594" s="61"/>
    </row>
    <row r="595" spans="2:3" x14ac:dyDescent="0.25">
      <c r="B595" s="61"/>
      <c r="C595" s="61"/>
    </row>
    <row r="596" spans="2:3" x14ac:dyDescent="0.25">
      <c r="B596" s="61"/>
      <c r="C596" s="61"/>
    </row>
    <row r="597" spans="2:3" x14ac:dyDescent="0.25">
      <c r="B597" s="61"/>
      <c r="C597" s="61"/>
    </row>
    <row r="598" spans="2:3" x14ac:dyDescent="0.25">
      <c r="B598" s="61"/>
      <c r="C598" s="61"/>
    </row>
    <row r="599" spans="2:3" x14ac:dyDescent="0.25">
      <c r="B599" s="61"/>
      <c r="C599" s="61"/>
    </row>
    <row r="600" spans="2:3" x14ac:dyDescent="0.25">
      <c r="B600" s="61"/>
      <c r="C600" s="61"/>
    </row>
    <row r="601" spans="2:3" x14ac:dyDescent="0.25">
      <c r="B601" s="61"/>
      <c r="C601" s="61"/>
    </row>
    <row r="602" spans="2:3" x14ac:dyDescent="0.25">
      <c r="B602" s="61"/>
      <c r="C602" s="61"/>
    </row>
    <row r="603" spans="2:3" x14ac:dyDescent="0.25">
      <c r="B603" s="61"/>
      <c r="C603" s="61"/>
    </row>
    <row r="604" spans="2:3" x14ac:dyDescent="0.25">
      <c r="B604" s="61"/>
      <c r="C604" s="61"/>
    </row>
    <row r="605" spans="2:3" x14ac:dyDescent="0.25">
      <c r="B605" s="61"/>
      <c r="C605" s="61"/>
    </row>
    <row r="606" spans="2:3" x14ac:dyDescent="0.25">
      <c r="B606" s="61"/>
      <c r="C606" s="61"/>
    </row>
    <row r="607" spans="2:3" x14ac:dyDescent="0.25">
      <c r="B607" s="61"/>
      <c r="C607" s="61"/>
    </row>
    <row r="608" spans="2:3" x14ac:dyDescent="0.25">
      <c r="B608" s="61"/>
      <c r="C608" s="61"/>
    </row>
    <row r="609" spans="2:3" x14ac:dyDescent="0.25">
      <c r="B609" s="61"/>
      <c r="C609" s="61"/>
    </row>
    <row r="610" spans="2:3" x14ac:dyDescent="0.25">
      <c r="B610" s="61"/>
      <c r="C610" s="61"/>
    </row>
    <row r="611" spans="2:3" x14ac:dyDescent="0.25">
      <c r="B611" s="61"/>
      <c r="C611" s="61"/>
    </row>
    <row r="612" spans="2:3" x14ac:dyDescent="0.25">
      <c r="B612" s="61"/>
      <c r="C612" s="61"/>
    </row>
    <row r="613" spans="2:3" x14ac:dyDescent="0.25">
      <c r="B613" s="61"/>
      <c r="C613" s="61"/>
    </row>
    <row r="614" spans="2:3" x14ac:dyDescent="0.25">
      <c r="B614" s="61"/>
      <c r="C614" s="61"/>
    </row>
    <row r="615" spans="2:3" x14ac:dyDescent="0.25">
      <c r="B615" s="61"/>
      <c r="C615" s="61"/>
    </row>
    <row r="616" spans="2:3" x14ac:dyDescent="0.25">
      <c r="B616" s="61"/>
      <c r="C616" s="61"/>
    </row>
    <row r="617" spans="2:3" x14ac:dyDescent="0.25">
      <c r="B617" s="61"/>
      <c r="C617" s="61"/>
    </row>
    <row r="618" spans="2:3" x14ac:dyDescent="0.25">
      <c r="B618" s="61"/>
      <c r="C618" s="61"/>
    </row>
    <row r="619" spans="2:3" x14ac:dyDescent="0.25">
      <c r="B619" s="61"/>
      <c r="C619" s="61"/>
    </row>
    <row r="620" spans="2:3" x14ac:dyDescent="0.25">
      <c r="B620" s="61"/>
      <c r="C620" s="61"/>
    </row>
    <row r="621" spans="2:3" x14ac:dyDescent="0.25">
      <c r="B621" s="61"/>
      <c r="C621" s="61"/>
    </row>
    <row r="622" spans="2:3" x14ac:dyDescent="0.25">
      <c r="B622" s="61"/>
      <c r="C622" s="61"/>
    </row>
    <row r="623" spans="2:3" x14ac:dyDescent="0.25">
      <c r="B623" s="61"/>
      <c r="C623" s="61"/>
    </row>
    <row r="624" spans="2:3" x14ac:dyDescent="0.25">
      <c r="B624" s="61"/>
      <c r="C624" s="61"/>
    </row>
    <row r="625" spans="2:3" x14ac:dyDescent="0.25">
      <c r="B625" s="61"/>
      <c r="C625" s="61"/>
    </row>
    <row r="626" spans="2:3" x14ac:dyDescent="0.25">
      <c r="B626" s="61"/>
      <c r="C626" s="61"/>
    </row>
    <row r="627" spans="2:3" x14ac:dyDescent="0.25">
      <c r="B627" s="61"/>
      <c r="C627" s="61"/>
    </row>
    <row r="628" spans="2:3" x14ac:dyDescent="0.25">
      <c r="B628" s="61"/>
      <c r="C628" s="61"/>
    </row>
    <row r="629" spans="2:3" x14ac:dyDescent="0.25">
      <c r="B629" s="61"/>
      <c r="C629" s="61"/>
    </row>
    <row r="630" spans="2:3" x14ac:dyDescent="0.25">
      <c r="B630" s="61"/>
      <c r="C630" s="61"/>
    </row>
    <row r="631" spans="2:3" x14ac:dyDescent="0.25">
      <c r="B631" s="61"/>
      <c r="C631" s="61"/>
    </row>
    <row r="632" spans="2:3" x14ac:dyDescent="0.25">
      <c r="B632" s="61"/>
      <c r="C632" s="61"/>
    </row>
    <row r="633" spans="2:3" x14ac:dyDescent="0.25">
      <c r="B633" s="61"/>
      <c r="C633" s="61"/>
    </row>
    <row r="634" spans="2:3" x14ac:dyDescent="0.25">
      <c r="B634" s="61"/>
      <c r="C634" s="61"/>
    </row>
    <row r="635" spans="2:3" x14ac:dyDescent="0.25">
      <c r="B635" s="61"/>
      <c r="C635" s="61"/>
    </row>
    <row r="636" spans="2:3" x14ac:dyDescent="0.25">
      <c r="B636" s="61"/>
      <c r="C636" s="61"/>
    </row>
    <row r="637" spans="2:3" x14ac:dyDescent="0.25">
      <c r="B637" s="61"/>
      <c r="C637" s="61"/>
    </row>
    <row r="638" spans="2:3" x14ac:dyDescent="0.25">
      <c r="B638" s="61"/>
      <c r="C638" s="61"/>
    </row>
    <row r="639" spans="2:3" x14ac:dyDescent="0.25">
      <c r="B639" s="61"/>
      <c r="C639" s="61"/>
    </row>
    <row r="640" spans="2:3" x14ac:dyDescent="0.25">
      <c r="B640" s="61"/>
      <c r="C640" s="61"/>
    </row>
    <row r="641" spans="2:3" x14ac:dyDescent="0.25">
      <c r="B641" s="61"/>
      <c r="C641" s="61"/>
    </row>
    <row r="642" spans="2:3" x14ac:dyDescent="0.25">
      <c r="B642" s="61"/>
      <c r="C642" s="61"/>
    </row>
    <row r="643" spans="2:3" x14ac:dyDescent="0.25">
      <c r="B643" s="61"/>
      <c r="C643" s="61"/>
    </row>
    <row r="644" spans="2:3" x14ac:dyDescent="0.25">
      <c r="B644" s="61"/>
      <c r="C644" s="61"/>
    </row>
    <row r="645" spans="2:3" x14ac:dyDescent="0.25">
      <c r="B645" s="61"/>
      <c r="C645" s="61"/>
    </row>
    <row r="646" spans="2:3" x14ac:dyDescent="0.25">
      <c r="B646" s="61"/>
      <c r="C646" s="61"/>
    </row>
    <row r="647" spans="2:3" x14ac:dyDescent="0.25">
      <c r="B647" s="61"/>
      <c r="C647" s="61"/>
    </row>
    <row r="648" spans="2:3" x14ac:dyDescent="0.25">
      <c r="B648" s="61"/>
      <c r="C648" s="61"/>
    </row>
    <row r="649" spans="2:3" x14ac:dyDescent="0.25">
      <c r="B649" s="61"/>
      <c r="C649" s="61"/>
    </row>
    <row r="650" spans="2:3" x14ac:dyDescent="0.25">
      <c r="B650" s="61"/>
      <c r="C650" s="61"/>
    </row>
    <row r="651" spans="2:3" x14ac:dyDescent="0.25">
      <c r="B651" s="61"/>
      <c r="C651" s="61"/>
    </row>
    <row r="652" spans="2:3" x14ac:dyDescent="0.25">
      <c r="B652" s="61"/>
      <c r="C652" s="61"/>
    </row>
    <row r="653" spans="2:3" x14ac:dyDescent="0.25">
      <c r="B653" s="61"/>
      <c r="C653" s="61"/>
    </row>
    <row r="654" spans="2:3" x14ac:dyDescent="0.25">
      <c r="B654" s="61"/>
      <c r="C654" s="61"/>
    </row>
    <row r="655" spans="2:3" x14ac:dyDescent="0.25">
      <c r="B655" s="61"/>
      <c r="C655" s="61"/>
    </row>
    <row r="656" spans="2:3" x14ac:dyDescent="0.25">
      <c r="B656" s="61"/>
      <c r="C656" s="61"/>
    </row>
    <row r="657" spans="2:3" x14ac:dyDescent="0.25">
      <c r="B657" s="61"/>
      <c r="C657" s="61"/>
    </row>
    <row r="658" spans="2:3" x14ac:dyDescent="0.25">
      <c r="B658" s="61"/>
      <c r="C658" s="61"/>
    </row>
    <row r="659" spans="2:3" x14ac:dyDescent="0.25">
      <c r="B659" s="61"/>
      <c r="C659" s="61"/>
    </row>
    <row r="660" spans="2:3" x14ac:dyDescent="0.25">
      <c r="B660" s="61"/>
      <c r="C660" s="61"/>
    </row>
    <row r="661" spans="2:3" x14ac:dyDescent="0.25">
      <c r="B661" s="61"/>
      <c r="C661" s="61"/>
    </row>
    <row r="662" spans="2:3" x14ac:dyDescent="0.25">
      <c r="B662" s="61"/>
      <c r="C662" s="61"/>
    </row>
    <row r="663" spans="2:3" x14ac:dyDescent="0.25">
      <c r="B663" s="61"/>
      <c r="C663" s="61"/>
    </row>
    <row r="664" spans="2:3" x14ac:dyDescent="0.25">
      <c r="B664" s="61"/>
      <c r="C664" s="61"/>
    </row>
    <row r="665" spans="2:3" x14ac:dyDescent="0.25">
      <c r="B665" s="61"/>
      <c r="C665" s="61"/>
    </row>
    <row r="666" spans="2:3" x14ac:dyDescent="0.25">
      <c r="B666" s="61"/>
      <c r="C666" s="61"/>
    </row>
    <row r="667" spans="2:3" x14ac:dyDescent="0.25">
      <c r="B667" s="61"/>
      <c r="C667" s="61"/>
    </row>
    <row r="668" spans="2:3" x14ac:dyDescent="0.25">
      <c r="B668" s="61"/>
      <c r="C668" s="61"/>
    </row>
    <row r="669" spans="2:3" x14ac:dyDescent="0.25">
      <c r="B669" s="61"/>
      <c r="C669" s="61"/>
    </row>
    <row r="670" spans="2:3" x14ac:dyDescent="0.25">
      <c r="B670" s="61"/>
      <c r="C670" s="61"/>
    </row>
    <row r="671" spans="2:3" x14ac:dyDescent="0.25">
      <c r="B671" s="61"/>
      <c r="C671" s="61"/>
    </row>
    <row r="672" spans="2:3" x14ac:dyDescent="0.25">
      <c r="B672" s="61"/>
      <c r="C672" s="61"/>
    </row>
    <row r="673" spans="2:3" x14ac:dyDescent="0.25">
      <c r="B673" s="61"/>
      <c r="C673" s="61"/>
    </row>
    <row r="674" spans="2:3" x14ac:dyDescent="0.25">
      <c r="B674" s="61"/>
      <c r="C674" s="61"/>
    </row>
    <row r="675" spans="2:3" x14ac:dyDescent="0.25">
      <c r="B675" s="61"/>
      <c r="C675" s="61"/>
    </row>
    <row r="676" spans="2:3" x14ac:dyDescent="0.25">
      <c r="B676" s="61"/>
      <c r="C676" s="61"/>
    </row>
    <row r="677" spans="2:3" x14ac:dyDescent="0.25">
      <c r="B677" s="61"/>
      <c r="C677" s="61"/>
    </row>
    <row r="678" spans="2:3" x14ac:dyDescent="0.25">
      <c r="B678" s="61"/>
      <c r="C678" s="61"/>
    </row>
    <row r="679" spans="2:3" x14ac:dyDescent="0.25">
      <c r="B679" s="61"/>
      <c r="C679" s="61"/>
    </row>
    <row r="680" spans="2:3" x14ac:dyDescent="0.25">
      <c r="B680" s="61"/>
      <c r="C680" s="61"/>
    </row>
    <row r="681" spans="2:3" x14ac:dyDescent="0.25">
      <c r="B681" s="61"/>
      <c r="C681" s="61"/>
    </row>
    <row r="682" spans="2:3" x14ac:dyDescent="0.25">
      <c r="B682" s="61"/>
      <c r="C682" s="61"/>
    </row>
    <row r="683" spans="2:3" x14ac:dyDescent="0.25">
      <c r="B683" s="61"/>
      <c r="C683" s="61"/>
    </row>
    <row r="684" spans="2:3" x14ac:dyDescent="0.25">
      <c r="B684" s="61"/>
      <c r="C684" s="61"/>
    </row>
    <row r="685" spans="2:3" x14ac:dyDescent="0.25">
      <c r="B685" s="61"/>
      <c r="C685" s="61"/>
    </row>
    <row r="686" spans="2:3" x14ac:dyDescent="0.25">
      <c r="B686" s="61"/>
      <c r="C686" s="61"/>
    </row>
    <row r="687" spans="2:3" x14ac:dyDescent="0.25">
      <c r="B687" s="61"/>
      <c r="C687" s="61"/>
    </row>
    <row r="688" spans="2:3" x14ac:dyDescent="0.25">
      <c r="B688" s="61"/>
      <c r="C688" s="61"/>
    </row>
    <row r="689" spans="2:3" x14ac:dyDescent="0.25">
      <c r="B689" s="61"/>
      <c r="C689" s="61"/>
    </row>
    <row r="690" spans="2:3" x14ac:dyDescent="0.25">
      <c r="B690" s="61"/>
      <c r="C690" s="61"/>
    </row>
    <row r="691" spans="2:3" x14ac:dyDescent="0.25">
      <c r="B691" s="61"/>
      <c r="C691" s="61"/>
    </row>
    <row r="692" spans="2:3" x14ac:dyDescent="0.25">
      <c r="B692" s="61"/>
      <c r="C692" s="61"/>
    </row>
    <row r="693" spans="2:3" x14ac:dyDescent="0.25">
      <c r="B693" s="61"/>
      <c r="C693" s="61"/>
    </row>
    <row r="694" spans="2:3" x14ac:dyDescent="0.25">
      <c r="B694" s="61"/>
      <c r="C694" s="61"/>
    </row>
    <row r="695" spans="2:3" x14ac:dyDescent="0.25">
      <c r="B695" s="61"/>
      <c r="C695" s="61"/>
    </row>
    <row r="696" spans="2:3" x14ac:dyDescent="0.25">
      <c r="B696" s="61"/>
      <c r="C696" s="61"/>
    </row>
    <row r="697" spans="2:3" x14ac:dyDescent="0.25">
      <c r="B697" s="61"/>
      <c r="C697" s="61"/>
    </row>
    <row r="698" spans="2:3" x14ac:dyDescent="0.25">
      <c r="B698" s="61"/>
      <c r="C698" s="61"/>
    </row>
    <row r="699" spans="2:3" x14ac:dyDescent="0.25">
      <c r="B699" s="61"/>
      <c r="C699" s="61"/>
    </row>
    <row r="700" spans="2:3" x14ac:dyDescent="0.25">
      <c r="B700" s="61"/>
      <c r="C700" s="61"/>
    </row>
    <row r="701" spans="2:3" x14ac:dyDescent="0.25">
      <c r="B701" s="61"/>
      <c r="C701" s="61"/>
    </row>
    <row r="702" spans="2:3" x14ac:dyDescent="0.25">
      <c r="B702" s="61"/>
      <c r="C702" s="61"/>
    </row>
    <row r="703" spans="2:3" x14ac:dyDescent="0.25">
      <c r="B703" s="61"/>
      <c r="C703" s="61"/>
    </row>
    <row r="704" spans="2:3" x14ac:dyDescent="0.25">
      <c r="B704" s="61"/>
      <c r="C704" s="61"/>
    </row>
    <row r="705" spans="2:3" x14ac:dyDescent="0.25">
      <c r="B705" s="61"/>
      <c r="C705" s="61"/>
    </row>
    <row r="706" spans="2:3" x14ac:dyDescent="0.25">
      <c r="B706" s="61"/>
      <c r="C706" s="61"/>
    </row>
    <row r="707" spans="2:3" x14ac:dyDescent="0.25">
      <c r="B707" s="61"/>
      <c r="C707" s="61"/>
    </row>
    <row r="708" spans="2:3" x14ac:dyDescent="0.25">
      <c r="B708" s="61"/>
      <c r="C708" s="61"/>
    </row>
    <row r="709" spans="2:3" x14ac:dyDescent="0.25">
      <c r="B709" s="61"/>
      <c r="C709" s="61"/>
    </row>
    <row r="710" spans="2:3" x14ac:dyDescent="0.25">
      <c r="B710" s="61"/>
      <c r="C710" s="61"/>
    </row>
    <row r="711" spans="2:3" x14ac:dyDescent="0.25">
      <c r="B711" s="61"/>
      <c r="C711" s="61"/>
    </row>
    <row r="712" spans="2:3" x14ac:dyDescent="0.25">
      <c r="B712" s="61"/>
      <c r="C712" s="61"/>
    </row>
    <row r="713" spans="2:3" x14ac:dyDescent="0.25">
      <c r="B713" s="61"/>
      <c r="C713" s="61"/>
    </row>
    <row r="714" spans="2:3" x14ac:dyDescent="0.25">
      <c r="B714" s="61"/>
      <c r="C714" s="61"/>
    </row>
    <row r="715" spans="2:3" x14ac:dyDescent="0.25">
      <c r="B715" s="61"/>
      <c r="C715" s="61"/>
    </row>
    <row r="716" spans="2:3" x14ac:dyDescent="0.25">
      <c r="B716" s="61"/>
      <c r="C716" s="61"/>
    </row>
    <row r="717" spans="2:3" x14ac:dyDescent="0.25">
      <c r="B717" s="61"/>
      <c r="C717" s="61"/>
    </row>
    <row r="718" spans="2:3" x14ac:dyDescent="0.25">
      <c r="B718" s="61"/>
      <c r="C718" s="61"/>
    </row>
    <row r="719" spans="2:3" x14ac:dyDescent="0.25">
      <c r="B719" s="61"/>
      <c r="C719" s="61"/>
    </row>
    <row r="720" spans="2:3" x14ac:dyDescent="0.25">
      <c r="B720" s="61"/>
      <c r="C720" s="61"/>
    </row>
    <row r="721" spans="2:3" x14ac:dyDescent="0.25">
      <c r="B721" s="61"/>
      <c r="C721" s="61"/>
    </row>
    <row r="722" spans="2:3" x14ac:dyDescent="0.25">
      <c r="B722" s="61"/>
      <c r="C722" s="61"/>
    </row>
    <row r="723" spans="2:3" x14ac:dyDescent="0.25">
      <c r="B723" s="61"/>
      <c r="C723" s="61"/>
    </row>
    <row r="724" spans="2:3" x14ac:dyDescent="0.25">
      <c r="B724" s="61"/>
      <c r="C724" s="61"/>
    </row>
    <row r="725" spans="2:3" x14ac:dyDescent="0.25">
      <c r="B725" s="61"/>
      <c r="C725" s="61"/>
    </row>
    <row r="726" spans="2:3" x14ac:dyDescent="0.25">
      <c r="B726" s="61"/>
      <c r="C726" s="61"/>
    </row>
    <row r="727" spans="2:3" x14ac:dyDescent="0.25">
      <c r="B727" s="61"/>
      <c r="C727" s="61"/>
    </row>
    <row r="728" spans="2:3" x14ac:dyDescent="0.25">
      <c r="B728" s="61"/>
      <c r="C728" s="61"/>
    </row>
    <row r="729" spans="2:3" x14ac:dyDescent="0.25">
      <c r="B729" s="61"/>
      <c r="C729" s="61"/>
    </row>
    <row r="730" spans="2:3" x14ac:dyDescent="0.25">
      <c r="B730" s="61"/>
      <c r="C730" s="61"/>
    </row>
    <row r="731" spans="2:3" x14ac:dyDescent="0.25">
      <c r="B731" s="61"/>
      <c r="C731" s="61"/>
    </row>
    <row r="732" spans="2:3" x14ac:dyDescent="0.25">
      <c r="B732" s="61"/>
      <c r="C732" s="61"/>
    </row>
    <row r="733" spans="2:3" x14ac:dyDescent="0.25">
      <c r="B733" s="61"/>
      <c r="C733" s="61"/>
    </row>
    <row r="734" spans="2:3" x14ac:dyDescent="0.25">
      <c r="B734" s="61"/>
      <c r="C734" s="61"/>
    </row>
    <row r="735" spans="2:3" x14ac:dyDescent="0.25">
      <c r="B735" s="61"/>
      <c r="C735" s="61"/>
    </row>
    <row r="736" spans="2:3" x14ac:dyDescent="0.25">
      <c r="B736" s="61"/>
      <c r="C736" s="61"/>
    </row>
    <row r="737" spans="2:3" x14ac:dyDescent="0.25">
      <c r="B737" s="61"/>
      <c r="C737" s="61"/>
    </row>
    <row r="738" spans="2:3" x14ac:dyDescent="0.25">
      <c r="B738" s="61"/>
      <c r="C738" s="61"/>
    </row>
    <row r="739" spans="2:3" x14ac:dyDescent="0.25">
      <c r="B739" s="61"/>
      <c r="C739" s="61"/>
    </row>
    <row r="740" spans="2:3" x14ac:dyDescent="0.25">
      <c r="B740" s="61"/>
      <c r="C740" s="61"/>
    </row>
    <row r="741" spans="2:3" x14ac:dyDescent="0.25">
      <c r="B741" s="61"/>
      <c r="C741" s="61"/>
    </row>
    <row r="742" spans="2:3" x14ac:dyDescent="0.25">
      <c r="B742" s="61"/>
      <c r="C742" s="61"/>
    </row>
    <row r="743" spans="2:3" x14ac:dyDescent="0.25">
      <c r="B743" s="61"/>
      <c r="C743" s="61"/>
    </row>
    <row r="744" spans="2:3" x14ac:dyDescent="0.25">
      <c r="B744" s="61"/>
      <c r="C744" s="61"/>
    </row>
    <row r="745" spans="2:3" x14ac:dyDescent="0.25">
      <c r="B745" s="61"/>
      <c r="C745" s="61"/>
    </row>
    <row r="746" spans="2:3" x14ac:dyDescent="0.25">
      <c r="B746" s="61"/>
      <c r="C746" s="61"/>
    </row>
    <row r="747" spans="2:3" x14ac:dyDescent="0.25">
      <c r="B747" s="61"/>
      <c r="C747" s="61"/>
    </row>
    <row r="748" spans="2:3" x14ac:dyDescent="0.25">
      <c r="B748" s="61"/>
      <c r="C748" s="61"/>
    </row>
    <row r="749" spans="2:3" x14ac:dyDescent="0.25">
      <c r="B749" s="61"/>
      <c r="C749" s="61"/>
    </row>
    <row r="750" spans="2:3" x14ac:dyDescent="0.25">
      <c r="B750" s="61"/>
      <c r="C750" s="61"/>
    </row>
    <row r="751" spans="2:3" x14ac:dyDescent="0.25">
      <c r="B751" s="61"/>
      <c r="C751" s="61"/>
    </row>
    <row r="752" spans="2:3" x14ac:dyDescent="0.25">
      <c r="B752" s="61"/>
      <c r="C752" s="61"/>
    </row>
    <row r="753" spans="2:3" x14ac:dyDescent="0.25">
      <c r="B753" s="61"/>
      <c r="C753" s="61"/>
    </row>
    <row r="754" spans="2:3" x14ac:dyDescent="0.25">
      <c r="B754" s="61"/>
      <c r="C754" s="61"/>
    </row>
    <row r="755" spans="2:3" x14ac:dyDescent="0.25">
      <c r="B755" s="61"/>
      <c r="C755" s="61"/>
    </row>
    <row r="756" spans="2:3" x14ac:dyDescent="0.25">
      <c r="B756" s="61"/>
      <c r="C756" s="61"/>
    </row>
    <row r="757" spans="2:3" x14ac:dyDescent="0.25">
      <c r="B757" s="61"/>
      <c r="C757" s="61"/>
    </row>
    <row r="758" spans="2:3" x14ac:dyDescent="0.25">
      <c r="B758" s="61"/>
      <c r="C758" s="61"/>
    </row>
    <row r="759" spans="2:3" x14ac:dyDescent="0.25">
      <c r="B759" s="61"/>
      <c r="C759" s="61"/>
    </row>
    <row r="760" spans="2:3" x14ac:dyDescent="0.25">
      <c r="B760" s="61"/>
      <c r="C760" s="61"/>
    </row>
    <row r="761" spans="2:3" x14ac:dyDescent="0.25">
      <c r="B761" s="61"/>
      <c r="C761" s="61"/>
    </row>
    <row r="762" spans="2:3" x14ac:dyDescent="0.25">
      <c r="B762" s="61"/>
      <c r="C762" s="61"/>
    </row>
    <row r="763" spans="2:3" x14ac:dyDescent="0.25">
      <c r="B763" s="61"/>
      <c r="C763" s="61"/>
    </row>
    <row r="764" spans="2:3" x14ac:dyDescent="0.25">
      <c r="B764" s="61"/>
      <c r="C764" s="61"/>
    </row>
    <row r="765" spans="2:3" x14ac:dyDescent="0.25">
      <c r="B765" s="61"/>
      <c r="C765" s="61"/>
    </row>
    <row r="766" spans="2:3" x14ac:dyDescent="0.25">
      <c r="B766" s="61"/>
      <c r="C766" s="61"/>
    </row>
    <row r="767" spans="2:3" x14ac:dyDescent="0.25">
      <c r="B767" s="61"/>
      <c r="C767" s="61"/>
    </row>
    <row r="768" spans="2:3" x14ac:dyDescent="0.25">
      <c r="B768" s="61"/>
      <c r="C768" s="61"/>
    </row>
    <row r="769" spans="2:3" x14ac:dyDescent="0.25">
      <c r="B769" s="61"/>
      <c r="C769" s="61"/>
    </row>
    <row r="770" spans="2:3" x14ac:dyDescent="0.25">
      <c r="B770" s="61"/>
      <c r="C770" s="61"/>
    </row>
    <row r="771" spans="2:3" x14ac:dyDescent="0.25">
      <c r="B771" s="61"/>
      <c r="C771" s="61"/>
    </row>
    <row r="772" spans="2:3" x14ac:dyDescent="0.25">
      <c r="B772" s="61"/>
      <c r="C772" s="61"/>
    </row>
    <row r="773" spans="2:3" x14ac:dyDescent="0.25">
      <c r="B773" s="61"/>
      <c r="C773" s="61"/>
    </row>
    <row r="774" spans="2:3" x14ac:dyDescent="0.25">
      <c r="B774" s="61"/>
      <c r="C774" s="61"/>
    </row>
    <row r="775" spans="2:3" x14ac:dyDescent="0.25">
      <c r="B775" s="61"/>
      <c r="C775" s="61"/>
    </row>
    <row r="776" spans="2:3" x14ac:dyDescent="0.25">
      <c r="B776" s="61"/>
      <c r="C776" s="61"/>
    </row>
    <row r="777" spans="2:3" x14ac:dyDescent="0.25">
      <c r="B777" s="61"/>
      <c r="C777" s="61"/>
    </row>
    <row r="778" spans="2:3" x14ac:dyDescent="0.25">
      <c r="B778" s="61"/>
      <c r="C778" s="61"/>
    </row>
    <row r="779" spans="2:3" x14ac:dyDescent="0.25">
      <c r="B779" s="61"/>
      <c r="C779" s="61"/>
    </row>
    <row r="780" spans="2:3" x14ac:dyDescent="0.25">
      <c r="B780" s="61"/>
      <c r="C780" s="61"/>
    </row>
    <row r="781" spans="2:3" x14ac:dyDescent="0.25">
      <c r="B781" s="61"/>
      <c r="C781" s="61"/>
    </row>
    <row r="782" spans="2:3" x14ac:dyDescent="0.25">
      <c r="B782" s="61"/>
      <c r="C782" s="61"/>
    </row>
    <row r="783" spans="2:3" x14ac:dyDescent="0.25">
      <c r="B783" s="61"/>
      <c r="C783" s="61"/>
    </row>
    <row r="784" spans="2:3" x14ac:dyDescent="0.25">
      <c r="B784" s="61"/>
      <c r="C784" s="61"/>
    </row>
    <row r="785" spans="2:3" x14ac:dyDescent="0.25">
      <c r="B785" s="61"/>
      <c r="C785" s="61"/>
    </row>
    <row r="786" spans="2:3" x14ac:dyDescent="0.25">
      <c r="B786" s="61"/>
      <c r="C786" s="61"/>
    </row>
    <row r="787" spans="2:3" x14ac:dyDescent="0.25">
      <c r="B787" s="61"/>
      <c r="C787" s="61"/>
    </row>
    <row r="788" spans="2:3" x14ac:dyDescent="0.25">
      <c r="B788" s="61"/>
      <c r="C788" s="61"/>
    </row>
    <row r="789" spans="2:3" x14ac:dyDescent="0.25">
      <c r="B789" s="61"/>
      <c r="C789" s="61"/>
    </row>
    <row r="790" spans="2:3" x14ac:dyDescent="0.25">
      <c r="B790" s="61"/>
      <c r="C790" s="61"/>
    </row>
    <row r="791" spans="2:3" x14ac:dyDescent="0.25">
      <c r="B791" s="61"/>
      <c r="C791" s="61"/>
    </row>
    <row r="792" spans="2:3" x14ac:dyDescent="0.25">
      <c r="B792" s="61"/>
      <c r="C792" s="61"/>
    </row>
    <row r="793" spans="2:3" x14ac:dyDescent="0.25">
      <c r="B793" s="61"/>
      <c r="C793" s="61"/>
    </row>
    <row r="794" spans="2:3" x14ac:dyDescent="0.25">
      <c r="B794" s="61"/>
      <c r="C794" s="61"/>
    </row>
    <row r="795" spans="2:3" x14ac:dyDescent="0.25">
      <c r="B795" s="61"/>
      <c r="C795" s="61"/>
    </row>
    <row r="796" spans="2:3" x14ac:dyDescent="0.25">
      <c r="B796" s="61"/>
      <c r="C796" s="61"/>
    </row>
    <row r="797" spans="2:3" x14ac:dyDescent="0.25">
      <c r="B797" s="61"/>
      <c r="C797" s="61"/>
    </row>
    <row r="798" spans="2:3" x14ac:dyDescent="0.25">
      <c r="B798" s="61"/>
      <c r="C798" s="61"/>
    </row>
    <row r="799" spans="2:3" x14ac:dyDescent="0.25">
      <c r="B799" s="61"/>
      <c r="C799" s="61"/>
    </row>
    <row r="800" spans="2:3" x14ac:dyDescent="0.25">
      <c r="B800" s="61"/>
      <c r="C800" s="61"/>
    </row>
    <row r="801" spans="2:3" x14ac:dyDescent="0.25">
      <c r="B801" s="61"/>
      <c r="C801" s="61"/>
    </row>
    <row r="802" spans="2:3" x14ac:dyDescent="0.25">
      <c r="B802" s="61"/>
      <c r="C802" s="61"/>
    </row>
    <row r="803" spans="2:3" x14ac:dyDescent="0.25">
      <c r="B803" s="61"/>
      <c r="C803" s="61"/>
    </row>
    <row r="804" spans="2:3" x14ac:dyDescent="0.25">
      <c r="B804" s="61"/>
      <c r="C804" s="61"/>
    </row>
    <row r="805" spans="2:3" x14ac:dyDescent="0.25">
      <c r="B805" s="61"/>
      <c r="C805" s="61"/>
    </row>
    <row r="806" spans="2:3" x14ac:dyDescent="0.25">
      <c r="B806" s="61"/>
      <c r="C806" s="61"/>
    </row>
    <row r="807" spans="2:3" x14ac:dyDescent="0.25">
      <c r="B807" s="61"/>
      <c r="C807" s="61"/>
    </row>
    <row r="808" spans="2:3" x14ac:dyDescent="0.25">
      <c r="B808" s="61"/>
      <c r="C808" s="61"/>
    </row>
    <row r="809" spans="2:3" x14ac:dyDescent="0.25">
      <c r="B809" s="61"/>
      <c r="C809" s="61"/>
    </row>
    <row r="810" spans="2:3" x14ac:dyDescent="0.25">
      <c r="B810" s="61"/>
      <c r="C810" s="61"/>
    </row>
    <row r="811" spans="2:3" x14ac:dyDescent="0.25">
      <c r="B811" s="61"/>
      <c r="C811" s="61"/>
    </row>
    <row r="812" spans="2:3" x14ac:dyDescent="0.25">
      <c r="B812" s="61"/>
      <c r="C812" s="61"/>
    </row>
    <row r="813" spans="2:3" x14ac:dyDescent="0.25">
      <c r="B813" s="61"/>
      <c r="C813" s="61"/>
    </row>
    <row r="814" spans="2:3" x14ac:dyDescent="0.25">
      <c r="B814" s="61"/>
      <c r="C814" s="61"/>
    </row>
    <row r="815" spans="2:3" x14ac:dyDescent="0.25">
      <c r="B815" s="61"/>
      <c r="C815" s="61"/>
    </row>
    <row r="816" spans="2:3" x14ac:dyDescent="0.25">
      <c r="B816" s="61"/>
      <c r="C816" s="61"/>
    </row>
    <row r="817" spans="2:3" x14ac:dyDescent="0.25">
      <c r="B817" s="61"/>
      <c r="C817" s="61"/>
    </row>
    <row r="818" spans="2:3" x14ac:dyDescent="0.25">
      <c r="B818" s="61"/>
      <c r="C818" s="61"/>
    </row>
    <row r="819" spans="2:3" x14ac:dyDescent="0.25">
      <c r="B819" s="61"/>
      <c r="C819" s="61"/>
    </row>
    <row r="820" spans="2:3" x14ac:dyDescent="0.25">
      <c r="B820" s="61"/>
      <c r="C820" s="61"/>
    </row>
    <row r="821" spans="2:3" x14ac:dyDescent="0.25">
      <c r="B821" s="61"/>
      <c r="C821" s="61"/>
    </row>
    <row r="822" spans="2:3" x14ac:dyDescent="0.25">
      <c r="B822" s="61"/>
      <c r="C822" s="61"/>
    </row>
    <row r="823" spans="2:3" x14ac:dyDescent="0.25">
      <c r="B823" s="61"/>
      <c r="C823" s="61"/>
    </row>
    <row r="824" spans="2:3" x14ac:dyDescent="0.25">
      <c r="B824" s="61"/>
      <c r="C824" s="61"/>
    </row>
    <row r="825" spans="2:3" x14ac:dyDescent="0.25">
      <c r="B825" s="61"/>
      <c r="C825" s="61"/>
    </row>
    <row r="826" spans="2:3" x14ac:dyDescent="0.25">
      <c r="B826" s="61"/>
      <c r="C826" s="61"/>
    </row>
    <row r="827" spans="2:3" x14ac:dyDescent="0.25">
      <c r="B827" s="61"/>
      <c r="C827" s="61"/>
    </row>
    <row r="828" spans="2:3" x14ac:dyDescent="0.25">
      <c r="B828" s="61"/>
      <c r="C828" s="61"/>
    </row>
    <row r="829" spans="2:3" x14ac:dyDescent="0.25">
      <c r="B829" s="61"/>
      <c r="C829" s="61"/>
    </row>
    <row r="830" spans="2:3" x14ac:dyDescent="0.25">
      <c r="B830" s="61"/>
      <c r="C830" s="61"/>
    </row>
    <row r="831" spans="2:3" x14ac:dyDescent="0.25">
      <c r="B831" s="61"/>
      <c r="C831" s="61"/>
    </row>
    <row r="832" spans="2:3" x14ac:dyDescent="0.25">
      <c r="B832" s="61"/>
      <c r="C832" s="61"/>
    </row>
    <row r="833" spans="2:3" x14ac:dyDescent="0.25">
      <c r="B833" s="61"/>
      <c r="C833" s="61"/>
    </row>
    <row r="834" spans="2:3" x14ac:dyDescent="0.25">
      <c r="B834" s="61"/>
      <c r="C834" s="61"/>
    </row>
    <row r="835" spans="2:3" x14ac:dyDescent="0.25">
      <c r="B835" s="61"/>
      <c r="C835" s="61"/>
    </row>
    <row r="836" spans="2:3" x14ac:dyDescent="0.25">
      <c r="B836" s="61"/>
      <c r="C836" s="61"/>
    </row>
    <row r="837" spans="2:3" x14ac:dyDescent="0.25">
      <c r="B837" s="61"/>
      <c r="C837" s="61"/>
    </row>
    <row r="838" spans="2:3" x14ac:dyDescent="0.25">
      <c r="B838" s="61"/>
      <c r="C838" s="61"/>
    </row>
    <row r="839" spans="2:3" x14ac:dyDescent="0.25">
      <c r="B839" s="61"/>
      <c r="C839" s="61"/>
    </row>
    <row r="840" spans="2:3" x14ac:dyDescent="0.25">
      <c r="B840" s="61"/>
      <c r="C840" s="61"/>
    </row>
    <row r="841" spans="2:3" x14ac:dyDescent="0.25">
      <c r="B841" s="61"/>
      <c r="C841" s="61"/>
    </row>
    <row r="842" spans="2:3" x14ac:dyDescent="0.25">
      <c r="B842" s="61"/>
      <c r="C842" s="61"/>
    </row>
    <row r="843" spans="2:3" x14ac:dyDescent="0.25">
      <c r="B843" s="61"/>
      <c r="C843" s="61"/>
    </row>
    <row r="844" spans="2:3" x14ac:dyDescent="0.25">
      <c r="B844" s="61"/>
      <c r="C844" s="61"/>
    </row>
    <row r="845" spans="2:3" x14ac:dyDescent="0.25">
      <c r="B845" s="61"/>
      <c r="C845" s="61"/>
    </row>
    <row r="846" spans="2:3" x14ac:dyDescent="0.25">
      <c r="B846" s="61"/>
      <c r="C846" s="61"/>
    </row>
    <row r="847" spans="2:3" x14ac:dyDescent="0.25">
      <c r="B847" s="61"/>
      <c r="C847" s="61"/>
    </row>
    <row r="848" spans="2:3" x14ac:dyDescent="0.25">
      <c r="B848" s="61"/>
      <c r="C848" s="61"/>
    </row>
    <row r="849" spans="2:3" x14ac:dyDescent="0.25">
      <c r="B849" s="61"/>
      <c r="C849" s="61"/>
    </row>
    <row r="850" spans="2:3" x14ac:dyDescent="0.25">
      <c r="B850" s="61"/>
      <c r="C850" s="61"/>
    </row>
    <row r="851" spans="2:3" x14ac:dyDescent="0.25">
      <c r="B851" s="61"/>
      <c r="C851" s="61"/>
    </row>
    <row r="852" spans="2:3" x14ac:dyDescent="0.25">
      <c r="B852" s="61"/>
      <c r="C852" s="61"/>
    </row>
    <row r="853" spans="2:3" x14ac:dyDescent="0.25">
      <c r="B853" s="61"/>
      <c r="C853" s="61"/>
    </row>
    <row r="854" spans="2:3" x14ac:dyDescent="0.25">
      <c r="B854" s="61"/>
      <c r="C854" s="61"/>
    </row>
    <row r="855" spans="2:3" x14ac:dyDescent="0.25">
      <c r="B855" s="61"/>
      <c r="C855" s="61"/>
    </row>
    <row r="856" spans="2:3" x14ac:dyDescent="0.25">
      <c r="B856" s="61"/>
      <c r="C856" s="61"/>
    </row>
    <row r="857" spans="2:3" x14ac:dyDescent="0.25">
      <c r="B857" s="61"/>
      <c r="C857" s="61"/>
    </row>
    <row r="858" spans="2:3" x14ac:dyDescent="0.25">
      <c r="B858" s="61"/>
      <c r="C858" s="61"/>
    </row>
    <row r="859" spans="2:3" x14ac:dyDescent="0.25">
      <c r="B859" s="61"/>
      <c r="C859" s="61"/>
    </row>
    <row r="860" spans="2:3" x14ac:dyDescent="0.25">
      <c r="B860" s="61"/>
      <c r="C860" s="61"/>
    </row>
    <row r="861" spans="2:3" x14ac:dyDescent="0.25">
      <c r="B861" s="61"/>
      <c r="C861" s="61"/>
    </row>
    <row r="862" spans="2:3" x14ac:dyDescent="0.25">
      <c r="B862" s="61"/>
      <c r="C862" s="61"/>
    </row>
    <row r="863" spans="2:3" x14ac:dyDescent="0.25">
      <c r="B863" s="61"/>
      <c r="C863" s="61"/>
    </row>
    <row r="864" spans="2:3" x14ac:dyDescent="0.25">
      <c r="B864" s="61"/>
      <c r="C864" s="61"/>
    </row>
    <row r="865" spans="2:3" x14ac:dyDescent="0.25">
      <c r="B865" s="61"/>
      <c r="C865" s="61"/>
    </row>
    <row r="866" spans="2:3" x14ac:dyDescent="0.25">
      <c r="B866" s="61"/>
      <c r="C866" s="61"/>
    </row>
    <row r="867" spans="2:3" x14ac:dyDescent="0.25">
      <c r="B867" s="61"/>
      <c r="C867" s="61"/>
    </row>
    <row r="868" spans="2:3" x14ac:dyDescent="0.25">
      <c r="B868" s="61"/>
      <c r="C868" s="61"/>
    </row>
    <row r="869" spans="2:3" x14ac:dyDescent="0.25">
      <c r="B869" s="61"/>
      <c r="C869" s="61"/>
    </row>
    <row r="870" spans="2:3" x14ac:dyDescent="0.25">
      <c r="B870" s="61"/>
      <c r="C870" s="61"/>
    </row>
    <row r="871" spans="2:3" x14ac:dyDescent="0.25">
      <c r="B871" s="61"/>
      <c r="C871" s="61"/>
    </row>
    <row r="872" spans="2:3" x14ac:dyDescent="0.25">
      <c r="B872" s="61"/>
      <c r="C872" s="61"/>
    </row>
    <row r="873" spans="2:3" x14ac:dyDescent="0.25">
      <c r="B873" s="61"/>
      <c r="C873" s="61"/>
    </row>
    <row r="874" spans="2:3" x14ac:dyDescent="0.25">
      <c r="B874" s="61"/>
      <c r="C874" s="61"/>
    </row>
    <row r="875" spans="2:3" x14ac:dyDescent="0.25">
      <c r="B875" s="61"/>
      <c r="C875" s="61"/>
    </row>
    <row r="876" spans="2:3" x14ac:dyDescent="0.25">
      <c r="B876" s="61"/>
      <c r="C876" s="61"/>
    </row>
    <row r="877" spans="2:3" x14ac:dyDescent="0.25">
      <c r="B877" s="61"/>
      <c r="C877" s="61"/>
    </row>
    <row r="878" spans="2:3" x14ac:dyDescent="0.25">
      <c r="B878" s="61"/>
      <c r="C878" s="61"/>
    </row>
    <row r="879" spans="2:3" x14ac:dyDescent="0.25">
      <c r="B879" s="61"/>
      <c r="C879" s="61"/>
    </row>
    <row r="880" spans="2:3" x14ac:dyDescent="0.25">
      <c r="B880" s="61"/>
      <c r="C880" s="61"/>
    </row>
    <row r="881" spans="2:3" x14ac:dyDescent="0.25">
      <c r="B881" s="61"/>
      <c r="C881" s="61"/>
    </row>
    <row r="882" spans="2:3" x14ac:dyDescent="0.25">
      <c r="B882" s="61"/>
      <c r="C882" s="61"/>
    </row>
    <row r="883" spans="2:3" x14ac:dyDescent="0.25">
      <c r="B883" s="61"/>
      <c r="C883" s="61"/>
    </row>
    <row r="884" spans="2:3" x14ac:dyDescent="0.25">
      <c r="B884" s="61"/>
      <c r="C884" s="61"/>
    </row>
    <row r="885" spans="2:3" x14ac:dyDescent="0.25">
      <c r="B885" s="61"/>
      <c r="C885" s="61"/>
    </row>
    <row r="886" spans="2:3" x14ac:dyDescent="0.25">
      <c r="B886" s="61"/>
      <c r="C886" s="61"/>
    </row>
    <row r="887" spans="2:3" x14ac:dyDescent="0.25">
      <c r="B887" s="61"/>
      <c r="C887" s="61"/>
    </row>
    <row r="888" spans="2:3" x14ac:dyDescent="0.25">
      <c r="B888" s="61"/>
      <c r="C888" s="61"/>
    </row>
    <row r="889" spans="2:3" x14ac:dyDescent="0.25">
      <c r="B889" s="61"/>
      <c r="C889" s="61"/>
    </row>
    <row r="890" spans="2:3" x14ac:dyDescent="0.25">
      <c r="B890" s="61"/>
      <c r="C890" s="61"/>
    </row>
    <row r="891" spans="2:3" x14ac:dyDescent="0.25">
      <c r="B891" s="61"/>
      <c r="C891" s="61"/>
    </row>
    <row r="892" spans="2:3" x14ac:dyDescent="0.25">
      <c r="B892" s="61"/>
      <c r="C892" s="61"/>
    </row>
    <row r="893" spans="2:3" x14ac:dyDescent="0.25">
      <c r="B893" s="61"/>
      <c r="C893" s="61"/>
    </row>
    <row r="894" spans="2:3" x14ac:dyDescent="0.25">
      <c r="B894" s="61"/>
      <c r="C894" s="61"/>
    </row>
    <row r="895" spans="2:3" x14ac:dyDescent="0.25">
      <c r="B895" s="61"/>
      <c r="C895" s="61"/>
    </row>
    <row r="896" spans="2:3" x14ac:dyDescent="0.25">
      <c r="B896" s="61"/>
      <c r="C896" s="61"/>
    </row>
    <row r="897" spans="2:3" x14ac:dyDescent="0.25">
      <c r="B897" s="61"/>
      <c r="C897" s="61"/>
    </row>
    <row r="898" spans="2:3" x14ac:dyDescent="0.25">
      <c r="B898" s="61"/>
      <c r="C898" s="61"/>
    </row>
    <row r="899" spans="2:3" x14ac:dyDescent="0.25">
      <c r="B899" s="61"/>
      <c r="C899" s="61"/>
    </row>
    <row r="900" spans="2:3" x14ac:dyDescent="0.25">
      <c r="B900" s="61"/>
      <c r="C900" s="61"/>
    </row>
    <row r="901" spans="2:3" x14ac:dyDescent="0.25">
      <c r="B901" s="61"/>
      <c r="C901" s="61"/>
    </row>
    <row r="902" spans="2:3" x14ac:dyDescent="0.25">
      <c r="B902" s="61"/>
      <c r="C902" s="61"/>
    </row>
    <row r="903" spans="2:3" x14ac:dyDescent="0.25">
      <c r="B903" s="61"/>
      <c r="C903" s="61"/>
    </row>
    <row r="904" spans="2:3" x14ac:dyDescent="0.25">
      <c r="B904" s="61"/>
      <c r="C904" s="61"/>
    </row>
    <row r="905" spans="2:3" x14ac:dyDescent="0.25">
      <c r="B905" s="61"/>
      <c r="C905" s="61"/>
    </row>
    <row r="906" spans="2:3" x14ac:dyDescent="0.25">
      <c r="B906" s="61"/>
      <c r="C906" s="61"/>
    </row>
    <row r="907" spans="2:3" x14ac:dyDescent="0.25">
      <c r="B907" s="61"/>
      <c r="C907" s="61"/>
    </row>
    <row r="908" spans="2:3" x14ac:dyDescent="0.25">
      <c r="B908" s="61"/>
      <c r="C908" s="61"/>
    </row>
    <row r="909" spans="2:3" x14ac:dyDescent="0.25">
      <c r="B909" s="61"/>
      <c r="C909" s="61"/>
    </row>
    <row r="910" spans="2:3" x14ac:dyDescent="0.25">
      <c r="B910" s="61"/>
      <c r="C910" s="61"/>
    </row>
    <row r="911" spans="2:3" x14ac:dyDescent="0.25">
      <c r="B911" s="61"/>
      <c r="C911" s="61"/>
    </row>
    <row r="912" spans="2:3" x14ac:dyDescent="0.25">
      <c r="B912" s="61"/>
      <c r="C912" s="61"/>
    </row>
    <row r="913" spans="2:3" x14ac:dyDescent="0.25">
      <c r="B913" s="61"/>
      <c r="C913" s="61"/>
    </row>
    <row r="914" spans="2:3" x14ac:dyDescent="0.25">
      <c r="B914" s="61"/>
      <c r="C914" s="61"/>
    </row>
    <row r="915" spans="2:3" x14ac:dyDescent="0.25">
      <c r="B915" s="61"/>
      <c r="C915" s="61"/>
    </row>
    <row r="916" spans="2:3" x14ac:dyDescent="0.25">
      <c r="B916" s="61"/>
      <c r="C916" s="61"/>
    </row>
    <row r="917" spans="2:3" x14ac:dyDescent="0.25">
      <c r="B917" s="61"/>
      <c r="C917" s="61"/>
    </row>
    <row r="918" spans="2:3" x14ac:dyDescent="0.25">
      <c r="B918" s="61"/>
      <c r="C918" s="61"/>
    </row>
    <row r="919" spans="2:3" x14ac:dyDescent="0.25">
      <c r="B919" s="61"/>
      <c r="C919" s="61"/>
    </row>
    <row r="920" spans="2:3" x14ac:dyDescent="0.25">
      <c r="B920" s="61"/>
      <c r="C920" s="61"/>
    </row>
    <row r="921" spans="2:3" x14ac:dyDescent="0.25">
      <c r="B921" s="61"/>
      <c r="C921" s="61"/>
    </row>
    <row r="922" spans="2:3" x14ac:dyDescent="0.25">
      <c r="B922" s="61"/>
      <c r="C922" s="61"/>
    </row>
    <row r="923" spans="2:3" x14ac:dyDescent="0.25">
      <c r="B923" s="61"/>
      <c r="C923" s="61"/>
    </row>
    <row r="924" spans="2:3" x14ac:dyDescent="0.25">
      <c r="B924" s="61"/>
      <c r="C924" s="61"/>
    </row>
    <row r="925" spans="2:3" x14ac:dyDescent="0.25">
      <c r="B925" s="61"/>
      <c r="C925" s="61"/>
    </row>
    <row r="926" spans="2:3" x14ac:dyDescent="0.25">
      <c r="B926" s="61"/>
      <c r="C926" s="61"/>
    </row>
    <row r="927" spans="2:3" x14ac:dyDescent="0.25">
      <c r="B927" s="61"/>
      <c r="C927" s="61"/>
    </row>
    <row r="928" spans="2:3" x14ac:dyDescent="0.25">
      <c r="B928" s="61"/>
      <c r="C928" s="61"/>
    </row>
    <row r="929" spans="2:3" x14ac:dyDescent="0.25">
      <c r="B929" s="61"/>
      <c r="C929" s="61"/>
    </row>
    <row r="930" spans="2:3" x14ac:dyDescent="0.25">
      <c r="B930" s="61"/>
      <c r="C930" s="61"/>
    </row>
    <row r="931" spans="2:3" x14ac:dyDescent="0.25">
      <c r="B931" s="61"/>
      <c r="C931" s="61"/>
    </row>
    <row r="932" spans="2:3" x14ac:dyDescent="0.25">
      <c r="B932" s="61"/>
      <c r="C932" s="61"/>
    </row>
    <row r="933" spans="2:3" x14ac:dyDescent="0.25">
      <c r="B933" s="61"/>
      <c r="C933" s="61"/>
    </row>
    <row r="934" spans="2:3" x14ac:dyDescent="0.25">
      <c r="B934" s="61"/>
      <c r="C934" s="61"/>
    </row>
    <row r="935" spans="2:3" x14ac:dyDescent="0.25">
      <c r="B935" s="61"/>
      <c r="C935" s="61"/>
    </row>
    <row r="936" spans="2:3" x14ac:dyDescent="0.25">
      <c r="B936" s="61"/>
      <c r="C936" s="61"/>
    </row>
    <row r="937" spans="2:3" x14ac:dyDescent="0.25">
      <c r="B937" s="61"/>
      <c r="C937" s="61"/>
    </row>
    <row r="938" spans="2:3" x14ac:dyDescent="0.25">
      <c r="B938" s="61"/>
      <c r="C938" s="61"/>
    </row>
    <row r="939" spans="2:3" x14ac:dyDescent="0.25">
      <c r="B939" s="61"/>
      <c r="C939" s="61"/>
    </row>
    <row r="940" spans="2:3" x14ac:dyDescent="0.25">
      <c r="B940" s="61"/>
      <c r="C940" s="61"/>
    </row>
    <row r="941" spans="2:3" x14ac:dyDescent="0.25">
      <c r="B941" s="61"/>
      <c r="C941" s="61"/>
    </row>
    <row r="942" spans="2:3" x14ac:dyDescent="0.25">
      <c r="B942" s="61"/>
      <c r="C942" s="61"/>
    </row>
    <row r="943" spans="2:3" x14ac:dyDescent="0.25">
      <c r="B943" s="61"/>
      <c r="C943" s="61"/>
    </row>
    <row r="944" spans="2:3" x14ac:dyDescent="0.25">
      <c r="B944" s="61"/>
      <c r="C944" s="61"/>
    </row>
    <row r="945" spans="2:3" x14ac:dyDescent="0.25">
      <c r="B945" s="61"/>
      <c r="C945" s="61"/>
    </row>
    <row r="946" spans="2:3" x14ac:dyDescent="0.25">
      <c r="B946" s="61"/>
      <c r="C946" s="61"/>
    </row>
    <row r="947" spans="2:3" x14ac:dyDescent="0.25">
      <c r="B947" s="61"/>
      <c r="C947" s="61"/>
    </row>
    <row r="948" spans="2:3" x14ac:dyDescent="0.25">
      <c r="B948" s="61"/>
      <c r="C948" s="61"/>
    </row>
    <row r="949" spans="2:3" x14ac:dyDescent="0.25">
      <c r="B949" s="61"/>
      <c r="C949" s="61"/>
    </row>
    <row r="950" spans="2:3" x14ac:dyDescent="0.25">
      <c r="B950" s="61"/>
      <c r="C950" s="61"/>
    </row>
    <row r="951" spans="2:3" x14ac:dyDescent="0.25">
      <c r="B951" s="61"/>
      <c r="C951" s="61"/>
    </row>
    <row r="952" spans="2:3" x14ac:dyDescent="0.25">
      <c r="B952" s="61"/>
      <c r="C952" s="61"/>
    </row>
    <row r="953" spans="2:3" x14ac:dyDescent="0.25">
      <c r="B953" s="61"/>
      <c r="C953" s="61"/>
    </row>
    <row r="954" spans="2:3" x14ac:dyDescent="0.25">
      <c r="B954" s="61"/>
      <c r="C954" s="61"/>
    </row>
    <row r="955" spans="2:3" x14ac:dyDescent="0.25">
      <c r="B955" s="61"/>
      <c r="C955" s="61"/>
    </row>
    <row r="956" spans="2:3" x14ac:dyDescent="0.25">
      <c r="B956" s="61"/>
      <c r="C956" s="61"/>
    </row>
    <row r="957" spans="2:3" x14ac:dyDescent="0.25">
      <c r="B957" s="61"/>
      <c r="C957" s="61"/>
    </row>
    <row r="958" spans="2:3" x14ac:dyDescent="0.25">
      <c r="B958" s="61"/>
      <c r="C958" s="61"/>
    </row>
    <row r="959" spans="2:3" x14ac:dyDescent="0.25">
      <c r="B959" s="61"/>
      <c r="C959" s="61"/>
    </row>
    <row r="960" spans="2:3" x14ac:dyDescent="0.25">
      <c r="B960" s="61"/>
      <c r="C960" s="61"/>
    </row>
    <row r="961" spans="2:3" x14ac:dyDescent="0.25">
      <c r="B961" s="61"/>
      <c r="C961" s="61"/>
    </row>
    <row r="962" spans="2:3" x14ac:dyDescent="0.25">
      <c r="B962" s="61"/>
      <c r="C962" s="61"/>
    </row>
    <row r="963" spans="2:3" x14ac:dyDescent="0.25">
      <c r="B963" s="61"/>
      <c r="C963" s="61"/>
    </row>
    <row r="964" spans="2:3" x14ac:dyDescent="0.25">
      <c r="B964" s="61"/>
      <c r="C964" s="61"/>
    </row>
    <row r="965" spans="2:3" x14ac:dyDescent="0.25">
      <c r="B965" s="61"/>
      <c r="C965" s="61"/>
    </row>
    <row r="966" spans="2:3" x14ac:dyDescent="0.25">
      <c r="B966" s="61"/>
      <c r="C966" s="61"/>
    </row>
    <row r="967" spans="2:3" x14ac:dyDescent="0.25">
      <c r="B967" s="61"/>
      <c r="C967" s="61"/>
    </row>
    <row r="968" spans="2:3" x14ac:dyDescent="0.25">
      <c r="B968" s="61"/>
      <c r="C968" s="61"/>
    </row>
    <row r="969" spans="2:3" x14ac:dyDescent="0.25">
      <c r="B969" s="61"/>
      <c r="C969" s="61"/>
    </row>
    <row r="970" spans="2:3" x14ac:dyDescent="0.25">
      <c r="B970" s="61"/>
      <c r="C970" s="61"/>
    </row>
    <row r="971" spans="2:3" x14ac:dyDescent="0.25">
      <c r="B971" s="61"/>
      <c r="C971" s="61"/>
    </row>
    <row r="972" spans="2:3" x14ac:dyDescent="0.25">
      <c r="B972" s="61"/>
      <c r="C972" s="61"/>
    </row>
    <row r="973" spans="2:3" x14ac:dyDescent="0.25">
      <c r="B973" s="61"/>
      <c r="C973" s="61"/>
    </row>
    <row r="974" spans="2:3" x14ac:dyDescent="0.25">
      <c r="B974" s="61"/>
      <c r="C974" s="61"/>
    </row>
    <row r="975" spans="2:3" x14ac:dyDescent="0.25">
      <c r="B975" s="61"/>
      <c r="C975" s="61"/>
    </row>
    <row r="976" spans="2:3" x14ac:dyDescent="0.25">
      <c r="B976" s="61"/>
      <c r="C976" s="61"/>
    </row>
    <row r="977" spans="2:3" x14ac:dyDescent="0.25">
      <c r="B977" s="61"/>
      <c r="C977" s="61"/>
    </row>
    <row r="978" spans="2:3" x14ac:dyDescent="0.25">
      <c r="B978" s="61"/>
      <c r="C978" s="61"/>
    </row>
    <row r="979" spans="2:3" x14ac:dyDescent="0.25">
      <c r="B979" s="61"/>
      <c r="C979" s="61"/>
    </row>
    <row r="980" spans="2:3" x14ac:dyDescent="0.25">
      <c r="B980" s="61"/>
      <c r="C980" s="61"/>
    </row>
    <row r="981" spans="2:3" x14ac:dyDescent="0.25">
      <c r="B981" s="61"/>
      <c r="C981" s="61"/>
    </row>
    <row r="982" spans="2:3" x14ac:dyDescent="0.25">
      <c r="B982" s="61"/>
      <c r="C982" s="61"/>
    </row>
    <row r="983" spans="2:3" x14ac:dyDescent="0.25">
      <c r="B983" s="61"/>
      <c r="C983" s="61"/>
    </row>
    <row r="984" spans="2:3" x14ac:dyDescent="0.25">
      <c r="B984" s="61"/>
      <c r="C984" s="61"/>
    </row>
    <row r="985" spans="2:3" x14ac:dyDescent="0.25">
      <c r="B985" s="61"/>
      <c r="C985" s="61"/>
    </row>
    <row r="986" spans="2:3" x14ac:dyDescent="0.25">
      <c r="B986" s="61"/>
      <c r="C986" s="61"/>
    </row>
    <row r="987" spans="2:3" x14ac:dyDescent="0.25">
      <c r="B987" s="61"/>
      <c r="C987" s="61"/>
    </row>
    <row r="988" spans="2:3" x14ac:dyDescent="0.25">
      <c r="B988" s="61"/>
      <c r="C988" s="61"/>
    </row>
    <row r="989" spans="2:3" x14ac:dyDescent="0.25">
      <c r="B989" s="61"/>
      <c r="C989" s="61"/>
    </row>
    <row r="990" spans="2:3" x14ac:dyDescent="0.25">
      <c r="B990" s="61"/>
      <c r="C990" s="61"/>
    </row>
    <row r="991" spans="2:3" x14ac:dyDescent="0.25">
      <c r="B991" s="61"/>
      <c r="C991" s="61"/>
    </row>
    <row r="992" spans="2:3" x14ac:dyDescent="0.25">
      <c r="B992" s="61"/>
      <c r="C992" s="61"/>
    </row>
    <row r="993" spans="2:3" x14ac:dyDescent="0.25">
      <c r="B993" s="61"/>
      <c r="C993" s="61"/>
    </row>
    <row r="994" spans="2:3" x14ac:dyDescent="0.25">
      <c r="B994" s="61"/>
      <c r="C994" s="61"/>
    </row>
    <row r="995" spans="2:3" x14ac:dyDescent="0.25">
      <c r="B995" s="61"/>
      <c r="C995" s="61"/>
    </row>
    <row r="996" spans="2:3" x14ac:dyDescent="0.25">
      <c r="B996" s="61"/>
      <c r="C996" s="61"/>
    </row>
    <row r="997" spans="2:3" x14ac:dyDescent="0.25">
      <c r="B997" s="61"/>
      <c r="C997" s="61"/>
    </row>
    <row r="998" spans="2:3" x14ac:dyDescent="0.25">
      <c r="B998" s="61"/>
      <c r="C998" s="61"/>
    </row>
    <row r="999" spans="2:3" x14ac:dyDescent="0.25">
      <c r="B999" s="61"/>
      <c r="C999" s="61"/>
    </row>
    <row r="1000" spans="2:3" x14ac:dyDescent="0.25">
      <c r="B1000" s="61"/>
      <c r="C1000" s="61"/>
    </row>
    <row r="1001" spans="2:3" x14ac:dyDescent="0.25">
      <c r="B1001" s="61"/>
      <c r="C1001" s="61"/>
    </row>
    <row r="1002" spans="2:3" x14ac:dyDescent="0.25">
      <c r="B1002" s="61"/>
      <c r="C1002" s="61"/>
    </row>
    <row r="1003" spans="2:3" x14ac:dyDescent="0.25">
      <c r="B1003" s="61"/>
      <c r="C1003" s="61"/>
    </row>
    <row r="1004" spans="2:3" x14ac:dyDescent="0.25">
      <c r="B1004" s="61"/>
      <c r="C1004" s="61"/>
    </row>
    <row r="1005" spans="2:3" x14ac:dyDescent="0.25">
      <c r="B1005" s="61"/>
      <c r="C1005" s="61"/>
    </row>
    <row r="1006" spans="2:3" x14ac:dyDescent="0.25">
      <c r="B1006" s="61"/>
      <c r="C1006" s="61"/>
    </row>
    <row r="1007" spans="2:3" x14ac:dyDescent="0.25">
      <c r="B1007" s="61"/>
      <c r="C1007" s="61"/>
    </row>
    <row r="1008" spans="2:3" x14ac:dyDescent="0.25">
      <c r="B1008" s="61"/>
      <c r="C1008" s="61"/>
    </row>
    <row r="1009" spans="2:3" x14ac:dyDescent="0.25">
      <c r="B1009" s="61"/>
      <c r="C1009" s="61"/>
    </row>
    <row r="1010" spans="2:3" x14ac:dyDescent="0.25">
      <c r="B1010" s="61"/>
      <c r="C1010" s="61"/>
    </row>
    <row r="1011" spans="2:3" x14ac:dyDescent="0.25">
      <c r="B1011" s="61"/>
      <c r="C1011" s="61"/>
    </row>
    <row r="1012" spans="2:3" x14ac:dyDescent="0.25">
      <c r="B1012" s="61"/>
      <c r="C1012" s="61"/>
    </row>
    <row r="1013" spans="2:3" x14ac:dyDescent="0.25">
      <c r="B1013" s="61"/>
      <c r="C1013" s="61"/>
    </row>
    <row r="1014" spans="2:3" x14ac:dyDescent="0.25">
      <c r="B1014" s="61"/>
      <c r="C1014" s="61"/>
    </row>
    <row r="1015" spans="2:3" x14ac:dyDescent="0.25">
      <c r="B1015" s="61"/>
      <c r="C1015" s="61"/>
    </row>
    <row r="1016" spans="2:3" x14ac:dyDescent="0.25">
      <c r="B1016" s="61"/>
      <c r="C1016" s="61"/>
    </row>
    <row r="1017" spans="2:3" x14ac:dyDescent="0.25">
      <c r="B1017" s="61"/>
      <c r="C1017" s="61"/>
    </row>
    <row r="1018" spans="2:3" x14ac:dyDescent="0.25">
      <c r="B1018" s="61"/>
      <c r="C1018" s="61"/>
    </row>
    <row r="1019" spans="2:3" x14ac:dyDescent="0.25">
      <c r="B1019" s="61"/>
      <c r="C1019" s="61"/>
    </row>
    <row r="1020" spans="2:3" x14ac:dyDescent="0.25">
      <c r="B1020" s="61"/>
      <c r="C1020" s="61"/>
    </row>
    <row r="1021" spans="2:3" x14ac:dyDescent="0.25">
      <c r="B1021" s="61"/>
      <c r="C1021" s="61"/>
    </row>
    <row r="1022" spans="2:3" x14ac:dyDescent="0.25">
      <c r="B1022" s="61"/>
      <c r="C1022" s="61"/>
    </row>
    <row r="1023" spans="2:3" x14ac:dyDescent="0.25">
      <c r="B1023" s="61"/>
      <c r="C1023" s="61"/>
    </row>
    <row r="1024" spans="2:3" x14ac:dyDescent="0.25">
      <c r="B1024" s="61"/>
      <c r="C1024" s="61"/>
    </row>
    <row r="1025" spans="2:3" x14ac:dyDescent="0.25">
      <c r="B1025" s="61"/>
      <c r="C1025" s="61"/>
    </row>
    <row r="1026" spans="2:3" x14ac:dyDescent="0.25">
      <c r="B1026" s="61"/>
      <c r="C1026" s="61"/>
    </row>
    <row r="1027" spans="2:3" x14ac:dyDescent="0.25">
      <c r="B1027" s="61"/>
      <c r="C1027" s="61"/>
    </row>
    <row r="1028" spans="2:3" x14ac:dyDescent="0.25">
      <c r="B1028" s="61"/>
      <c r="C1028" s="61"/>
    </row>
    <row r="1029" spans="2:3" x14ac:dyDescent="0.25">
      <c r="B1029" s="61"/>
      <c r="C1029" s="61"/>
    </row>
    <row r="1030" spans="2:3" x14ac:dyDescent="0.25">
      <c r="B1030" s="61"/>
      <c r="C1030" s="61"/>
    </row>
    <row r="1031" spans="2:3" x14ac:dyDescent="0.25">
      <c r="B1031" s="61"/>
      <c r="C1031" s="61"/>
    </row>
    <row r="1032" spans="2:3" x14ac:dyDescent="0.25">
      <c r="B1032" s="61"/>
      <c r="C1032" s="61"/>
    </row>
    <row r="1033" spans="2:3" x14ac:dyDescent="0.25">
      <c r="B1033" s="61"/>
      <c r="C1033" s="61"/>
    </row>
    <row r="1034" spans="2:3" x14ac:dyDescent="0.25">
      <c r="B1034" s="61"/>
      <c r="C1034" s="61"/>
    </row>
  </sheetData>
  <mergeCells count="7">
    <mergeCell ref="A46:C46"/>
    <mergeCell ref="A1:C1"/>
    <mergeCell ref="F1:H1"/>
    <mergeCell ref="A17:C17"/>
    <mergeCell ref="F17:H17"/>
    <mergeCell ref="A32:C32"/>
    <mergeCell ref="F32:H3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1034"/>
  <sheetViews>
    <sheetView workbookViewId="0">
      <selection activeCell="C35" sqref="C35"/>
    </sheetView>
  </sheetViews>
  <sheetFormatPr defaultRowHeight="15" x14ac:dyDescent="0.25"/>
  <cols>
    <col min="1" max="1" width="34.7109375" customWidth="1"/>
    <col min="2" max="2" width="12.28515625" style="69" customWidth="1"/>
    <col min="3" max="3" width="12.7109375" style="70" customWidth="1"/>
    <col min="6" max="6" width="30.85546875" customWidth="1"/>
    <col min="7" max="7" width="13" customWidth="1"/>
    <col min="8" max="8" width="16.5703125" customWidth="1"/>
  </cols>
  <sheetData>
    <row r="1" spans="1:8" x14ac:dyDescent="0.25">
      <c r="A1" s="173" t="s">
        <v>150</v>
      </c>
      <c r="B1" s="174"/>
      <c r="C1" s="174"/>
      <c r="F1" s="175" t="s">
        <v>151</v>
      </c>
      <c r="G1" s="176"/>
      <c r="H1" s="176"/>
    </row>
    <row r="2" spans="1:8" x14ac:dyDescent="0.25">
      <c r="G2" s="69"/>
      <c r="H2" s="70"/>
    </row>
    <row r="3" spans="1:8" x14ac:dyDescent="0.25">
      <c r="G3" s="69"/>
      <c r="H3" s="70"/>
    </row>
    <row r="4" spans="1:8" ht="24" customHeight="1" x14ac:dyDescent="0.25">
      <c r="A4" t="s">
        <v>107</v>
      </c>
      <c r="C4" s="71">
        <v>136520</v>
      </c>
      <c r="F4" t="s">
        <v>107</v>
      </c>
      <c r="G4" s="69"/>
      <c r="H4" s="71">
        <v>0</v>
      </c>
    </row>
    <row r="5" spans="1:8" x14ac:dyDescent="0.25">
      <c r="A5" s="49" t="s">
        <v>108</v>
      </c>
      <c r="F5" s="49" t="s">
        <v>108</v>
      </c>
      <c r="G5" s="69"/>
      <c r="H5" s="70"/>
    </row>
    <row r="6" spans="1:8" x14ac:dyDescent="0.25">
      <c r="A6" t="s">
        <v>109</v>
      </c>
      <c r="B6" s="69">
        <v>1970</v>
      </c>
      <c r="F6" t="s">
        <v>109</v>
      </c>
      <c r="G6" s="69">
        <v>0</v>
      </c>
      <c r="H6" s="70"/>
    </row>
    <row r="7" spans="1:8" x14ac:dyDescent="0.25">
      <c r="A7" t="s">
        <v>110</v>
      </c>
      <c r="B7" s="69">
        <v>1200</v>
      </c>
      <c r="F7" t="s">
        <v>110</v>
      </c>
      <c r="G7" s="69">
        <v>0</v>
      </c>
      <c r="H7" s="70"/>
    </row>
    <row r="8" spans="1:8" x14ac:dyDescent="0.25">
      <c r="A8" t="s">
        <v>111</v>
      </c>
      <c r="B8" s="69">
        <v>4000</v>
      </c>
      <c r="F8" t="s">
        <v>111</v>
      </c>
      <c r="G8" s="69">
        <v>0</v>
      </c>
      <c r="H8" s="70"/>
    </row>
    <row r="9" spans="1:8" ht="48" customHeight="1" x14ac:dyDescent="0.25">
      <c r="A9" s="72" t="s">
        <v>133</v>
      </c>
      <c r="B9" s="69">
        <v>84650.59</v>
      </c>
      <c r="C9" s="70">
        <f>-B6-B7-B8-B9</f>
        <v>-91820.59</v>
      </c>
      <c r="F9" s="72" t="s">
        <v>133</v>
      </c>
      <c r="G9" s="69">
        <v>0</v>
      </c>
      <c r="H9" s="70">
        <f>-G6-G7-G8-G9</f>
        <v>0</v>
      </c>
    </row>
    <row r="10" spans="1:8" x14ac:dyDescent="0.25">
      <c r="G10" s="69"/>
      <c r="H10" s="70"/>
    </row>
    <row r="11" spans="1:8" ht="15.75" thickBot="1" x14ac:dyDescent="0.3">
      <c r="C11" s="73">
        <f>C4+C9</f>
        <v>44699.41</v>
      </c>
      <c r="G11" s="69"/>
      <c r="H11" s="73">
        <f>H4+H9</f>
        <v>0</v>
      </c>
    </row>
    <row r="12" spans="1:8" x14ac:dyDescent="0.25">
      <c r="G12" s="69"/>
      <c r="H12" s="70"/>
    </row>
    <row r="17" spans="1:8" x14ac:dyDescent="0.25">
      <c r="A17" s="159" t="s">
        <v>147</v>
      </c>
      <c r="B17" s="160"/>
      <c r="C17" s="160"/>
      <c r="F17" s="165" t="s">
        <v>146</v>
      </c>
      <c r="G17" s="166"/>
      <c r="H17" s="166"/>
    </row>
    <row r="18" spans="1:8" x14ac:dyDescent="0.25">
      <c r="G18" s="69"/>
      <c r="H18" s="70"/>
    </row>
    <row r="19" spans="1:8" x14ac:dyDescent="0.25">
      <c r="G19" s="69"/>
      <c r="H19" s="70"/>
    </row>
    <row r="20" spans="1:8" x14ac:dyDescent="0.25">
      <c r="A20" t="s">
        <v>107</v>
      </c>
      <c r="C20" s="71">
        <v>133506</v>
      </c>
      <c r="F20" t="s">
        <v>107</v>
      </c>
      <c r="G20" s="69"/>
      <c r="H20" s="71">
        <v>169093</v>
      </c>
    </row>
    <row r="21" spans="1:8" x14ac:dyDescent="0.25">
      <c r="A21" s="49" t="s">
        <v>108</v>
      </c>
      <c r="F21" s="49" t="s">
        <v>108</v>
      </c>
      <c r="G21" s="69"/>
      <c r="H21" s="70"/>
    </row>
    <row r="22" spans="1:8" x14ac:dyDescent="0.25">
      <c r="A22" t="s">
        <v>109</v>
      </c>
      <c r="B22" s="69">
        <v>2235</v>
      </c>
      <c r="F22" t="s">
        <v>109</v>
      </c>
      <c r="G22" s="69">
        <v>1970</v>
      </c>
      <c r="H22" s="70"/>
    </row>
    <row r="23" spans="1:8" x14ac:dyDescent="0.25">
      <c r="A23" t="s">
        <v>110</v>
      </c>
      <c r="B23" s="69">
        <v>1300</v>
      </c>
      <c r="F23" t="s">
        <v>110</v>
      </c>
      <c r="G23" s="69">
        <v>1300</v>
      </c>
      <c r="H23" s="70"/>
    </row>
    <row r="24" spans="1:8" x14ac:dyDescent="0.25">
      <c r="A24" t="s">
        <v>111</v>
      </c>
      <c r="B24" s="69">
        <v>4000</v>
      </c>
      <c r="F24" t="s">
        <v>111</v>
      </c>
      <c r="G24" s="69">
        <v>4000</v>
      </c>
      <c r="H24" s="70"/>
    </row>
    <row r="25" spans="1:8" ht="45" x14ac:dyDescent="0.25">
      <c r="A25" s="72" t="s">
        <v>133</v>
      </c>
      <c r="B25" s="69">
        <v>91035</v>
      </c>
      <c r="C25" s="70">
        <f>-B22-B23-B24-B25</f>
        <v>-98570</v>
      </c>
      <c r="F25" s="72" t="s">
        <v>133</v>
      </c>
      <c r="G25" s="69">
        <v>113952.99</v>
      </c>
      <c r="H25" s="70">
        <f>-G22-G23-G24-G25</f>
        <v>-121222.99</v>
      </c>
    </row>
    <row r="26" spans="1:8" x14ac:dyDescent="0.25">
      <c r="G26" s="69"/>
      <c r="H26" s="70"/>
    </row>
    <row r="27" spans="1:8" ht="15.75" thickBot="1" x14ac:dyDescent="0.3">
      <c r="C27" s="73">
        <f>C20+C25</f>
        <v>34936</v>
      </c>
      <c r="G27" s="69"/>
      <c r="H27" s="73">
        <f>H20+H25</f>
        <v>47870.009999999995</v>
      </c>
    </row>
    <row r="32" spans="1:8" x14ac:dyDescent="0.25">
      <c r="A32" s="167" t="s">
        <v>141</v>
      </c>
      <c r="B32" s="168"/>
      <c r="C32" s="168"/>
      <c r="F32" s="169" t="s">
        <v>148</v>
      </c>
      <c r="G32" s="170"/>
      <c r="H32" s="170"/>
    </row>
    <row r="33" spans="1:8" x14ac:dyDescent="0.25">
      <c r="G33" s="69"/>
      <c r="H33" s="70"/>
    </row>
    <row r="34" spans="1:8" x14ac:dyDescent="0.25">
      <c r="C34" s="74"/>
      <c r="G34" s="69"/>
      <c r="H34" s="70"/>
    </row>
    <row r="35" spans="1:8" x14ac:dyDescent="0.25">
      <c r="A35" t="s">
        <v>107</v>
      </c>
      <c r="C35" s="71" t="e">
        <f>+#REF!+#REF!</f>
        <v>#REF!</v>
      </c>
      <c r="F35" t="s">
        <v>107</v>
      </c>
      <c r="G35" s="69"/>
      <c r="H35" s="71">
        <v>0</v>
      </c>
    </row>
    <row r="36" spans="1:8" x14ac:dyDescent="0.25">
      <c r="A36" s="49" t="s">
        <v>108</v>
      </c>
      <c r="F36" s="49" t="s">
        <v>108</v>
      </c>
      <c r="G36" s="69"/>
      <c r="H36" s="70"/>
    </row>
    <row r="37" spans="1:8" x14ac:dyDescent="0.25">
      <c r="A37" t="s">
        <v>109</v>
      </c>
      <c r="B37" s="69">
        <v>5883</v>
      </c>
      <c r="F37" t="s">
        <v>109</v>
      </c>
      <c r="G37" s="69">
        <v>0</v>
      </c>
      <c r="H37" s="70"/>
    </row>
    <row r="38" spans="1:8" x14ac:dyDescent="0.25">
      <c r="A38" t="s">
        <v>110</v>
      </c>
      <c r="B38" s="69">
        <v>2350</v>
      </c>
      <c r="F38" t="s">
        <v>110</v>
      </c>
      <c r="G38" s="69">
        <v>0</v>
      </c>
      <c r="H38" s="70"/>
    </row>
    <row r="39" spans="1:8" x14ac:dyDescent="0.25">
      <c r="A39" t="s">
        <v>111</v>
      </c>
      <c r="B39" s="69">
        <v>4000</v>
      </c>
      <c r="F39" t="s">
        <v>111</v>
      </c>
      <c r="G39" s="69">
        <v>0</v>
      </c>
      <c r="H39" s="70"/>
    </row>
    <row r="40" spans="1:8" ht="45" x14ac:dyDescent="0.25">
      <c r="A40" s="72" t="s">
        <v>133</v>
      </c>
      <c r="B40" s="69" t="e">
        <f>+#REF!+#REF!</f>
        <v>#REF!</v>
      </c>
      <c r="C40" s="70" t="e">
        <f>-B37-B38-B39-B40</f>
        <v>#REF!</v>
      </c>
      <c r="F40" s="72" t="s">
        <v>133</v>
      </c>
      <c r="G40" s="69">
        <v>0</v>
      </c>
      <c r="H40" s="70">
        <f>-G37-G38-G39-G40</f>
        <v>0</v>
      </c>
    </row>
    <row r="41" spans="1:8" x14ac:dyDescent="0.25">
      <c r="G41" s="69"/>
      <c r="H41" s="70"/>
    </row>
    <row r="42" spans="1:8" ht="15.75" thickBot="1" x14ac:dyDescent="0.3">
      <c r="C42" s="73" t="e">
        <f>C35+C40</f>
        <v>#REF!</v>
      </c>
      <c r="G42" s="69"/>
      <c r="H42" s="73">
        <f>H35+H40</f>
        <v>0</v>
      </c>
    </row>
    <row r="46" spans="1:8" x14ac:dyDescent="0.25">
      <c r="A46" s="171" t="s">
        <v>149</v>
      </c>
      <c r="B46" s="172"/>
      <c r="C46" s="172"/>
    </row>
    <row r="49" spans="1:3" x14ac:dyDescent="0.25">
      <c r="A49" t="s">
        <v>107</v>
      </c>
      <c r="C49" s="71">
        <v>156710</v>
      </c>
    </row>
    <row r="50" spans="1:3" x14ac:dyDescent="0.25">
      <c r="A50" s="49" t="s">
        <v>108</v>
      </c>
    </row>
    <row r="51" spans="1:3" x14ac:dyDescent="0.25">
      <c r="A51" t="s">
        <v>109</v>
      </c>
      <c r="B51" s="69">
        <v>13500</v>
      </c>
    </row>
    <row r="52" spans="1:3" x14ac:dyDescent="0.25">
      <c r="A52" t="s">
        <v>110</v>
      </c>
      <c r="B52" s="69">
        <v>2000</v>
      </c>
    </row>
    <row r="53" spans="1:3" x14ac:dyDescent="0.25">
      <c r="A53" t="s">
        <v>111</v>
      </c>
      <c r="B53" s="69">
        <v>6000</v>
      </c>
    </row>
    <row r="54" spans="1:3" ht="45" x14ac:dyDescent="0.25">
      <c r="A54" s="72" t="s">
        <v>133</v>
      </c>
      <c r="B54" s="69">
        <v>109151</v>
      </c>
      <c r="C54" s="70">
        <f>-B51-B52-B53-B54</f>
        <v>-130651</v>
      </c>
    </row>
    <row r="56" spans="1:3" ht="15.75" thickBot="1" x14ac:dyDescent="0.3">
      <c r="C56" s="73">
        <f>C49+C54</f>
        <v>26059</v>
      </c>
    </row>
    <row r="59" spans="1:3" x14ac:dyDescent="0.25">
      <c r="B59" s="61"/>
      <c r="C59" s="61"/>
    </row>
    <row r="60" spans="1:3" x14ac:dyDescent="0.25">
      <c r="B60" s="61"/>
      <c r="C60" s="61"/>
    </row>
    <row r="61" spans="1:3" x14ac:dyDescent="0.25">
      <c r="B61" s="61"/>
      <c r="C61" s="61"/>
    </row>
    <row r="62" spans="1:3" x14ac:dyDescent="0.25">
      <c r="B62" s="61"/>
      <c r="C62" s="61"/>
    </row>
    <row r="63" spans="1:3" x14ac:dyDescent="0.25">
      <c r="B63" s="61"/>
      <c r="C63" s="61"/>
    </row>
    <row r="64" spans="1:3" x14ac:dyDescent="0.25">
      <c r="B64" s="61"/>
      <c r="C64" s="61"/>
    </row>
    <row r="65" spans="2:3" x14ac:dyDescent="0.25">
      <c r="B65" s="61"/>
      <c r="C65" s="61"/>
    </row>
    <row r="66" spans="2:3" x14ac:dyDescent="0.25">
      <c r="B66" s="61"/>
      <c r="C66" s="61"/>
    </row>
    <row r="67" spans="2:3" x14ac:dyDescent="0.25">
      <c r="B67" s="61"/>
      <c r="C67" s="61"/>
    </row>
    <row r="68" spans="2:3" x14ac:dyDescent="0.25">
      <c r="B68" s="61"/>
      <c r="C68" s="61"/>
    </row>
    <row r="69" spans="2:3" x14ac:dyDescent="0.25">
      <c r="B69" s="61"/>
      <c r="C69" s="61"/>
    </row>
    <row r="70" spans="2:3" x14ac:dyDescent="0.25">
      <c r="B70" s="61"/>
      <c r="C70" s="61"/>
    </row>
    <row r="71" spans="2:3" x14ac:dyDescent="0.25">
      <c r="B71" s="61"/>
      <c r="C71" s="61"/>
    </row>
    <row r="72" spans="2:3" x14ac:dyDescent="0.25">
      <c r="B72" s="61"/>
      <c r="C72" s="61"/>
    </row>
    <row r="73" spans="2:3" x14ac:dyDescent="0.25">
      <c r="B73" s="61"/>
      <c r="C73" s="61"/>
    </row>
    <row r="74" spans="2:3" x14ac:dyDescent="0.25">
      <c r="B74" s="61"/>
      <c r="C74" s="61"/>
    </row>
    <row r="75" spans="2:3" x14ac:dyDescent="0.25">
      <c r="B75" s="61"/>
      <c r="C75" s="61"/>
    </row>
    <row r="76" spans="2:3" x14ac:dyDescent="0.25">
      <c r="B76" s="61"/>
      <c r="C76" s="61"/>
    </row>
    <row r="77" spans="2:3" x14ac:dyDescent="0.25">
      <c r="B77" s="61"/>
      <c r="C77" s="61"/>
    </row>
    <row r="78" spans="2:3" x14ac:dyDescent="0.25">
      <c r="B78" s="61"/>
      <c r="C78" s="61"/>
    </row>
    <row r="79" spans="2:3" x14ac:dyDescent="0.25">
      <c r="B79" s="61"/>
      <c r="C79" s="61"/>
    </row>
    <row r="80" spans="2:3" x14ac:dyDescent="0.25">
      <c r="B80" s="61"/>
      <c r="C80" s="61"/>
    </row>
    <row r="81" spans="2:3" x14ac:dyDescent="0.25">
      <c r="B81" s="61"/>
      <c r="C81" s="61"/>
    </row>
    <row r="82" spans="2:3" x14ac:dyDescent="0.25">
      <c r="B82" s="61"/>
      <c r="C82" s="61"/>
    </row>
    <row r="83" spans="2:3" x14ac:dyDescent="0.25">
      <c r="B83" s="61"/>
      <c r="C83" s="61"/>
    </row>
    <row r="84" spans="2:3" x14ac:dyDescent="0.25">
      <c r="B84" s="61"/>
      <c r="C84" s="61"/>
    </row>
    <row r="85" spans="2:3" x14ac:dyDescent="0.25">
      <c r="B85" s="61"/>
      <c r="C85" s="61"/>
    </row>
    <row r="86" spans="2:3" x14ac:dyDescent="0.25">
      <c r="B86" s="61"/>
      <c r="C86" s="61"/>
    </row>
    <row r="87" spans="2:3" x14ac:dyDescent="0.25">
      <c r="B87" s="61"/>
      <c r="C87" s="61"/>
    </row>
    <row r="88" spans="2:3" x14ac:dyDescent="0.25">
      <c r="B88" s="61"/>
      <c r="C88" s="61"/>
    </row>
    <row r="89" spans="2:3" x14ac:dyDescent="0.25">
      <c r="B89" s="61"/>
      <c r="C89" s="61"/>
    </row>
    <row r="90" spans="2:3" x14ac:dyDescent="0.25">
      <c r="B90" s="61"/>
      <c r="C90" s="61"/>
    </row>
    <row r="91" spans="2:3" x14ac:dyDescent="0.25">
      <c r="B91" s="61"/>
      <c r="C91" s="61"/>
    </row>
    <row r="92" spans="2:3" x14ac:dyDescent="0.25">
      <c r="B92" s="61"/>
      <c r="C92" s="61"/>
    </row>
    <row r="93" spans="2:3" x14ac:dyDescent="0.25">
      <c r="B93" s="61"/>
      <c r="C93" s="61"/>
    </row>
    <row r="94" spans="2:3" x14ac:dyDescent="0.25">
      <c r="B94" s="61"/>
      <c r="C94" s="61"/>
    </row>
    <row r="95" spans="2:3" x14ac:dyDescent="0.25">
      <c r="B95" s="61"/>
      <c r="C95" s="61"/>
    </row>
    <row r="96" spans="2:3" x14ac:dyDescent="0.25">
      <c r="B96" s="61"/>
      <c r="C96" s="61"/>
    </row>
    <row r="97" spans="2:3" x14ac:dyDescent="0.25">
      <c r="B97" s="61"/>
      <c r="C97" s="61"/>
    </row>
    <row r="98" spans="2:3" x14ac:dyDescent="0.25">
      <c r="B98" s="61"/>
      <c r="C98" s="61"/>
    </row>
    <row r="99" spans="2:3" x14ac:dyDescent="0.25">
      <c r="B99" s="61"/>
      <c r="C99" s="61"/>
    </row>
    <row r="100" spans="2:3" x14ac:dyDescent="0.25">
      <c r="B100" s="61"/>
      <c r="C100" s="61"/>
    </row>
    <row r="101" spans="2:3" x14ac:dyDescent="0.25">
      <c r="B101" s="61"/>
      <c r="C101" s="61"/>
    </row>
    <row r="102" spans="2:3" x14ac:dyDescent="0.25">
      <c r="B102" s="61"/>
      <c r="C102" s="61"/>
    </row>
    <row r="103" spans="2:3" x14ac:dyDescent="0.25">
      <c r="B103" s="61"/>
      <c r="C103" s="61"/>
    </row>
    <row r="104" spans="2:3" x14ac:dyDescent="0.25">
      <c r="B104" s="61"/>
      <c r="C104" s="61"/>
    </row>
    <row r="105" spans="2:3" x14ac:dyDescent="0.25">
      <c r="B105" s="61"/>
      <c r="C105" s="61"/>
    </row>
    <row r="106" spans="2:3" x14ac:dyDescent="0.25">
      <c r="B106" s="61"/>
      <c r="C106" s="61"/>
    </row>
    <row r="107" spans="2:3" x14ac:dyDescent="0.25">
      <c r="B107" s="61"/>
      <c r="C107" s="61"/>
    </row>
    <row r="108" spans="2:3" x14ac:dyDescent="0.25">
      <c r="B108" s="61"/>
      <c r="C108" s="61"/>
    </row>
    <row r="109" spans="2:3" x14ac:dyDescent="0.25">
      <c r="B109" s="61"/>
      <c r="C109" s="61"/>
    </row>
    <row r="110" spans="2:3" x14ac:dyDescent="0.25">
      <c r="B110" s="61"/>
      <c r="C110" s="61"/>
    </row>
    <row r="111" spans="2:3" x14ac:dyDescent="0.25">
      <c r="B111" s="61"/>
      <c r="C111" s="61"/>
    </row>
    <row r="112" spans="2:3" x14ac:dyDescent="0.25">
      <c r="B112" s="61"/>
      <c r="C112" s="61"/>
    </row>
    <row r="113" spans="2:3" x14ac:dyDescent="0.25">
      <c r="B113" s="61"/>
      <c r="C113" s="61"/>
    </row>
    <row r="114" spans="2:3" x14ac:dyDescent="0.25">
      <c r="B114" s="61"/>
      <c r="C114" s="61"/>
    </row>
    <row r="115" spans="2:3" x14ac:dyDescent="0.25">
      <c r="B115" s="61"/>
      <c r="C115" s="61"/>
    </row>
    <row r="116" spans="2:3" x14ac:dyDescent="0.25">
      <c r="B116" s="61"/>
      <c r="C116" s="61"/>
    </row>
    <row r="117" spans="2:3" x14ac:dyDescent="0.25">
      <c r="B117" s="61"/>
      <c r="C117" s="61"/>
    </row>
    <row r="118" spans="2:3" x14ac:dyDescent="0.25">
      <c r="B118" s="61"/>
      <c r="C118" s="61"/>
    </row>
    <row r="119" spans="2:3" x14ac:dyDescent="0.25">
      <c r="B119" s="61"/>
      <c r="C119" s="61"/>
    </row>
    <row r="120" spans="2:3" x14ac:dyDescent="0.25">
      <c r="B120" s="61"/>
      <c r="C120" s="61"/>
    </row>
    <row r="121" spans="2:3" x14ac:dyDescent="0.25">
      <c r="B121" s="61"/>
      <c r="C121" s="61"/>
    </row>
    <row r="122" spans="2:3" x14ac:dyDescent="0.25">
      <c r="B122" s="61"/>
      <c r="C122" s="61"/>
    </row>
    <row r="123" spans="2:3" x14ac:dyDescent="0.25">
      <c r="B123" s="61"/>
      <c r="C123" s="61"/>
    </row>
    <row r="124" spans="2:3" x14ac:dyDescent="0.25">
      <c r="B124" s="61"/>
      <c r="C124" s="61"/>
    </row>
    <row r="125" spans="2:3" x14ac:dyDescent="0.25">
      <c r="B125" s="61"/>
      <c r="C125" s="61"/>
    </row>
    <row r="126" spans="2:3" x14ac:dyDescent="0.25">
      <c r="B126" s="61"/>
      <c r="C126" s="61"/>
    </row>
    <row r="127" spans="2:3" x14ac:dyDescent="0.25">
      <c r="B127" s="61"/>
      <c r="C127" s="61"/>
    </row>
    <row r="128" spans="2:3" x14ac:dyDescent="0.25">
      <c r="B128" s="61"/>
      <c r="C128" s="61"/>
    </row>
    <row r="129" spans="2:3" x14ac:dyDescent="0.25">
      <c r="B129" s="61"/>
      <c r="C129" s="61"/>
    </row>
    <row r="130" spans="2:3" x14ac:dyDescent="0.25">
      <c r="B130" s="61"/>
      <c r="C130" s="61"/>
    </row>
    <row r="131" spans="2:3" x14ac:dyDescent="0.25">
      <c r="B131" s="61"/>
      <c r="C131" s="61"/>
    </row>
    <row r="132" spans="2:3" x14ac:dyDescent="0.25">
      <c r="B132" s="61"/>
      <c r="C132" s="61"/>
    </row>
    <row r="133" spans="2:3" x14ac:dyDescent="0.25">
      <c r="B133" s="61"/>
      <c r="C133" s="61"/>
    </row>
    <row r="134" spans="2:3" x14ac:dyDescent="0.25">
      <c r="B134" s="61"/>
      <c r="C134" s="61"/>
    </row>
    <row r="135" spans="2:3" x14ac:dyDescent="0.25">
      <c r="B135" s="61"/>
      <c r="C135" s="61"/>
    </row>
    <row r="136" spans="2:3" x14ac:dyDescent="0.25">
      <c r="B136" s="61"/>
      <c r="C136" s="61"/>
    </row>
    <row r="137" spans="2:3" x14ac:dyDescent="0.25">
      <c r="B137" s="61"/>
      <c r="C137" s="61"/>
    </row>
    <row r="138" spans="2:3" x14ac:dyDescent="0.25">
      <c r="B138" s="61"/>
      <c r="C138" s="61"/>
    </row>
    <row r="139" spans="2:3" x14ac:dyDescent="0.25">
      <c r="B139" s="61"/>
      <c r="C139" s="61"/>
    </row>
    <row r="140" spans="2:3" x14ac:dyDescent="0.25">
      <c r="B140" s="61"/>
      <c r="C140" s="61"/>
    </row>
    <row r="141" spans="2:3" x14ac:dyDescent="0.25">
      <c r="B141" s="61"/>
      <c r="C141" s="61"/>
    </row>
    <row r="142" spans="2:3" x14ac:dyDescent="0.25">
      <c r="B142" s="61"/>
      <c r="C142" s="61"/>
    </row>
    <row r="143" spans="2:3" x14ac:dyDescent="0.25">
      <c r="B143" s="61"/>
      <c r="C143" s="61"/>
    </row>
    <row r="144" spans="2:3" x14ac:dyDescent="0.25">
      <c r="B144" s="61"/>
      <c r="C144" s="61"/>
    </row>
    <row r="145" spans="2:3" x14ac:dyDescent="0.25">
      <c r="B145" s="61"/>
      <c r="C145" s="61"/>
    </row>
    <row r="146" spans="2:3" x14ac:dyDescent="0.25">
      <c r="B146" s="61"/>
      <c r="C146" s="61"/>
    </row>
    <row r="147" spans="2:3" x14ac:dyDescent="0.25">
      <c r="B147" s="61"/>
      <c r="C147" s="61"/>
    </row>
    <row r="148" spans="2:3" x14ac:dyDescent="0.25">
      <c r="B148" s="61"/>
      <c r="C148" s="61"/>
    </row>
    <row r="149" spans="2:3" x14ac:dyDescent="0.25">
      <c r="B149" s="61"/>
      <c r="C149" s="61"/>
    </row>
    <row r="150" spans="2:3" x14ac:dyDescent="0.25">
      <c r="B150" s="61"/>
      <c r="C150" s="61"/>
    </row>
    <row r="151" spans="2:3" x14ac:dyDescent="0.25">
      <c r="B151" s="61"/>
      <c r="C151" s="61"/>
    </row>
    <row r="152" spans="2:3" x14ac:dyDescent="0.25">
      <c r="B152" s="61"/>
      <c r="C152" s="61"/>
    </row>
    <row r="153" spans="2:3" x14ac:dyDescent="0.25">
      <c r="B153" s="61"/>
      <c r="C153" s="61"/>
    </row>
    <row r="154" spans="2:3" x14ac:dyDescent="0.25">
      <c r="B154" s="61"/>
      <c r="C154" s="61"/>
    </row>
    <row r="155" spans="2:3" x14ac:dyDescent="0.25">
      <c r="B155" s="61"/>
      <c r="C155" s="61"/>
    </row>
    <row r="156" spans="2:3" x14ac:dyDescent="0.25">
      <c r="B156" s="61"/>
      <c r="C156" s="61"/>
    </row>
    <row r="157" spans="2:3" x14ac:dyDescent="0.25">
      <c r="B157" s="61"/>
      <c r="C157" s="61"/>
    </row>
    <row r="158" spans="2:3" x14ac:dyDescent="0.25">
      <c r="B158" s="61"/>
      <c r="C158" s="61"/>
    </row>
    <row r="159" spans="2:3" x14ac:dyDescent="0.25">
      <c r="B159" s="61"/>
      <c r="C159" s="61"/>
    </row>
    <row r="160" spans="2:3" x14ac:dyDescent="0.25">
      <c r="B160" s="61"/>
      <c r="C160" s="61"/>
    </row>
    <row r="161" spans="2:3" x14ac:dyDescent="0.25">
      <c r="B161" s="61"/>
      <c r="C161" s="61"/>
    </row>
    <row r="162" spans="2:3" x14ac:dyDescent="0.25">
      <c r="B162" s="61"/>
      <c r="C162" s="61"/>
    </row>
    <row r="163" spans="2:3" x14ac:dyDescent="0.25">
      <c r="B163" s="61"/>
      <c r="C163" s="61"/>
    </row>
    <row r="164" spans="2:3" x14ac:dyDescent="0.25">
      <c r="B164" s="61"/>
      <c r="C164" s="61"/>
    </row>
    <row r="165" spans="2:3" x14ac:dyDescent="0.25">
      <c r="B165" s="61"/>
      <c r="C165" s="61"/>
    </row>
    <row r="166" spans="2:3" x14ac:dyDescent="0.25">
      <c r="B166" s="61"/>
      <c r="C166" s="61"/>
    </row>
    <row r="167" spans="2:3" x14ac:dyDescent="0.25">
      <c r="B167" s="61"/>
      <c r="C167" s="61"/>
    </row>
    <row r="168" spans="2:3" x14ac:dyDescent="0.25">
      <c r="B168" s="61"/>
      <c r="C168" s="61"/>
    </row>
    <row r="169" spans="2:3" x14ac:dyDescent="0.25">
      <c r="B169" s="61"/>
      <c r="C169" s="61"/>
    </row>
    <row r="170" spans="2:3" x14ac:dyDescent="0.25">
      <c r="B170" s="61"/>
      <c r="C170" s="61"/>
    </row>
    <row r="171" spans="2:3" x14ac:dyDescent="0.25">
      <c r="B171" s="61"/>
      <c r="C171" s="61"/>
    </row>
    <row r="172" spans="2:3" x14ac:dyDescent="0.25">
      <c r="B172" s="61"/>
      <c r="C172" s="61"/>
    </row>
    <row r="173" spans="2:3" x14ac:dyDescent="0.25">
      <c r="B173" s="61"/>
      <c r="C173" s="61"/>
    </row>
    <row r="174" spans="2:3" x14ac:dyDescent="0.25">
      <c r="B174" s="61"/>
      <c r="C174" s="61"/>
    </row>
    <row r="175" spans="2:3" x14ac:dyDescent="0.25">
      <c r="B175" s="61"/>
      <c r="C175" s="61"/>
    </row>
    <row r="176" spans="2:3" x14ac:dyDescent="0.25">
      <c r="B176" s="61"/>
      <c r="C176" s="61"/>
    </row>
    <row r="177" spans="2:3" x14ac:dyDescent="0.25">
      <c r="B177" s="61"/>
      <c r="C177" s="61"/>
    </row>
    <row r="178" spans="2:3" x14ac:dyDescent="0.25">
      <c r="B178" s="61"/>
      <c r="C178" s="61"/>
    </row>
    <row r="179" spans="2:3" x14ac:dyDescent="0.25">
      <c r="B179" s="61"/>
      <c r="C179" s="61"/>
    </row>
    <row r="180" spans="2:3" x14ac:dyDescent="0.25">
      <c r="B180" s="61"/>
      <c r="C180" s="61"/>
    </row>
    <row r="181" spans="2:3" x14ac:dyDescent="0.25">
      <c r="B181" s="61"/>
      <c r="C181" s="61"/>
    </row>
    <row r="182" spans="2:3" x14ac:dyDescent="0.25">
      <c r="B182" s="61"/>
      <c r="C182" s="61"/>
    </row>
    <row r="183" spans="2:3" x14ac:dyDescent="0.25">
      <c r="B183" s="61"/>
      <c r="C183" s="61"/>
    </row>
    <row r="184" spans="2:3" x14ac:dyDescent="0.25">
      <c r="B184" s="61"/>
      <c r="C184" s="61"/>
    </row>
    <row r="185" spans="2:3" x14ac:dyDescent="0.25">
      <c r="B185" s="61"/>
      <c r="C185" s="61"/>
    </row>
    <row r="186" spans="2:3" x14ac:dyDescent="0.25">
      <c r="B186" s="61"/>
      <c r="C186" s="61"/>
    </row>
    <row r="187" spans="2:3" x14ac:dyDescent="0.25">
      <c r="B187" s="61"/>
      <c r="C187" s="61"/>
    </row>
    <row r="188" spans="2:3" x14ac:dyDescent="0.25">
      <c r="B188" s="61"/>
      <c r="C188" s="61"/>
    </row>
    <row r="189" spans="2:3" x14ac:dyDescent="0.25">
      <c r="B189" s="61"/>
      <c r="C189" s="61"/>
    </row>
    <row r="190" spans="2:3" x14ac:dyDescent="0.25">
      <c r="B190" s="61"/>
      <c r="C190" s="61"/>
    </row>
    <row r="191" spans="2:3" x14ac:dyDescent="0.25">
      <c r="B191" s="61"/>
      <c r="C191" s="61"/>
    </row>
    <row r="192" spans="2:3" x14ac:dyDescent="0.25">
      <c r="B192" s="61"/>
      <c r="C192" s="61"/>
    </row>
    <row r="193" spans="2:3" x14ac:dyDescent="0.25">
      <c r="B193" s="61"/>
      <c r="C193" s="61"/>
    </row>
    <row r="194" spans="2:3" x14ac:dyDescent="0.25">
      <c r="B194" s="61"/>
      <c r="C194" s="61"/>
    </row>
    <row r="195" spans="2:3" x14ac:dyDescent="0.25">
      <c r="B195" s="61"/>
      <c r="C195" s="61"/>
    </row>
    <row r="196" spans="2:3" x14ac:dyDescent="0.25">
      <c r="B196" s="61"/>
      <c r="C196" s="61"/>
    </row>
    <row r="197" spans="2:3" x14ac:dyDescent="0.25">
      <c r="B197" s="61"/>
      <c r="C197" s="61"/>
    </row>
    <row r="198" spans="2:3" x14ac:dyDescent="0.25">
      <c r="B198" s="61"/>
      <c r="C198" s="61"/>
    </row>
    <row r="199" spans="2:3" x14ac:dyDescent="0.25">
      <c r="B199" s="61"/>
      <c r="C199" s="61"/>
    </row>
    <row r="200" spans="2:3" x14ac:dyDescent="0.25">
      <c r="B200" s="61"/>
      <c r="C200" s="61"/>
    </row>
    <row r="201" spans="2:3" x14ac:dyDescent="0.25">
      <c r="B201" s="61"/>
      <c r="C201" s="61"/>
    </row>
    <row r="202" spans="2:3" x14ac:dyDescent="0.25">
      <c r="B202" s="61"/>
      <c r="C202" s="61"/>
    </row>
    <row r="203" spans="2:3" x14ac:dyDescent="0.25">
      <c r="B203" s="61"/>
      <c r="C203" s="61"/>
    </row>
    <row r="204" spans="2:3" x14ac:dyDescent="0.25">
      <c r="B204" s="61"/>
      <c r="C204" s="61"/>
    </row>
    <row r="205" spans="2:3" x14ac:dyDescent="0.25">
      <c r="B205" s="61"/>
      <c r="C205" s="61"/>
    </row>
    <row r="206" spans="2:3" x14ac:dyDescent="0.25">
      <c r="B206" s="61"/>
      <c r="C206" s="61"/>
    </row>
    <row r="207" spans="2:3" x14ac:dyDescent="0.25">
      <c r="B207" s="61"/>
      <c r="C207" s="61"/>
    </row>
    <row r="208" spans="2:3" x14ac:dyDescent="0.25">
      <c r="B208" s="61"/>
      <c r="C208" s="61"/>
    </row>
    <row r="209" spans="2:3" x14ac:dyDescent="0.25">
      <c r="B209" s="61"/>
      <c r="C209" s="61"/>
    </row>
    <row r="210" spans="2:3" x14ac:dyDescent="0.25">
      <c r="B210" s="61"/>
      <c r="C210" s="61"/>
    </row>
    <row r="211" spans="2:3" x14ac:dyDescent="0.25">
      <c r="B211" s="61"/>
      <c r="C211" s="61"/>
    </row>
    <row r="212" spans="2:3" x14ac:dyDescent="0.25">
      <c r="B212" s="61"/>
      <c r="C212" s="61"/>
    </row>
    <row r="213" spans="2:3" x14ac:dyDescent="0.25">
      <c r="B213" s="61"/>
      <c r="C213" s="61"/>
    </row>
    <row r="214" spans="2:3" x14ac:dyDescent="0.25">
      <c r="B214" s="61"/>
      <c r="C214" s="61"/>
    </row>
    <row r="215" spans="2:3" x14ac:dyDescent="0.25">
      <c r="B215" s="61"/>
      <c r="C215" s="61"/>
    </row>
    <row r="216" spans="2:3" x14ac:dyDescent="0.25">
      <c r="B216" s="61"/>
      <c r="C216" s="61"/>
    </row>
    <row r="217" spans="2:3" x14ac:dyDescent="0.25">
      <c r="B217" s="61"/>
      <c r="C217" s="61"/>
    </row>
    <row r="218" spans="2:3" x14ac:dyDescent="0.25">
      <c r="B218" s="61"/>
      <c r="C218" s="61"/>
    </row>
    <row r="219" spans="2:3" x14ac:dyDescent="0.25">
      <c r="B219" s="61"/>
      <c r="C219" s="61"/>
    </row>
    <row r="220" spans="2:3" x14ac:dyDescent="0.25">
      <c r="B220" s="61"/>
      <c r="C220" s="61"/>
    </row>
    <row r="221" spans="2:3" x14ac:dyDescent="0.25">
      <c r="B221" s="61"/>
      <c r="C221" s="61"/>
    </row>
    <row r="222" spans="2:3" x14ac:dyDescent="0.25">
      <c r="B222" s="61"/>
      <c r="C222" s="61"/>
    </row>
    <row r="223" spans="2:3" x14ac:dyDescent="0.25">
      <c r="B223" s="61"/>
      <c r="C223" s="61"/>
    </row>
    <row r="224" spans="2:3" x14ac:dyDescent="0.25">
      <c r="B224" s="61"/>
      <c r="C224" s="61"/>
    </row>
    <row r="225" spans="2:3" x14ac:dyDescent="0.25">
      <c r="B225" s="61"/>
      <c r="C225" s="61"/>
    </row>
    <row r="226" spans="2:3" x14ac:dyDescent="0.25">
      <c r="B226" s="61"/>
      <c r="C226" s="61"/>
    </row>
    <row r="227" spans="2:3" x14ac:dyDescent="0.25">
      <c r="B227" s="61"/>
      <c r="C227" s="61"/>
    </row>
    <row r="228" spans="2:3" x14ac:dyDescent="0.25">
      <c r="B228" s="61"/>
      <c r="C228" s="61"/>
    </row>
    <row r="229" spans="2:3" x14ac:dyDescent="0.25">
      <c r="B229" s="61"/>
      <c r="C229" s="61"/>
    </row>
    <row r="230" spans="2:3" x14ac:dyDescent="0.25">
      <c r="B230" s="61"/>
      <c r="C230" s="61"/>
    </row>
    <row r="231" spans="2:3" x14ac:dyDescent="0.25">
      <c r="B231" s="61"/>
      <c r="C231" s="61"/>
    </row>
    <row r="232" spans="2:3" x14ac:dyDescent="0.25">
      <c r="B232" s="61"/>
      <c r="C232" s="61"/>
    </row>
    <row r="233" spans="2:3" x14ac:dyDescent="0.25">
      <c r="B233" s="61"/>
      <c r="C233" s="61"/>
    </row>
    <row r="234" spans="2:3" x14ac:dyDescent="0.25">
      <c r="B234" s="61"/>
      <c r="C234" s="61"/>
    </row>
    <row r="235" spans="2:3" x14ac:dyDescent="0.25">
      <c r="B235" s="61"/>
      <c r="C235" s="61"/>
    </row>
    <row r="236" spans="2:3" x14ac:dyDescent="0.25">
      <c r="B236" s="61"/>
      <c r="C236" s="61"/>
    </row>
    <row r="237" spans="2:3" x14ac:dyDescent="0.25">
      <c r="B237" s="61"/>
      <c r="C237" s="61"/>
    </row>
    <row r="238" spans="2:3" x14ac:dyDescent="0.25">
      <c r="B238" s="61"/>
      <c r="C238" s="61"/>
    </row>
    <row r="239" spans="2:3" x14ac:dyDescent="0.25">
      <c r="B239" s="61"/>
      <c r="C239" s="61"/>
    </row>
    <row r="240" spans="2:3" x14ac:dyDescent="0.25">
      <c r="B240" s="61"/>
      <c r="C240" s="61"/>
    </row>
    <row r="241" spans="2:3" x14ac:dyDescent="0.25">
      <c r="B241" s="61"/>
      <c r="C241" s="61"/>
    </row>
    <row r="242" spans="2:3" x14ac:dyDescent="0.25">
      <c r="B242" s="61"/>
      <c r="C242" s="61"/>
    </row>
    <row r="243" spans="2:3" x14ac:dyDescent="0.25">
      <c r="B243" s="61"/>
      <c r="C243" s="61"/>
    </row>
    <row r="244" spans="2:3" x14ac:dyDescent="0.25">
      <c r="B244" s="61"/>
      <c r="C244" s="61"/>
    </row>
    <row r="245" spans="2:3" x14ac:dyDescent="0.25">
      <c r="B245" s="61"/>
      <c r="C245" s="61"/>
    </row>
    <row r="246" spans="2:3" x14ac:dyDescent="0.25">
      <c r="B246" s="61"/>
      <c r="C246" s="61"/>
    </row>
    <row r="247" spans="2:3" x14ac:dyDescent="0.25">
      <c r="B247" s="61"/>
      <c r="C247" s="61"/>
    </row>
    <row r="248" spans="2:3" x14ac:dyDescent="0.25">
      <c r="B248" s="61"/>
      <c r="C248" s="61"/>
    </row>
    <row r="249" spans="2:3" x14ac:dyDescent="0.25">
      <c r="B249" s="61"/>
      <c r="C249" s="61"/>
    </row>
    <row r="250" spans="2:3" x14ac:dyDescent="0.25">
      <c r="B250" s="61"/>
      <c r="C250" s="61"/>
    </row>
    <row r="251" spans="2:3" x14ac:dyDescent="0.25">
      <c r="B251" s="61"/>
      <c r="C251" s="61"/>
    </row>
    <row r="252" spans="2:3" x14ac:dyDescent="0.25">
      <c r="B252" s="61"/>
      <c r="C252" s="61"/>
    </row>
    <row r="253" spans="2:3" x14ac:dyDescent="0.25">
      <c r="B253" s="61"/>
      <c r="C253" s="61"/>
    </row>
    <row r="254" spans="2:3" x14ac:dyDescent="0.25">
      <c r="B254" s="61"/>
      <c r="C254" s="61"/>
    </row>
    <row r="255" spans="2:3" x14ac:dyDescent="0.25">
      <c r="B255" s="61"/>
      <c r="C255" s="61"/>
    </row>
    <row r="256" spans="2:3" x14ac:dyDescent="0.25">
      <c r="B256" s="61"/>
      <c r="C256" s="61"/>
    </row>
    <row r="257" spans="2:3" x14ac:dyDescent="0.25">
      <c r="B257" s="61"/>
      <c r="C257" s="61"/>
    </row>
    <row r="258" spans="2:3" x14ac:dyDescent="0.25">
      <c r="B258" s="61"/>
      <c r="C258" s="61"/>
    </row>
    <row r="259" spans="2:3" x14ac:dyDescent="0.25">
      <c r="B259" s="61"/>
      <c r="C259" s="61"/>
    </row>
    <row r="260" spans="2:3" x14ac:dyDescent="0.25">
      <c r="B260" s="61"/>
      <c r="C260" s="61"/>
    </row>
    <row r="261" spans="2:3" x14ac:dyDescent="0.25">
      <c r="B261" s="61"/>
      <c r="C261" s="61"/>
    </row>
    <row r="262" spans="2:3" x14ac:dyDescent="0.25">
      <c r="B262" s="61"/>
      <c r="C262" s="61"/>
    </row>
    <row r="263" spans="2:3" x14ac:dyDescent="0.25">
      <c r="B263" s="61"/>
      <c r="C263" s="61"/>
    </row>
    <row r="264" spans="2:3" x14ac:dyDescent="0.25">
      <c r="B264" s="61"/>
      <c r="C264" s="61"/>
    </row>
    <row r="265" spans="2:3" x14ac:dyDescent="0.25">
      <c r="B265" s="61"/>
      <c r="C265" s="61"/>
    </row>
    <row r="266" spans="2:3" x14ac:dyDescent="0.25">
      <c r="B266" s="61"/>
      <c r="C266" s="61"/>
    </row>
    <row r="267" spans="2:3" x14ac:dyDescent="0.25">
      <c r="B267" s="61"/>
      <c r="C267" s="61"/>
    </row>
    <row r="268" spans="2:3" x14ac:dyDescent="0.25">
      <c r="B268" s="61"/>
      <c r="C268" s="61"/>
    </row>
    <row r="269" spans="2:3" x14ac:dyDescent="0.25">
      <c r="B269" s="61"/>
      <c r="C269" s="61"/>
    </row>
    <row r="270" spans="2:3" x14ac:dyDescent="0.25">
      <c r="B270" s="61"/>
      <c r="C270" s="61"/>
    </row>
    <row r="271" spans="2:3" x14ac:dyDescent="0.25">
      <c r="B271" s="61"/>
      <c r="C271" s="61"/>
    </row>
    <row r="272" spans="2:3" x14ac:dyDescent="0.25">
      <c r="B272" s="61"/>
      <c r="C272" s="61"/>
    </row>
    <row r="273" spans="2:3" x14ac:dyDescent="0.25">
      <c r="B273" s="61"/>
      <c r="C273" s="61"/>
    </row>
    <row r="274" spans="2:3" x14ac:dyDescent="0.25">
      <c r="B274" s="61"/>
      <c r="C274" s="61"/>
    </row>
    <row r="275" spans="2:3" x14ac:dyDescent="0.25">
      <c r="B275" s="61"/>
      <c r="C275" s="61"/>
    </row>
    <row r="276" spans="2:3" x14ac:dyDescent="0.25">
      <c r="B276" s="61"/>
      <c r="C276" s="61"/>
    </row>
    <row r="277" spans="2:3" x14ac:dyDescent="0.25">
      <c r="B277" s="61"/>
      <c r="C277" s="61"/>
    </row>
    <row r="278" spans="2:3" x14ac:dyDescent="0.25">
      <c r="B278" s="61"/>
      <c r="C278" s="61"/>
    </row>
    <row r="279" spans="2:3" x14ac:dyDescent="0.25">
      <c r="B279" s="61"/>
      <c r="C279" s="61"/>
    </row>
    <row r="280" spans="2:3" x14ac:dyDescent="0.25">
      <c r="B280" s="61"/>
      <c r="C280" s="61"/>
    </row>
    <row r="281" spans="2:3" x14ac:dyDescent="0.25">
      <c r="B281" s="61"/>
      <c r="C281" s="61"/>
    </row>
    <row r="282" spans="2:3" x14ac:dyDescent="0.25">
      <c r="B282" s="61"/>
      <c r="C282" s="61"/>
    </row>
    <row r="283" spans="2:3" x14ac:dyDescent="0.25">
      <c r="B283" s="61"/>
      <c r="C283" s="61"/>
    </row>
    <row r="284" spans="2:3" x14ac:dyDescent="0.25">
      <c r="B284" s="61"/>
      <c r="C284" s="61"/>
    </row>
    <row r="285" spans="2:3" x14ac:dyDescent="0.25">
      <c r="B285" s="61"/>
      <c r="C285" s="61"/>
    </row>
    <row r="286" spans="2:3" x14ac:dyDescent="0.25">
      <c r="B286" s="61"/>
      <c r="C286" s="61"/>
    </row>
    <row r="287" spans="2:3" x14ac:dyDescent="0.25">
      <c r="B287" s="61"/>
      <c r="C287" s="61"/>
    </row>
    <row r="288" spans="2:3" x14ac:dyDescent="0.25">
      <c r="B288" s="61"/>
      <c r="C288" s="61"/>
    </row>
    <row r="289" spans="2:3" x14ac:dyDescent="0.25">
      <c r="B289" s="61"/>
      <c r="C289" s="61"/>
    </row>
    <row r="290" spans="2:3" x14ac:dyDescent="0.25">
      <c r="B290" s="61"/>
      <c r="C290" s="61"/>
    </row>
    <row r="291" spans="2:3" x14ac:dyDescent="0.25">
      <c r="B291" s="61"/>
      <c r="C291" s="61"/>
    </row>
    <row r="292" spans="2:3" x14ac:dyDescent="0.25">
      <c r="B292" s="61"/>
      <c r="C292" s="61"/>
    </row>
    <row r="293" spans="2:3" x14ac:dyDescent="0.25">
      <c r="B293" s="61"/>
      <c r="C293" s="61"/>
    </row>
    <row r="294" spans="2:3" x14ac:dyDescent="0.25">
      <c r="B294" s="61"/>
      <c r="C294" s="61"/>
    </row>
    <row r="295" spans="2:3" x14ac:dyDescent="0.25">
      <c r="B295" s="61"/>
      <c r="C295" s="61"/>
    </row>
    <row r="296" spans="2:3" x14ac:dyDescent="0.25">
      <c r="B296" s="61"/>
      <c r="C296" s="61"/>
    </row>
    <row r="297" spans="2:3" x14ac:dyDescent="0.25">
      <c r="B297" s="61"/>
      <c r="C297" s="61"/>
    </row>
    <row r="298" spans="2:3" x14ac:dyDescent="0.25">
      <c r="B298" s="61"/>
      <c r="C298" s="61"/>
    </row>
    <row r="299" spans="2:3" x14ac:dyDescent="0.25">
      <c r="B299" s="61"/>
      <c r="C299" s="61"/>
    </row>
    <row r="300" spans="2:3" x14ac:dyDescent="0.25">
      <c r="B300" s="61"/>
      <c r="C300" s="61"/>
    </row>
    <row r="301" spans="2:3" x14ac:dyDescent="0.25">
      <c r="B301" s="61"/>
      <c r="C301" s="61"/>
    </row>
    <row r="302" spans="2:3" x14ac:dyDescent="0.25">
      <c r="B302" s="61"/>
      <c r="C302" s="61"/>
    </row>
    <row r="303" spans="2:3" x14ac:dyDescent="0.25">
      <c r="B303" s="61"/>
      <c r="C303" s="61"/>
    </row>
    <row r="304" spans="2:3" x14ac:dyDescent="0.25">
      <c r="B304" s="61"/>
      <c r="C304" s="61"/>
    </row>
    <row r="305" spans="2:3" x14ac:dyDescent="0.25">
      <c r="B305" s="61"/>
      <c r="C305" s="61"/>
    </row>
    <row r="306" spans="2:3" x14ac:dyDescent="0.25">
      <c r="B306" s="61"/>
      <c r="C306" s="61"/>
    </row>
    <row r="307" spans="2:3" x14ac:dyDescent="0.25">
      <c r="B307" s="61"/>
      <c r="C307" s="61"/>
    </row>
    <row r="308" spans="2:3" x14ac:dyDescent="0.25">
      <c r="B308" s="61"/>
      <c r="C308" s="61"/>
    </row>
    <row r="309" spans="2:3" x14ac:dyDescent="0.25">
      <c r="B309" s="61"/>
      <c r="C309" s="61"/>
    </row>
    <row r="310" spans="2:3" x14ac:dyDescent="0.25">
      <c r="B310" s="61"/>
      <c r="C310" s="61"/>
    </row>
    <row r="311" spans="2:3" x14ac:dyDescent="0.25">
      <c r="B311" s="61"/>
      <c r="C311" s="61"/>
    </row>
    <row r="312" spans="2:3" x14ac:dyDescent="0.25">
      <c r="B312" s="61"/>
      <c r="C312" s="61"/>
    </row>
    <row r="313" spans="2:3" x14ac:dyDescent="0.25">
      <c r="B313" s="61"/>
      <c r="C313" s="61"/>
    </row>
    <row r="314" spans="2:3" x14ac:dyDescent="0.25">
      <c r="B314" s="61"/>
      <c r="C314" s="61"/>
    </row>
    <row r="315" spans="2:3" x14ac:dyDescent="0.25">
      <c r="B315" s="61"/>
      <c r="C315" s="61"/>
    </row>
    <row r="316" spans="2:3" x14ac:dyDescent="0.25">
      <c r="B316" s="61"/>
      <c r="C316" s="61"/>
    </row>
    <row r="317" spans="2:3" x14ac:dyDescent="0.25">
      <c r="B317" s="61"/>
      <c r="C317" s="61"/>
    </row>
    <row r="318" spans="2:3" x14ac:dyDescent="0.25">
      <c r="B318" s="61"/>
      <c r="C318" s="61"/>
    </row>
    <row r="319" spans="2:3" x14ac:dyDescent="0.25">
      <c r="B319" s="61"/>
      <c r="C319" s="61"/>
    </row>
    <row r="320" spans="2:3" x14ac:dyDescent="0.25">
      <c r="B320" s="61"/>
      <c r="C320" s="61"/>
    </row>
    <row r="321" spans="2:3" x14ac:dyDescent="0.25">
      <c r="B321" s="61"/>
      <c r="C321" s="61"/>
    </row>
    <row r="322" spans="2:3" x14ac:dyDescent="0.25">
      <c r="B322" s="61"/>
      <c r="C322" s="61"/>
    </row>
    <row r="323" spans="2:3" x14ac:dyDescent="0.25">
      <c r="B323" s="61"/>
      <c r="C323" s="61"/>
    </row>
    <row r="324" spans="2:3" x14ac:dyDescent="0.25">
      <c r="B324" s="61"/>
      <c r="C324" s="61"/>
    </row>
    <row r="325" spans="2:3" x14ac:dyDescent="0.25">
      <c r="B325" s="61"/>
      <c r="C325" s="61"/>
    </row>
    <row r="326" spans="2:3" x14ac:dyDescent="0.25">
      <c r="B326" s="61"/>
      <c r="C326" s="61"/>
    </row>
    <row r="327" spans="2:3" x14ac:dyDescent="0.25">
      <c r="B327" s="61"/>
      <c r="C327" s="61"/>
    </row>
    <row r="328" spans="2:3" x14ac:dyDescent="0.25">
      <c r="B328" s="61"/>
      <c r="C328" s="61"/>
    </row>
    <row r="329" spans="2:3" x14ac:dyDescent="0.25">
      <c r="B329" s="61"/>
      <c r="C329" s="61"/>
    </row>
    <row r="330" spans="2:3" x14ac:dyDescent="0.25">
      <c r="B330" s="61"/>
      <c r="C330" s="61"/>
    </row>
    <row r="331" spans="2:3" x14ac:dyDescent="0.25">
      <c r="B331" s="61"/>
      <c r="C331" s="61"/>
    </row>
    <row r="332" spans="2:3" x14ac:dyDescent="0.25">
      <c r="B332" s="61"/>
      <c r="C332" s="61"/>
    </row>
    <row r="333" spans="2:3" x14ac:dyDescent="0.25">
      <c r="B333" s="61"/>
      <c r="C333" s="61"/>
    </row>
    <row r="334" spans="2:3" x14ac:dyDescent="0.25">
      <c r="B334" s="61"/>
      <c r="C334" s="61"/>
    </row>
    <row r="335" spans="2:3" x14ac:dyDescent="0.25">
      <c r="B335" s="61"/>
      <c r="C335" s="61"/>
    </row>
    <row r="336" spans="2:3" x14ac:dyDescent="0.25">
      <c r="B336" s="61"/>
      <c r="C336" s="61"/>
    </row>
    <row r="337" spans="2:3" x14ac:dyDescent="0.25">
      <c r="B337" s="61"/>
      <c r="C337" s="61"/>
    </row>
    <row r="338" spans="2:3" x14ac:dyDescent="0.25">
      <c r="B338" s="61"/>
      <c r="C338" s="61"/>
    </row>
    <row r="339" spans="2:3" x14ac:dyDescent="0.25">
      <c r="B339" s="61"/>
      <c r="C339" s="61"/>
    </row>
    <row r="340" spans="2:3" x14ac:dyDescent="0.25">
      <c r="B340" s="61"/>
      <c r="C340" s="61"/>
    </row>
    <row r="341" spans="2:3" x14ac:dyDescent="0.25">
      <c r="B341" s="61"/>
      <c r="C341" s="61"/>
    </row>
    <row r="342" spans="2:3" x14ac:dyDescent="0.25">
      <c r="B342" s="61"/>
      <c r="C342" s="61"/>
    </row>
    <row r="343" spans="2:3" x14ac:dyDescent="0.25">
      <c r="B343" s="61"/>
      <c r="C343" s="61"/>
    </row>
    <row r="344" spans="2:3" x14ac:dyDescent="0.25">
      <c r="B344" s="61"/>
      <c r="C344" s="61"/>
    </row>
    <row r="345" spans="2:3" x14ac:dyDescent="0.25">
      <c r="B345" s="61"/>
      <c r="C345" s="61"/>
    </row>
    <row r="346" spans="2:3" x14ac:dyDescent="0.25">
      <c r="B346" s="61"/>
      <c r="C346" s="61"/>
    </row>
    <row r="347" spans="2:3" x14ac:dyDescent="0.25">
      <c r="B347" s="61"/>
      <c r="C347" s="61"/>
    </row>
    <row r="348" spans="2:3" x14ac:dyDescent="0.25">
      <c r="B348" s="61"/>
      <c r="C348" s="61"/>
    </row>
    <row r="349" spans="2:3" x14ac:dyDescent="0.25">
      <c r="B349" s="61"/>
      <c r="C349" s="61"/>
    </row>
    <row r="350" spans="2:3" x14ac:dyDescent="0.25">
      <c r="B350" s="61"/>
      <c r="C350" s="61"/>
    </row>
    <row r="351" spans="2:3" x14ac:dyDescent="0.25">
      <c r="B351" s="61"/>
      <c r="C351" s="61"/>
    </row>
    <row r="352" spans="2:3" x14ac:dyDescent="0.25">
      <c r="B352" s="61"/>
      <c r="C352" s="61"/>
    </row>
    <row r="353" spans="2:3" x14ac:dyDescent="0.25">
      <c r="B353" s="61"/>
      <c r="C353" s="61"/>
    </row>
    <row r="354" spans="2:3" x14ac:dyDescent="0.25">
      <c r="B354" s="61"/>
      <c r="C354" s="61"/>
    </row>
    <row r="355" spans="2:3" x14ac:dyDescent="0.25">
      <c r="B355" s="61"/>
      <c r="C355" s="61"/>
    </row>
    <row r="356" spans="2:3" x14ac:dyDescent="0.25">
      <c r="B356" s="61"/>
      <c r="C356" s="61"/>
    </row>
    <row r="357" spans="2:3" x14ac:dyDescent="0.25">
      <c r="B357" s="61"/>
      <c r="C357" s="61"/>
    </row>
    <row r="358" spans="2:3" x14ac:dyDescent="0.25">
      <c r="B358" s="61"/>
      <c r="C358" s="61"/>
    </row>
    <row r="359" spans="2:3" x14ac:dyDescent="0.25">
      <c r="B359" s="61"/>
      <c r="C359" s="61"/>
    </row>
    <row r="360" spans="2:3" x14ac:dyDescent="0.25">
      <c r="B360" s="61"/>
      <c r="C360" s="61"/>
    </row>
    <row r="361" spans="2:3" x14ac:dyDescent="0.25">
      <c r="B361" s="61"/>
      <c r="C361" s="61"/>
    </row>
    <row r="362" spans="2:3" x14ac:dyDescent="0.25">
      <c r="B362" s="61"/>
      <c r="C362" s="61"/>
    </row>
    <row r="363" spans="2:3" x14ac:dyDescent="0.25">
      <c r="B363" s="61"/>
      <c r="C363" s="61"/>
    </row>
    <row r="364" spans="2:3" x14ac:dyDescent="0.25">
      <c r="B364" s="61"/>
      <c r="C364" s="61"/>
    </row>
    <row r="365" spans="2:3" x14ac:dyDescent="0.25">
      <c r="B365" s="61"/>
      <c r="C365" s="61"/>
    </row>
    <row r="366" spans="2:3" x14ac:dyDescent="0.25">
      <c r="B366" s="61"/>
      <c r="C366" s="61"/>
    </row>
    <row r="367" spans="2:3" x14ac:dyDescent="0.25">
      <c r="B367" s="61"/>
      <c r="C367" s="61"/>
    </row>
    <row r="368" spans="2:3" x14ac:dyDescent="0.25">
      <c r="B368" s="61"/>
      <c r="C368" s="61"/>
    </row>
    <row r="369" spans="2:3" x14ac:dyDescent="0.25">
      <c r="B369" s="61"/>
      <c r="C369" s="61"/>
    </row>
    <row r="370" spans="2:3" x14ac:dyDescent="0.25">
      <c r="B370" s="61"/>
      <c r="C370" s="61"/>
    </row>
    <row r="371" spans="2:3" x14ac:dyDescent="0.25">
      <c r="B371" s="61"/>
      <c r="C371" s="61"/>
    </row>
    <row r="372" spans="2:3" x14ac:dyDescent="0.25">
      <c r="B372" s="61"/>
      <c r="C372" s="61"/>
    </row>
    <row r="373" spans="2:3" x14ac:dyDescent="0.25">
      <c r="B373" s="61"/>
      <c r="C373" s="61"/>
    </row>
    <row r="374" spans="2:3" x14ac:dyDescent="0.25">
      <c r="B374" s="61"/>
      <c r="C374" s="61"/>
    </row>
    <row r="375" spans="2:3" x14ac:dyDescent="0.25">
      <c r="B375" s="61"/>
      <c r="C375" s="61"/>
    </row>
    <row r="376" spans="2:3" x14ac:dyDescent="0.25">
      <c r="B376" s="61"/>
      <c r="C376" s="61"/>
    </row>
    <row r="377" spans="2:3" x14ac:dyDescent="0.25">
      <c r="B377" s="61"/>
      <c r="C377" s="61"/>
    </row>
    <row r="378" spans="2:3" x14ac:dyDescent="0.25">
      <c r="B378" s="61"/>
      <c r="C378" s="61"/>
    </row>
    <row r="379" spans="2:3" x14ac:dyDescent="0.25">
      <c r="B379" s="61"/>
      <c r="C379" s="61"/>
    </row>
    <row r="380" spans="2:3" x14ac:dyDescent="0.25">
      <c r="B380" s="61"/>
      <c r="C380" s="61"/>
    </row>
    <row r="381" spans="2:3" x14ac:dyDescent="0.25">
      <c r="B381" s="61"/>
      <c r="C381" s="61"/>
    </row>
    <row r="382" spans="2:3" x14ac:dyDescent="0.25">
      <c r="B382" s="61"/>
      <c r="C382" s="61"/>
    </row>
    <row r="383" spans="2:3" x14ac:dyDescent="0.25">
      <c r="B383" s="61"/>
      <c r="C383" s="61"/>
    </row>
    <row r="384" spans="2:3" x14ac:dyDescent="0.25">
      <c r="B384" s="61"/>
      <c r="C384" s="61"/>
    </row>
    <row r="385" spans="2:3" x14ac:dyDescent="0.25">
      <c r="B385" s="61"/>
      <c r="C385" s="61"/>
    </row>
    <row r="386" spans="2:3" x14ac:dyDescent="0.25">
      <c r="B386" s="61"/>
      <c r="C386" s="61"/>
    </row>
    <row r="387" spans="2:3" x14ac:dyDescent="0.25">
      <c r="B387" s="61"/>
      <c r="C387" s="61"/>
    </row>
    <row r="388" spans="2:3" x14ac:dyDescent="0.25">
      <c r="B388" s="61"/>
      <c r="C388" s="61"/>
    </row>
    <row r="389" spans="2:3" x14ac:dyDescent="0.25">
      <c r="B389" s="61"/>
      <c r="C389" s="61"/>
    </row>
    <row r="390" spans="2:3" x14ac:dyDescent="0.25">
      <c r="B390" s="61"/>
      <c r="C390" s="61"/>
    </row>
    <row r="391" spans="2:3" x14ac:dyDescent="0.25">
      <c r="B391" s="61"/>
      <c r="C391" s="61"/>
    </row>
    <row r="392" spans="2:3" x14ac:dyDescent="0.25">
      <c r="B392" s="61"/>
      <c r="C392" s="61"/>
    </row>
    <row r="393" spans="2:3" x14ac:dyDescent="0.25">
      <c r="B393" s="61"/>
      <c r="C393" s="61"/>
    </row>
    <row r="394" spans="2:3" x14ac:dyDescent="0.25">
      <c r="B394" s="61"/>
      <c r="C394" s="61"/>
    </row>
    <row r="395" spans="2:3" x14ac:dyDescent="0.25">
      <c r="B395" s="61"/>
      <c r="C395" s="61"/>
    </row>
    <row r="396" spans="2:3" x14ac:dyDescent="0.25">
      <c r="B396" s="61"/>
      <c r="C396" s="61"/>
    </row>
    <row r="397" spans="2:3" x14ac:dyDescent="0.25">
      <c r="B397" s="61"/>
      <c r="C397" s="61"/>
    </row>
    <row r="398" spans="2:3" x14ac:dyDescent="0.25">
      <c r="B398" s="61"/>
      <c r="C398" s="61"/>
    </row>
    <row r="399" spans="2:3" x14ac:dyDescent="0.25">
      <c r="B399" s="61"/>
      <c r="C399" s="61"/>
    </row>
    <row r="400" spans="2:3" x14ac:dyDescent="0.25">
      <c r="B400" s="61"/>
      <c r="C400" s="61"/>
    </row>
    <row r="401" spans="2:3" x14ac:dyDescent="0.25">
      <c r="B401" s="61"/>
      <c r="C401" s="61"/>
    </row>
    <row r="402" spans="2:3" x14ac:dyDescent="0.25">
      <c r="B402" s="61"/>
      <c r="C402" s="61"/>
    </row>
    <row r="403" spans="2:3" x14ac:dyDescent="0.25">
      <c r="B403" s="61"/>
      <c r="C403" s="61"/>
    </row>
    <row r="404" spans="2:3" x14ac:dyDescent="0.25">
      <c r="B404" s="61"/>
      <c r="C404" s="61"/>
    </row>
    <row r="405" spans="2:3" x14ac:dyDescent="0.25">
      <c r="B405" s="61"/>
      <c r="C405" s="61"/>
    </row>
    <row r="406" spans="2:3" x14ac:dyDescent="0.25">
      <c r="B406" s="61"/>
      <c r="C406" s="61"/>
    </row>
    <row r="407" spans="2:3" x14ac:dyDescent="0.25">
      <c r="B407" s="61"/>
      <c r="C407" s="61"/>
    </row>
    <row r="408" spans="2:3" x14ac:dyDescent="0.25">
      <c r="B408" s="61"/>
      <c r="C408" s="61"/>
    </row>
    <row r="409" spans="2:3" x14ac:dyDescent="0.25">
      <c r="B409" s="61"/>
      <c r="C409" s="61"/>
    </row>
    <row r="410" spans="2:3" x14ac:dyDescent="0.25">
      <c r="B410" s="61"/>
      <c r="C410" s="61"/>
    </row>
    <row r="411" spans="2:3" x14ac:dyDescent="0.25">
      <c r="B411" s="61"/>
      <c r="C411" s="61"/>
    </row>
    <row r="412" spans="2:3" x14ac:dyDescent="0.25">
      <c r="B412" s="61"/>
      <c r="C412" s="61"/>
    </row>
    <row r="413" spans="2:3" x14ac:dyDescent="0.25">
      <c r="B413" s="61"/>
      <c r="C413" s="61"/>
    </row>
    <row r="414" spans="2:3" x14ac:dyDescent="0.25">
      <c r="B414" s="61"/>
      <c r="C414" s="61"/>
    </row>
    <row r="415" spans="2:3" x14ac:dyDescent="0.25">
      <c r="B415" s="61"/>
      <c r="C415" s="61"/>
    </row>
    <row r="416" spans="2:3" x14ac:dyDescent="0.25">
      <c r="B416" s="61"/>
      <c r="C416" s="61"/>
    </row>
    <row r="417" spans="2:3" x14ac:dyDescent="0.25">
      <c r="B417" s="61"/>
      <c r="C417" s="61"/>
    </row>
    <row r="418" spans="2:3" x14ac:dyDescent="0.25">
      <c r="B418" s="61"/>
      <c r="C418" s="61"/>
    </row>
    <row r="419" spans="2:3" x14ac:dyDescent="0.25">
      <c r="B419" s="61"/>
      <c r="C419" s="61"/>
    </row>
    <row r="420" spans="2:3" x14ac:dyDescent="0.25">
      <c r="B420" s="61"/>
      <c r="C420" s="61"/>
    </row>
    <row r="421" spans="2:3" x14ac:dyDescent="0.25">
      <c r="B421" s="61"/>
      <c r="C421" s="61"/>
    </row>
    <row r="422" spans="2:3" x14ac:dyDescent="0.25">
      <c r="B422" s="61"/>
      <c r="C422" s="61"/>
    </row>
    <row r="423" spans="2:3" x14ac:dyDescent="0.25">
      <c r="B423" s="61"/>
      <c r="C423" s="61"/>
    </row>
    <row r="424" spans="2:3" x14ac:dyDescent="0.25">
      <c r="B424" s="61"/>
      <c r="C424" s="61"/>
    </row>
    <row r="425" spans="2:3" x14ac:dyDescent="0.25">
      <c r="B425" s="61"/>
      <c r="C425" s="61"/>
    </row>
    <row r="426" spans="2:3" x14ac:dyDescent="0.25">
      <c r="B426" s="61"/>
      <c r="C426" s="61"/>
    </row>
    <row r="427" spans="2:3" x14ac:dyDescent="0.25">
      <c r="B427" s="61"/>
      <c r="C427" s="61"/>
    </row>
    <row r="428" spans="2:3" x14ac:dyDescent="0.25">
      <c r="B428" s="61"/>
      <c r="C428" s="61"/>
    </row>
    <row r="429" spans="2:3" x14ac:dyDescent="0.25">
      <c r="B429" s="61"/>
      <c r="C429" s="61"/>
    </row>
    <row r="430" spans="2:3" x14ac:dyDescent="0.25">
      <c r="B430" s="61"/>
      <c r="C430" s="61"/>
    </row>
    <row r="431" spans="2:3" x14ac:dyDescent="0.25">
      <c r="B431" s="61"/>
      <c r="C431" s="61"/>
    </row>
    <row r="432" spans="2:3" x14ac:dyDescent="0.25">
      <c r="B432" s="61"/>
      <c r="C432" s="61"/>
    </row>
    <row r="433" spans="2:3" x14ac:dyDescent="0.25">
      <c r="B433" s="61"/>
      <c r="C433" s="61"/>
    </row>
    <row r="434" spans="2:3" x14ac:dyDescent="0.25">
      <c r="B434" s="61"/>
      <c r="C434" s="61"/>
    </row>
    <row r="435" spans="2:3" x14ac:dyDescent="0.25">
      <c r="B435" s="61"/>
      <c r="C435" s="61"/>
    </row>
    <row r="436" spans="2:3" x14ac:dyDescent="0.25">
      <c r="B436" s="61"/>
      <c r="C436" s="61"/>
    </row>
    <row r="437" spans="2:3" x14ac:dyDescent="0.25">
      <c r="B437" s="61"/>
      <c r="C437" s="61"/>
    </row>
    <row r="438" spans="2:3" x14ac:dyDescent="0.25">
      <c r="B438" s="61"/>
      <c r="C438" s="61"/>
    </row>
    <row r="439" spans="2:3" x14ac:dyDescent="0.25">
      <c r="B439" s="61"/>
      <c r="C439" s="61"/>
    </row>
    <row r="440" spans="2:3" x14ac:dyDescent="0.25">
      <c r="B440" s="61"/>
      <c r="C440" s="61"/>
    </row>
    <row r="441" spans="2:3" x14ac:dyDescent="0.25">
      <c r="B441" s="61"/>
      <c r="C441" s="61"/>
    </row>
    <row r="442" spans="2:3" x14ac:dyDescent="0.25">
      <c r="B442" s="61"/>
      <c r="C442" s="61"/>
    </row>
    <row r="443" spans="2:3" x14ac:dyDescent="0.25">
      <c r="B443" s="61"/>
      <c r="C443" s="61"/>
    </row>
    <row r="444" spans="2:3" x14ac:dyDescent="0.25">
      <c r="B444" s="61"/>
      <c r="C444" s="61"/>
    </row>
    <row r="445" spans="2:3" x14ac:dyDescent="0.25">
      <c r="B445" s="61"/>
      <c r="C445" s="61"/>
    </row>
    <row r="446" spans="2:3" x14ac:dyDescent="0.25">
      <c r="B446" s="61"/>
      <c r="C446" s="61"/>
    </row>
    <row r="447" spans="2:3" x14ac:dyDescent="0.25">
      <c r="B447" s="61"/>
      <c r="C447" s="61"/>
    </row>
    <row r="448" spans="2:3" x14ac:dyDescent="0.25">
      <c r="B448" s="61"/>
      <c r="C448" s="61"/>
    </row>
    <row r="449" spans="2:3" x14ac:dyDescent="0.25">
      <c r="B449" s="61"/>
      <c r="C449" s="61"/>
    </row>
    <row r="450" spans="2:3" x14ac:dyDescent="0.25">
      <c r="B450" s="61"/>
      <c r="C450" s="61"/>
    </row>
    <row r="451" spans="2:3" x14ac:dyDescent="0.25">
      <c r="B451" s="61"/>
      <c r="C451" s="61"/>
    </row>
    <row r="452" spans="2:3" x14ac:dyDescent="0.25">
      <c r="B452" s="61"/>
      <c r="C452" s="61"/>
    </row>
    <row r="453" spans="2:3" x14ac:dyDescent="0.25">
      <c r="B453" s="61"/>
      <c r="C453" s="61"/>
    </row>
    <row r="454" spans="2:3" x14ac:dyDescent="0.25">
      <c r="B454" s="61"/>
      <c r="C454" s="61"/>
    </row>
    <row r="455" spans="2:3" x14ac:dyDescent="0.25">
      <c r="B455" s="61"/>
      <c r="C455" s="61"/>
    </row>
    <row r="456" spans="2:3" x14ac:dyDescent="0.25">
      <c r="B456" s="61"/>
      <c r="C456" s="61"/>
    </row>
    <row r="457" spans="2:3" x14ac:dyDescent="0.25">
      <c r="B457" s="61"/>
      <c r="C457" s="61"/>
    </row>
    <row r="458" spans="2:3" x14ac:dyDescent="0.25">
      <c r="B458" s="61"/>
      <c r="C458" s="61"/>
    </row>
    <row r="459" spans="2:3" x14ac:dyDescent="0.25">
      <c r="B459" s="61"/>
      <c r="C459" s="61"/>
    </row>
    <row r="460" spans="2:3" x14ac:dyDescent="0.25">
      <c r="B460" s="61"/>
      <c r="C460" s="61"/>
    </row>
    <row r="461" spans="2:3" x14ac:dyDescent="0.25">
      <c r="B461" s="61"/>
      <c r="C461" s="61"/>
    </row>
    <row r="462" spans="2:3" x14ac:dyDescent="0.25">
      <c r="B462" s="61"/>
      <c r="C462" s="61"/>
    </row>
    <row r="463" spans="2:3" x14ac:dyDescent="0.25">
      <c r="B463" s="61"/>
      <c r="C463" s="61"/>
    </row>
    <row r="464" spans="2:3" x14ac:dyDescent="0.25">
      <c r="B464" s="61"/>
      <c r="C464" s="61"/>
    </row>
    <row r="465" spans="2:3" x14ac:dyDescent="0.25">
      <c r="B465" s="61"/>
      <c r="C465" s="61"/>
    </row>
    <row r="466" spans="2:3" x14ac:dyDescent="0.25">
      <c r="B466" s="61"/>
      <c r="C466" s="61"/>
    </row>
    <row r="467" spans="2:3" x14ac:dyDescent="0.25">
      <c r="B467" s="61"/>
      <c r="C467" s="61"/>
    </row>
    <row r="468" spans="2:3" x14ac:dyDescent="0.25">
      <c r="B468" s="61"/>
      <c r="C468" s="61"/>
    </row>
    <row r="469" spans="2:3" x14ac:dyDescent="0.25">
      <c r="B469" s="61"/>
      <c r="C469" s="61"/>
    </row>
    <row r="470" spans="2:3" x14ac:dyDescent="0.25">
      <c r="B470" s="61"/>
      <c r="C470" s="61"/>
    </row>
    <row r="471" spans="2:3" x14ac:dyDescent="0.25">
      <c r="B471" s="61"/>
      <c r="C471" s="61"/>
    </row>
    <row r="472" spans="2:3" x14ac:dyDescent="0.25">
      <c r="B472" s="61"/>
      <c r="C472" s="61"/>
    </row>
    <row r="473" spans="2:3" x14ac:dyDescent="0.25">
      <c r="B473" s="61"/>
      <c r="C473" s="61"/>
    </row>
    <row r="474" spans="2:3" x14ac:dyDescent="0.25">
      <c r="B474" s="61"/>
      <c r="C474" s="61"/>
    </row>
    <row r="475" spans="2:3" x14ac:dyDescent="0.25">
      <c r="B475" s="61"/>
      <c r="C475" s="61"/>
    </row>
    <row r="476" spans="2:3" x14ac:dyDescent="0.25">
      <c r="B476" s="61"/>
      <c r="C476" s="61"/>
    </row>
    <row r="477" spans="2:3" x14ac:dyDescent="0.25">
      <c r="B477" s="61"/>
      <c r="C477" s="61"/>
    </row>
    <row r="478" spans="2:3" x14ac:dyDescent="0.25">
      <c r="B478" s="61"/>
      <c r="C478" s="61"/>
    </row>
    <row r="479" spans="2:3" x14ac:dyDescent="0.25">
      <c r="B479" s="61"/>
      <c r="C479" s="61"/>
    </row>
    <row r="480" spans="2:3" x14ac:dyDescent="0.25">
      <c r="B480" s="61"/>
      <c r="C480" s="61"/>
    </row>
    <row r="481" spans="2:3" x14ac:dyDescent="0.25">
      <c r="B481" s="61"/>
      <c r="C481" s="61"/>
    </row>
    <row r="482" spans="2:3" x14ac:dyDescent="0.25">
      <c r="B482" s="61"/>
      <c r="C482" s="61"/>
    </row>
    <row r="483" spans="2:3" x14ac:dyDescent="0.25">
      <c r="B483" s="61"/>
      <c r="C483" s="61"/>
    </row>
    <row r="484" spans="2:3" x14ac:dyDescent="0.25">
      <c r="B484" s="61"/>
      <c r="C484" s="61"/>
    </row>
    <row r="485" spans="2:3" x14ac:dyDescent="0.25">
      <c r="B485" s="61"/>
      <c r="C485" s="61"/>
    </row>
    <row r="486" spans="2:3" x14ac:dyDescent="0.25">
      <c r="B486" s="61"/>
      <c r="C486" s="61"/>
    </row>
    <row r="487" spans="2:3" x14ac:dyDescent="0.25">
      <c r="B487" s="61"/>
      <c r="C487" s="61"/>
    </row>
    <row r="488" spans="2:3" x14ac:dyDescent="0.25">
      <c r="B488" s="61"/>
      <c r="C488" s="61"/>
    </row>
    <row r="489" spans="2:3" x14ac:dyDescent="0.25">
      <c r="B489" s="61"/>
      <c r="C489" s="61"/>
    </row>
    <row r="490" spans="2:3" x14ac:dyDescent="0.25">
      <c r="B490" s="61"/>
      <c r="C490" s="61"/>
    </row>
    <row r="491" spans="2:3" x14ac:dyDescent="0.25">
      <c r="B491" s="61"/>
      <c r="C491" s="61"/>
    </row>
    <row r="492" spans="2:3" x14ac:dyDescent="0.25">
      <c r="B492" s="61"/>
      <c r="C492" s="61"/>
    </row>
    <row r="493" spans="2:3" x14ac:dyDescent="0.25">
      <c r="B493" s="61"/>
      <c r="C493" s="61"/>
    </row>
    <row r="494" spans="2:3" x14ac:dyDescent="0.25">
      <c r="B494" s="61"/>
      <c r="C494" s="61"/>
    </row>
    <row r="495" spans="2:3" x14ac:dyDescent="0.25">
      <c r="B495" s="61"/>
      <c r="C495" s="61"/>
    </row>
    <row r="496" spans="2:3" x14ac:dyDescent="0.25">
      <c r="B496" s="61"/>
      <c r="C496" s="61"/>
    </row>
    <row r="497" spans="2:3" x14ac:dyDescent="0.25">
      <c r="B497" s="61"/>
      <c r="C497" s="61"/>
    </row>
    <row r="498" spans="2:3" x14ac:dyDescent="0.25">
      <c r="B498" s="61"/>
      <c r="C498" s="61"/>
    </row>
    <row r="499" spans="2:3" x14ac:dyDescent="0.25">
      <c r="B499" s="61"/>
      <c r="C499" s="61"/>
    </row>
    <row r="500" spans="2:3" x14ac:dyDescent="0.25">
      <c r="B500" s="61"/>
      <c r="C500" s="61"/>
    </row>
    <row r="501" spans="2:3" x14ac:dyDescent="0.25">
      <c r="B501" s="61"/>
      <c r="C501" s="61"/>
    </row>
    <row r="502" spans="2:3" x14ac:dyDescent="0.25">
      <c r="B502" s="61"/>
      <c r="C502" s="61"/>
    </row>
    <row r="503" spans="2:3" x14ac:dyDescent="0.25">
      <c r="B503" s="61"/>
      <c r="C503" s="61"/>
    </row>
    <row r="504" spans="2:3" x14ac:dyDescent="0.25">
      <c r="B504" s="61"/>
      <c r="C504" s="61"/>
    </row>
    <row r="505" spans="2:3" x14ac:dyDescent="0.25">
      <c r="B505" s="61"/>
      <c r="C505" s="61"/>
    </row>
    <row r="506" spans="2:3" x14ac:dyDescent="0.25">
      <c r="B506" s="61"/>
      <c r="C506" s="61"/>
    </row>
    <row r="507" spans="2:3" x14ac:dyDescent="0.25">
      <c r="B507" s="61"/>
      <c r="C507" s="61"/>
    </row>
    <row r="508" spans="2:3" x14ac:dyDescent="0.25">
      <c r="B508" s="61"/>
      <c r="C508" s="61"/>
    </row>
    <row r="509" spans="2:3" x14ac:dyDescent="0.25">
      <c r="B509" s="61"/>
      <c r="C509" s="61"/>
    </row>
    <row r="510" spans="2:3" x14ac:dyDescent="0.25">
      <c r="B510" s="61"/>
      <c r="C510" s="61"/>
    </row>
    <row r="511" spans="2:3" x14ac:dyDescent="0.25">
      <c r="B511" s="61"/>
      <c r="C511" s="61"/>
    </row>
    <row r="512" spans="2:3" x14ac:dyDescent="0.25">
      <c r="B512" s="61"/>
      <c r="C512" s="61"/>
    </row>
    <row r="513" spans="2:3" x14ac:dyDescent="0.25">
      <c r="B513" s="61"/>
      <c r="C513" s="61"/>
    </row>
    <row r="514" spans="2:3" x14ac:dyDescent="0.25">
      <c r="B514" s="61"/>
      <c r="C514" s="61"/>
    </row>
    <row r="515" spans="2:3" x14ac:dyDescent="0.25">
      <c r="B515" s="61"/>
      <c r="C515" s="61"/>
    </row>
    <row r="516" spans="2:3" x14ac:dyDescent="0.25">
      <c r="B516" s="61"/>
      <c r="C516" s="61"/>
    </row>
    <row r="517" spans="2:3" x14ac:dyDescent="0.25">
      <c r="B517" s="61"/>
      <c r="C517" s="61"/>
    </row>
    <row r="518" spans="2:3" x14ac:dyDescent="0.25">
      <c r="B518" s="61"/>
      <c r="C518" s="61"/>
    </row>
    <row r="519" spans="2:3" x14ac:dyDescent="0.25">
      <c r="B519" s="61"/>
      <c r="C519" s="61"/>
    </row>
    <row r="520" spans="2:3" x14ac:dyDescent="0.25">
      <c r="B520" s="61"/>
      <c r="C520" s="61"/>
    </row>
    <row r="521" spans="2:3" x14ac:dyDescent="0.25">
      <c r="B521" s="61"/>
      <c r="C521" s="61"/>
    </row>
    <row r="522" spans="2:3" x14ac:dyDescent="0.25">
      <c r="B522" s="61"/>
      <c r="C522" s="61"/>
    </row>
    <row r="523" spans="2:3" x14ac:dyDescent="0.25">
      <c r="B523" s="61"/>
      <c r="C523" s="61"/>
    </row>
    <row r="524" spans="2:3" x14ac:dyDescent="0.25">
      <c r="B524" s="61"/>
      <c r="C524" s="61"/>
    </row>
    <row r="525" spans="2:3" x14ac:dyDescent="0.25">
      <c r="B525" s="61"/>
      <c r="C525" s="61"/>
    </row>
    <row r="526" spans="2:3" x14ac:dyDescent="0.25">
      <c r="B526" s="61"/>
      <c r="C526" s="61"/>
    </row>
    <row r="527" spans="2:3" x14ac:dyDescent="0.25">
      <c r="B527" s="61"/>
      <c r="C527" s="61"/>
    </row>
    <row r="528" spans="2:3" x14ac:dyDescent="0.25">
      <c r="B528" s="61"/>
      <c r="C528" s="61"/>
    </row>
    <row r="529" spans="2:3" x14ac:dyDescent="0.25">
      <c r="B529" s="61"/>
      <c r="C529" s="61"/>
    </row>
    <row r="530" spans="2:3" x14ac:dyDescent="0.25">
      <c r="B530" s="61"/>
      <c r="C530" s="61"/>
    </row>
    <row r="531" spans="2:3" x14ac:dyDescent="0.25">
      <c r="B531" s="61"/>
      <c r="C531" s="61"/>
    </row>
    <row r="532" spans="2:3" x14ac:dyDescent="0.25">
      <c r="B532" s="61"/>
      <c r="C532" s="61"/>
    </row>
    <row r="533" spans="2:3" x14ac:dyDescent="0.25">
      <c r="B533" s="61"/>
      <c r="C533" s="61"/>
    </row>
    <row r="534" spans="2:3" x14ac:dyDescent="0.25">
      <c r="B534" s="61"/>
      <c r="C534" s="61"/>
    </row>
    <row r="535" spans="2:3" x14ac:dyDescent="0.25">
      <c r="B535" s="61"/>
      <c r="C535" s="61"/>
    </row>
    <row r="536" spans="2:3" x14ac:dyDescent="0.25">
      <c r="B536" s="61"/>
      <c r="C536" s="61"/>
    </row>
    <row r="537" spans="2:3" x14ac:dyDescent="0.25">
      <c r="B537" s="61"/>
      <c r="C537" s="61"/>
    </row>
    <row r="538" spans="2:3" x14ac:dyDescent="0.25">
      <c r="B538" s="61"/>
      <c r="C538" s="61"/>
    </row>
    <row r="539" spans="2:3" x14ac:dyDescent="0.25">
      <c r="B539" s="61"/>
      <c r="C539" s="61"/>
    </row>
    <row r="540" spans="2:3" x14ac:dyDescent="0.25">
      <c r="B540" s="61"/>
      <c r="C540" s="61"/>
    </row>
    <row r="541" spans="2:3" x14ac:dyDescent="0.25">
      <c r="B541" s="61"/>
      <c r="C541" s="61"/>
    </row>
    <row r="542" spans="2:3" x14ac:dyDescent="0.25">
      <c r="B542" s="61"/>
      <c r="C542" s="61"/>
    </row>
    <row r="543" spans="2:3" x14ac:dyDescent="0.25">
      <c r="B543" s="61"/>
      <c r="C543" s="61"/>
    </row>
    <row r="544" spans="2:3" x14ac:dyDescent="0.25">
      <c r="B544" s="61"/>
      <c r="C544" s="61"/>
    </row>
    <row r="545" spans="2:3" x14ac:dyDescent="0.25">
      <c r="B545" s="61"/>
      <c r="C545" s="61"/>
    </row>
    <row r="546" spans="2:3" x14ac:dyDescent="0.25">
      <c r="B546" s="61"/>
      <c r="C546" s="61"/>
    </row>
    <row r="547" spans="2:3" x14ac:dyDescent="0.25">
      <c r="B547" s="61"/>
      <c r="C547" s="61"/>
    </row>
    <row r="548" spans="2:3" x14ac:dyDescent="0.25">
      <c r="B548" s="61"/>
      <c r="C548" s="61"/>
    </row>
    <row r="549" spans="2:3" x14ac:dyDescent="0.25">
      <c r="B549" s="61"/>
      <c r="C549" s="61"/>
    </row>
    <row r="550" spans="2:3" x14ac:dyDescent="0.25">
      <c r="B550" s="61"/>
      <c r="C550" s="61"/>
    </row>
    <row r="551" spans="2:3" x14ac:dyDescent="0.25">
      <c r="B551" s="61"/>
      <c r="C551" s="61"/>
    </row>
    <row r="552" spans="2:3" x14ac:dyDescent="0.25">
      <c r="B552" s="61"/>
      <c r="C552" s="61"/>
    </row>
    <row r="553" spans="2:3" x14ac:dyDescent="0.25">
      <c r="B553" s="61"/>
      <c r="C553" s="61"/>
    </row>
    <row r="554" spans="2:3" x14ac:dyDescent="0.25">
      <c r="B554" s="61"/>
      <c r="C554" s="61"/>
    </row>
    <row r="555" spans="2:3" x14ac:dyDescent="0.25">
      <c r="B555" s="61"/>
      <c r="C555" s="61"/>
    </row>
    <row r="556" spans="2:3" x14ac:dyDescent="0.25">
      <c r="B556" s="61"/>
      <c r="C556" s="61"/>
    </row>
    <row r="557" spans="2:3" x14ac:dyDescent="0.25">
      <c r="B557" s="61"/>
      <c r="C557" s="61"/>
    </row>
    <row r="558" spans="2:3" x14ac:dyDescent="0.25">
      <c r="B558" s="61"/>
      <c r="C558" s="61"/>
    </row>
    <row r="559" spans="2:3" x14ac:dyDescent="0.25">
      <c r="B559" s="61"/>
      <c r="C559" s="61"/>
    </row>
    <row r="560" spans="2:3" x14ac:dyDescent="0.25">
      <c r="B560" s="61"/>
      <c r="C560" s="61"/>
    </row>
    <row r="561" spans="2:3" x14ac:dyDescent="0.25">
      <c r="B561" s="61"/>
      <c r="C561" s="61"/>
    </row>
    <row r="562" spans="2:3" x14ac:dyDescent="0.25">
      <c r="B562" s="61"/>
      <c r="C562" s="61"/>
    </row>
    <row r="563" spans="2:3" x14ac:dyDescent="0.25">
      <c r="B563" s="61"/>
      <c r="C563" s="61"/>
    </row>
    <row r="564" spans="2:3" x14ac:dyDescent="0.25">
      <c r="B564" s="61"/>
      <c r="C564" s="61"/>
    </row>
    <row r="565" spans="2:3" x14ac:dyDescent="0.25">
      <c r="B565" s="61"/>
      <c r="C565" s="61"/>
    </row>
    <row r="566" spans="2:3" x14ac:dyDescent="0.25">
      <c r="B566" s="61"/>
      <c r="C566" s="61"/>
    </row>
    <row r="567" spans="2:3" x14ac:dyDescent="0.25">
      <c r="B567" s="61"/>
      <c r="C567" s="61"/>
    </row>
    <row r="568" spans="2:3" x14ac:dyDescent="0.25">
      <c r="B568" s="61"/>
      <c r="C568" s="61"/>
    </row>
    <row r="569" spans="2:3" x14ac:dyDescent="0.25">
      <c r="B569" s="61"/>
      <c r="C569" s="61"/>
    </row>
    <row r="570" spans="2:3" x14ac:dyDescent="0.25">
      <c r="B570" s="61"/>
      <c r="C570" s="61"/>
    </row>
    <row r="571" spans="2:3" x14ac:dyDescent="0.25">
      <c r="B571" s="61"/>
      <c r="C571" s="61"/>
    </row>
    <row r="572" spans="2:3" x14ac:dyDescent="0.25">
      <c r="B572" s="61"/>
      <c r="C572" s="61"/>
    </row>
    <row r="573" spans="2:3" x14ac:dyDescent="0.25">
      <c r="B573" s="61"/>
      <c r="C573" s="61"/>
    </row>
    <row r="574" spans="2:3" x14ac:dyDescent="0.25">
      <c r="B574" s="61"/>
      <c r="C574" s="61"/>
    </row>
    <row r="575" spans="2:3" x14ac:dyDescent="0.25">
      <c r="B575" s="61"/>
      <c r="C575" s="61"/>
    </row>
    <row r="576" spans="2:3" x14ac:dyDescent="0.25">
      <c r="B576" s="61"/>
      <c r="C576" s="61"/>
    </row>
    <row r="577" spans="2:3" x14ac:dyDescent="0.25">
      <c r="B577" s="61"/>
      <c r="C577" s="61"/>
    </row>
    <row r="578" spans="2:3" x14ac:dyDescent="0.25">
      <c r="B578" s="61"/>
      <c r="C578" s="61"/>
    </row>
    <row r="579" spans="2:3" x14ac:dyDescent="0.25">
      <c r="B579" s="61"/>
      <c r="C579" s="61"/>
    </row>
    <row r="580" spans="2:3" x14ac:dyDescent="0.25">
      <c r="B580" s="61"/>
      <c r="C580" s="61"/>
    </row>
    <row r="581" spans="2:3" x14ac:dyDescent="0.25">
      <c r="B581" s="61"/>
      <c r="C581" s="61"/>
    </row>
    <row r="582" spans="2:3" x14ac:dyDescent="0.25">
      <c r="B582" s="61"/>
      <c r="C582" s="61"/>
    </row>
    <row r="583" spans="2:3" x14ac:dyDescent="0.25">
      <c r="B583" s="61"/>
      <c r="C583" s="61"/>
    </row>
    <row r="584" spans="2:3" x14ac:dyDescent="0.25">
      <c r="B584" s="61"/>
      <c r="C584" s="61"/>
    </row>
    <row r="585" spans="2:3" x14ac:dyDescent="0.25">
      <c r="B585" s="61"/>
      <c r="C585" s="61"/>
    </row>
    <row r="586" spans="2:3" x14ac:dyDescent="0.25">
      <c r="B586" s="61"/>
      <c r="C586" s="61"/>
    </row>
    <row r="587" spans="2:3" x14ac:dyDescent="0.25">
      <c r="B587" s="61"/>
      <c r="C587" s="61"/>
    </row>
    <row r="588" spans="2:3" x14ac:dyDescent="0.25">
      <c r="B588" s="61"/>
      <c r="C588" s="61"/>
    </row>
    <row r="589" spans="2:3" x14ac:dyDescent="0.25">
      <c r="B589" s="61"/>
      <c r="C589" s="61"/>
    </row>
    <row r="590" spans="2:3" x14ac:dyDescent="0.25">
      <c r="B590" s="61"/>
      <c r="C590" s="61"/>
    </row>
    <row r="591" spans="2:3" x14ac:dyDescent="0.25">
      <c r="B591" s="61"/>
      <c r="C591" s="61"/>
    </row>
    <row r="592" spans="2:3" x14ac:dyDescent="0.25">
      <c r="B592" s="61"/>
      <c r="C592" s="61"/>
    </row>
    <row r="593" spans="2:3" x14ac:dyDescent="0.25">
      <c r="B593" s="61"/>
      <c r="C593" s="61"/>
    </row>
    <row r="594" spans="2:3" x14ac:dyDescent="0.25">
      <c r="B594" s="61"/>
      <c r="C594" s="61"/>
    </row>
    <row r="595" spans="2:3" x14ac:dyDescent="0.25">
      <c r="B595" s="61"/>
      <c r="C595" s="61"/>
    </row>
    <row r="596" spans="2:3" x14ac:dyDescent="0.25">
      <c r="B596" s="61"/>
      <c r="C596" s="61"/>
    </row>
    <row r="597" spans="2:3" x14ac:dyDescent="0.25">
      <c r="B597" s="61"/>
      <c r="C597" s="61"/>
    </row>
    <row r="598" spans="2:3" x14ac:dyDescent="0.25">
      <c r="B598" s="61"/>
      <c r="C598" s="61"/>
    </row>
    <row r="599" spans="2:3" x14ac:dyDescent="0.25">
      <c r="B599" s="61"/>
      <c r="C599" s="61"/>
    </row>
    <row r="600" spans="2:3" x14ac:dyDescent="0.25">
      <c r="B600" s="61"/>
      <c r="C600" s="61"/>
    </row>
    <row r="601" spans="2:3" x14ac:dyDescent="0.25">
      <c r="B601" s="61"/>
      <c r="C601" s="61"/>
    </row>
    <row r="602" spans="2:3" x14ac:dyDescent="0.25">
      <c r="B602" s="61"/>
      <c r="C602" s="61"/>
    </row>
    <row r="603" spans="2:3" x14ac:dyDescent="0.25">
      <c r="B603" s="61"/>
      <c r="C603" s="61"/>
    </row>
    <row r="604" spans="2:3" x14ac:dyDescent="0.25">
      <c r="B604" s="61"/>
      <c r="C604" s="61"/>
    </row>
    <row r="605" spans="2:3" x14ac:dyDescent="0.25">
      <c r="B605" s="61"/>
      <c r="C605" s="61"/>
    </row>
    <row r="606" spans="2:3" x14ac:dyDescent="0.25">
      <c r="B606" s="61"/>
      <c r="C606" s="61"/>
    </row>
    <row r="607" spans="2:3" x14ac:dyDescent="0.25">
      <c r="B607" s="61"/>
      <c r="C607" s="61"/>
    </row>
    <row r="608" spans="2:3" x14ac:dyDescent="0.25">
      <c r="B608" s="61"/>
      <c r="C608" s="61"/>
    </row>
    <row r="609" spans="2:3" x14ac:dyDescent="0.25">
      <c r="B609" s="61"/>
      <c r="C609" s="61"/>
    </row>
    <row r="610" spans="2:3" x14ac:dyDescent="0.25">
      <c r="B610" s="61"/>
      <c r="C610" s="61"/>
    </row>
    <row r="611" spans="2:3" x14ac:dyDescent="0.25">
      <c r="B611" s="61"/>
      <c r="C611" s="61"/>
    </row>
    <row r="612" spans="2:3" x14ac:dyDescent="0.25">
      <c r="B612" s="61"/>
      <c r="C612" s="61"/>
    </row>
    <row r="613" spans="2:3" x14ac:dyDescent="0.25">
      <c r="B613" s="61"/>
      <c r="C613" s="61"/>
    </row>
    <row r="614" spans="2:3" x14ac:dyDescent="0.25">
      <c r="B614" s="61"/>
      <c r="C614" s="61"/>
    </row>
    <row r="615" spans="2:3" x14ac:dyDescent="0.25">
      <c r="B615" s="61"/>
      <c r="C615" s="61"/>
    </row>
    <row r="616" spans="2:3" x14ac:dyDescent="0.25">
      <c r="B616" s="61"/>
      <c r="C616" s="61"/>
    </row>
    <row r="617" spans="2:3" x14ac:dyDescent="0.25">
      <c r="B617" s="61"/>
      <c r="C617" s="61"/>
    </row>
    <row r="618" spans="2:3" x14ac:dyDescent="0.25">
      <c r="B618" s="61"/>
      <c r="C618" s="61"/>
    </row>
    <row r="619" spans="2:3" x14ac:dyDescent="0.25">
      <c r="B619" s="61"/>
      <c r="C619" s="61"/>
    </row>
    <row r="620" spans="2:3" x14ac:dyDescent="0.25">
      <c r="B620" s="61"/>
      <c r="C620" s="61"/>
    </row>
    <row r="621" spans="2:3" x14ac:dyDescent="0.25">
      <c r="B621" s="61"/>
      <c r="C621" s="61"/>
    </row>
    <row r="622" spans="2:3" x14ac:dyDescent="0.25">
      <c r="B622" s="61"/>
      <c r="C622" s="61"/>
    </row>
    <row r="623" spans="2:3" x14ac:dyDescent="0.25">
      <c r="B623" s="61"/>
      <c r="C623" s="61"/>
    </row>
    <row r="624" spans="2:3" x14ac:dyDescent="0.25">
      <c r="B624" s="61"/>
      <c r="C624" s="61"/>
    </row>
    <row r="625" spans="2:3" x14ac:dyDescent="0.25">
      <c r="B625" s="61"/>
      <c r="C625" s="61"/>
    </row>
    <row r="626" spans="2:3" x14ac:dyDescent="0.25">
      <c r="B626" s="61"/>
      <c r="C626" s="61"/>
    </row>
    <row r="627" spans="2:3" x14ac:dyDescent="0.25">
      <c r="B627" s="61"/>
      <c r="C627" s="61"/>
    </row>
    <row r="628" spans="2:3" x14ac:dyDescent="0.25">
      <c r="B628" s="61"/>
      <c r="C628" s="61"/>
    </row>
    <row r="629" spans="2:3" x14ac:dyDescent="0.25">
      <c r="B629" s="61"/>
      <c r="C629" s="61"/>
    </row>
    <row r="630" spans="2:3" x14ac:dyDescent="0.25">
      <c r="B630" s="61"/>
      <c r="C630" s="61"/>
    </row>
    <row r="631" spans="2:3" x14ac:dyDescent="0.25">
      <c r="B631" s="61"/>
      <c r="C631" s="61"/>
    </row>
    <row r="632" spans="2:3" x14ac:dyDescent="0.25">
      <c r="B632" s="61"/>
      <c r="C632" s="61"/>
    </row>
    <row r="633" spans="2:3" x14ac:dyDescent="0.25">
      <c r="B633" s="61"/>
      <c r="C633" s="61"/>
    </row>
    <row r="634" spans="2:3" x14ac:dyDescent="0.25">
      <c r="B634" s="61"/>
      <c r="C634" s="61"/>
    </row>
    <row r="635" spans="2:3" x14ac:dyDescent="0.25">
      <c r="B635" s="61"/>
      <c r="C635" s="61"/>
    </row>
    <row r="636" spans="2:3" x14ac:dyDescent="0.25">
      <c r="B636" s="61"/>
      <c r="C636" s="61"/>
    </row>
    <row r="637" spans="2:3" x14ac:dyDescent="0.25">
      <c r="B637" s="61"/>
      <c r="C637" s="61"/>
    </row>
    <row r="638" spans="2:3" x14ac:dyDescent="0.25">
      <c r="B638" s="61"/>
      <c r="C638" s="61"/>
    </row>
    <row r="639" spans="2:3" x14ac:dyDescent="0.25">
      <c r="B639" s="61"/>
      <c r="C639" s="61"/>
    </row>
    <row r="640" spans="2:3" x14ac:dyDescent="0.25">
      <c r="B640" s="61"/>
      <c r="C640" s="61"/>
    </row>
    <row r="641" spans="2:3" x14ac:dyDescent="0.25">
      <c r="B641" s="61"/>
      <c r="C641" s="61"/>
    </row>
    <row r="642" spans="2:3" x14ac:dyDescent="0.25">
      <c r="B642" s="61"/>
      <c r="C642" s="61"/>
    </row>
    <row r="643" spans="2:3" x14ac:dyDescent="0.25">
      <c r="B643" s="61"/>
      <c r="C643" s="61"/>
    </row>
    <row r="644" spans="2:3" x14ac:dyDescent="0.25">
      <c r="B644" s="61"/>
      <c r="C644" s="61"/>
    </row>
    <row r="645" spans="2:3" x14ac:dyDescent="0.25">
      <c r="B645" s="61"/>
      <c r="C645" s="61"/>
    </row>
    <row r="646" spans="2:3" x14ac:dyDescent="0.25">
      <c r="B646" s="61"/>
      <c r="C646" s="61"/>
    </row>
    <row r="647" spans="2:3" x14ac:dyDescent="0.25">
      <c r="B647" s="61"/>
      <c r="C647" s="61"/>
    </row>
    <row r="648" spans="2:3" x14ac:dyDescent="0.25">
      <c r="B648" s="61"/>
      <c r="C648" s="61"/>
    </row>
    <row r="649" spans="2:3" x14ac:dyDescent="0.25">
      <c r="B649" s="61"/>
      <c r="C649" s="61"/>
    </row>
    <row r="650" spans="2:3" x14ac:dyDescent="0.25">
      <c r="B650" s="61"/>
      <c r="C650" s="61"/>
    </row>
    <row r="651" spans="2:3" x14ac:dyDescent="0.25">
      <c r="B651" s="61"/>
      <c r="C651" s="61"/>
    </row>
    <row r="652" spans="2:3" x14ac:dyDescent="0.25">
      <c r="B652" s="61"/>
      <c r="C652" s="61"/>
    </row>
    <row r="653" spans="2:3" x14ac:dyDescent="0.25">
      <c r="B653" s="61"/>
      <c r="C653" s="61"/>
    </row>
    <row r="654" spans="2:3" x14ac:dyDescent="0.25">
      <c r="B654" s="61"/>
      <c r="C654" s="61"/>
    </row>
    <row r="655" spans="2:3" x14ac:dyDescent="0.25">
      <c r="B655" s="61"/>
      <c r="C655" s="61"/>
    </row>
    <row r="656" spans="2:3" x14ac:dyDescent="0.25">
      <c r="B656" s="61"/>
      <c r="C656" s="61"/>
    </row>
    <row r="657" spans="2:3" x14ac:dyDescent="0.25">
      <c r="B657" s="61"/>
      <c r="C657" s="61"/>
    </row>
    <row r="658" spans="2:3" x14ac:dyDescent="0.25">
      <c r="B658" s="61"/>
      <c r="C658" s="61"/>
    </row>
    <row r="659" spans="2:3" x14ac:dyDescent="0.25">
      <c r="B659" s="61"/>
      <c r="C659" s="61"/>
    </row>
    <row r="660" spans="2:3" x14ac:dyDescent="0.25">
      <c r="B660" s="61"/>
      <c r="C660" s="61"/>
    </row>
    <row r="661" spans="2:3" x14ac:dyDescent="0.25">
      <c r="B661" s="61"/>
      <c r="C661" s="61"/>
    </row>
    <row r="662" spans="2:3" x14ac:dyDescent="0.25">
      <c r="B662" s="61"/>
      <c r="C662" s="61"/>
    </row>
    <row r="663" spans="2:3" x14ac:dyDescent="0.25">
      <c r="B663" s="61"/>
      <c r="C663" s="61"/>
    </row>
    <row r="664" spans="2:3" x14ac:dyDescent="0.25">
      <c r="B664" s="61"/>
      <c r="C664" s="61"/>
    </row>
    <row r="665" spans="2:3" x14ac:dyDescent="0.25">
      <c r="B665" s="61"/>
      <c r="C665" s="61"/>
    </row>
    <row r="666" spans="2:3" x14ac:dyDescent="0.25">
      <c r="B666" s="61"/>
      <c r="C666" s="61"/>
    </row>
    <row r="667" spans="2:3" x14ac:dyDescent="0.25">
      <c r="B667" s="61"/>
      <c r="C667" s="61"/>
    </row>
    <row r="668" spans="2:3" x14ac:dyDescent="0.25">
      <c r="B668" s="61"/>
      <c r="C668" s="61"/>
    </row>
    <row r="669" spans="2:3" x14ac:dyDescent="0.25">
      <c r="B669" s="61"/>
      <c r="C669" s="61"/>
    </row>
    <row r="670" spans="2:3" x14ac:dyDescent="0.25">
      <c r="B670" s="61"/>
      <c r="C670" s="61"/>
    </row>
    <row r="671" spans="2:3" x14ac:dyDescent="0.25">
      <c r="B671" s="61"/>
      <c r="C671" s="61"/>
    </row>
    <row r="672" spans="2:3" x14ac:dyDescent="0.25">
      <c r="B672" s="61"/>
      <c r="C672" s="61"/>
    </row>
    <row r="673" spans="2:3" x14ac:dyDescent="0.25">
      <c r="B673" s="61"/>
      <c r="C673" s="61"/>
    </row>
    <row r="674" spans="2:3" x14ac:dyDescent="0.25">
      <c r="B674" s="61"/>
      <c r="C674" s="61"/>
    </row>
    <row r="675" spans="2:3" x14ac:dyDescent="0.25">
      <c r="B675" s="61"/>
      <c r="C675" s="61"/>
    </row>
    <row r="676" spans="2:3" x14ac:dyDescent="0.25">
      <c r="B676" s="61"/>
      <c r="C676" s="61"/>
    </row>
    <row r="677" spans="2:3" x14ac:dyDescent="0.25">
      <c r="B677" s="61"/>
      <c r="C677" s="61"/>
    </row>
    <row r="678" spans="2:3" x14ac:dyDescent="0.25">
      <c r="B678" s="61"/>
      <c r="C678" s="61"/>
    </row>
    <row r="679" spans="2:3" x14ac:dyDescent="0.25">
      <c r="B679" s="61"/>
      <c r="C679" s="61"/>
    </row>
    <row r="680" spans="2:3" x14ac:dyDescent="0.25">
      <c r="B680" s="61"/>
      <c r="C680" s="61"/>
    </row>
    <row r="681" spans="2:3" x14ac:dyDescent="0.25">
      <c r="B681" s="61"/>
      <c r="C681" s="61"/>
    </row>
    <row r="682" spans="2:3" x14ac:dyDescent="0.25">
      <c r="B682" s="61"/>
      <c r="C682" s="61"/>
    </row>
    <row r="683" spans="2:3" x14ac:dyDescent="0.25">
      <c r="B683" s="61"/>
      <c r="C683" s="61"/>
    </row>
    <row r="684" spans="2:3" x14ac:dyDescent="0.25">
      <c r="B684" s="61"/>
      <c r="C684" s="61"/>
    </row>
    <row r="685" spans="2:3" x14ac:dyDescent="0.25">
      <c r="B685" s="61"/>
      <c r="C685" s="61"/>
    </row>
    <row r="686" spans="2:3" x14ac:dyDescent="0.25">
      <c r="B686" s="61"/>
      <c r="C686" s="61"/>
    </row>
    <row r="687" spans="2:3" x14ac:dyDescent="0.25">
      <c r="B687" s="61"/>
      <c r="C687" s="61"/>
    </row>
    <row r="688" spans="2:3" x14ac:dyDescent="0.25">
      <c r="B688" s="61"/>
      <c r="C688" s="61"/>
    </row>
    <row r="689" spans="2:3" x14ac:dyDescent="0.25">
      <c r="B689" s="61"/>
      <c r="C689" s="61"/>
    </row>
    <row r="690" spans="2:3" x14ac:dyDescent="0.25">
      <c r="B690" s="61"/>
      <c r="C690" s="61"/>
    </row>
    <row r="691" spans="2:3" x14ac:dyDescent="0.25">
      <c r="B691" s="61"/>
      <c r="C691" s="61"/>
    </row>
    <row r="692" spans="2:3" x14ac:dyDescent="0.25">
      <c r="B692" s="61"/>
      <c r="C692" s="61"/>
    </row>
    <row r="693" spans="2:3" x14ac:dyDescent="0.25">
      <c r="B693" s="61"/>
      <c r="C693" s="61"/>
    </row>
    <row r="694" spans="2:3" x14ac:dyDescent="0.25">
      <c r="B694" s="61"/>
      <c r="C694" s="61"/>
    </row>
    <row r="695" spans="2:3" x14ac:dyDescent="0.25">
      <c r="B695" s="61"/>
      <c r="C695" s="61"/>
    </row>
    <row r="696" spans="2:3" x14ac:dyDescent="0.25">
      <c r="B696" s="61"/>
      <c r="C696" s="61"/>
    </row>
    <row r="697" spans="2:3" x14ac:dyDescent="0.25">
      <c r="B697" s="61"/>
      <c r="C697" s="61"/>
    </row>
    <row r="698" spans="2:3" x14ac:dyDescent="0.25">
      <c r="B698" s="61"/>
      <c r="C698" s="61"/>
    </row>
    <row r="699" spans="2:3" x14ac:dyDescent="0.25">
      <c r="B699" s="61"/>
      <c r="C699" s="61"/>
    </row>
    <row r="700" spans="2:3" x14ac:dyDescent="0.25">
      <c r="B700" s="61"/>
      <c r="C700" s="61"/>
    </row>
    <row r="701" spans="2:3" x14ac:dyDescent="0.25">
      <c r="B701" s="61"/>
      <c r="C701" s="61"/>
    </row>
    <row r="702" spans="2:3" x14ac:dyDescent="0.25">
      <c r="B702" s="61"/>
      <c r="C702" s="61"/>
    </row>
    <row r="703" spans="2:3" x14ac:dyDescent="0.25">
      <c r="B703" s="61"/>
      <c r="C703" s="61"/>
    </row>
    <row r="704" spans="2:3" x14ac:dyDescent="0.25">
      <c r="B704" s="61"/>
      <c r="C704" s="61"/>
    </row>
    <row r="705" spans="2:3" x14ac:dyDescent="0.25">
      <c r="B705" s="61"/>
      <c r="C705" s="61"/>
    </row>
    <row r="706" spans="2:3" x14ac:dyDescent="0.25">
      <c r="B706" s="61"/>
      <c r="C706" s="61"/>
    </row>
    <row r="707" spans="2:3" x14ac:dyDescent="0.25">
      <c r="B707" s="61"/>
      <c r="C707" s="61"/>
    </row>
    <row r="708" spans="2:3" x14ac:dyDescent="0.25">
      <c r="B708" s="61"/>
      <c r="C708" s="61"/>
    </row>
    <row r="709" spans="2:3" x14ac:dyDescent="0.25">
      <c r="B709" s="61"/>
      <c r="C709" s="61"/>
    </row>
    <row r="710" spans="2:3" x14ac:dyDescent="0.25">
      <c r="B710" s="61"/>
      <c r="C710" s="61"/>
    </row>
    <row r="711" spans="2:3" x14ac:dyDescent="0.25">
      <c r="B711" s="61"/>
      <c r="C711" s="61"/>
    </row>
    <row r="712" spans="2:3" x14ac:dyDescent="0.25">
      <c r="B712" s="61"/>
      <c r="C712" s="61"/>
    </row>
    <row r="713" spans="2:3" x14ac:dyDescent="0.25">
      <c r="B713" s="61"/>
      <c r="C713" s="61"/>
    </row>
    <row r="714" spans="2:3" x14ac:dyDescent="0.25">
      <c r="B714" s="61"/>
      <c r="C714" s="61"/>
    </row>
    <row r="715" spans="2:3" x14ac:dyDescent="0.25">
      <c r="B715" s="61"/>
      <c r="C715" s="61"/>
    </row>
    <row r="716" spans="2:3" x14ac:dyDescent="0.25">
      <c r="B716" s="61"/>
      <c r="C716" s="61"/>
    </row>
    <row r="717" spans="2:3" x14ac:dyDescent="0.25">
      <c r="B717" s="61"/>
      <c r="C717" s="61"/>
    </row>
    <row r="718" spans="2:3" x14ac:dyDescent="0.25">
      <c r="B718" s="61"/>
      <c r="C718" s="61"/>
    </row>
    <row r="719" spans="2:3" x14ac:dyDescent="0.25">
      <c r="B719" s="61"/>
      <c r="C719" s="61"/>
    </row>
    <row r="720" spans="2:3" x14ac:dyDescent="0.25">
      <c r="B720" s="61"/>
      <c r="C720" s="61"/>
    </row>
    <row r="721" spans="2:3" x14ac:dyDescent="0.25">
      <c r="B721" s="61"/>
      <c r="C721" s="61"/>
    </row>
    <row r="722" spans="2:3" x14ac:dyDescent="0.25">
      <c r="B722" s="61"/>
      <c r="C722" s="61"/>
    </row>
    <row r="723" spans="2:3" x14ac:dyDescent="0.25">
      <c r="B723" s="61"/>
      <c r="C723" s="61"/>
    </row>
    <row r="724" spans="2:3" x14ac:dyDescent="0.25">
      <c r="B724" s="61"/>
      <c r="C724" s="61"/>
    </row>
    <row r="725" spans="2:3" x14ac:dyDescent="0.25">
      <c r="B725" s="61"/>
      <c r="C725" s="61"/>
    </row>
    <row r="726" spans="2:3" x14ac:dyDescent="0.25">
      <c r="B726" s="61"/>
      <c r="C726" s="61"/>
    </row>
    <row r="727" spans="2:3" x14ac:dyDescent="0.25">
      <c r="B727" s="61"/>
      <c r="C727" s="61"/>
    </row>
    <row r="728" spans="2:3" x14ac:dyDescent="0.25">
      <c r="B728" s="61"/>
      <c r="C728" s="61"/>
    </row>
    <row r="729" spans="2:3" x14ac:dyDescent="0.25">
      <c r="B729" s="61"/>
      <c r="C729" s="61"/>
    </row>
    <row r="730" spans="2:3" x14ac:dyDescent="0.25">
      <c r="B730" s="61"/>
      <c r="C730" s="61"/>
    </row>
    <row r="731" spans="2:3" x14ac:dyDescent="0.25">
      <c r="B731" s="61"/>
      <c r="C731" s="61"/>
    </row>
    <row r="732" spans="2:3" x14ac:dyDescent="0.25">
      <c r="B732" s="61"/>
      <c r="C732" s="61"/>
    </row>
    <row r="733" spans="2:3" x14ac:dyDescent="0.25">
      <c r="B733" s="61"/>
      <c r="C733" s="61"/>
    </row>
    <row r="734" spans="2:3" x14ac:dyDescent="0.25">
      <c r="B734" s="61"/>
      <c r="C734" s="61"/>
    </row>
    <row r="735" spans="2:3" x14ac:dyDescent="0.25">
      <c r="B735" s="61"/>
      <c r="C735" s="61"/>
    </row>
    <row r="736" spans="2:3" x14ac:dyDescent="0.25">
      <c r="B736" s="61"/>
      <c r="C736" s="61"/>
    </row>
    <row r="737" spans="2:3" x14ac:dyDescent="0.25">
      <c r="B737" s="61"/>
      <c r="C737" s="61"/>
    </row>
    <row r="738" spans="2:3" x14ac:dyDescent="0.25">
      <c r="B738" s="61"/>
      <c r="C738" s="61"/>
    </row>
    <row r="739" spans="2:3" x14ac:dyDescent="0.25">
      <c r="B739" s="61"/>
      <c r="C739" s="61"/>
    </row>
    <row r="740" spans="2:3" x14ac:dyDescent="0.25">
      <c r="B740" s="61"/>
      <c r="C740" s="61"/>
    </row>
    <row r="741" spans="2:3" x14ac:dyDescent="0.25">
      <c r="B741" s="61"/>
      <c r="C741" s="61"/>
    </row>
    <row r="742" spans="2:3" x14ac:dyDescent="0.25">
      <c r="B742" s="61"/>
      <c r="C742" s="61"/>
    </row>
    <row r="743" spans="2:3" x14ac:dyDescent="0.25">
      <c r="B743" s="61"/>
      <c r="C743" s="61"/>
    </row>
    <row r="744" spans="2:3" x14ac:dyDescent="0.25">
      <c r="B744" s="61"/>
      <c r="C744" s="61"/>
    </row>
    <row r="745" spans="2:3" x14ac:dyDescent="0.25">
      <c r="B745" s="61"/>
      <c r="C745" s="61"/>
    </row>
    <row r="746" spans="2:3" x14ac:dyDescent="0.25">
      <c r="B746" s="61"/>
      <c r="C746" s="61"/>
    </row>
    <row r="747" spans="2:3" x14ac:dyDescent="0.25">
      <c r="B747" s="61"/>
      <c r="C747" s="61"/>
    </row>
    <row r="748" spans="2:3" x14ac:dyDescent="0.25">
      <c r="B748" s="61"/>
      <c r="C748" s="61"/>
    </row>
    <row r="749" spans="2:3" x14ac:dyDescent="0.25">
      <c r="B749" s="61"/>
      <c r="C749" s="61"/>
    </row>
    <row r="750" spans="2:3" x14ac:dyDescent="0.25">
      <c r="B750" s="61"/>
      <c r="C750" s="61"/>
    </row>
    <row r="751" spans="2:3" x14ac:dyDescent="0.25">
      <c r="B751" s="61"/>
      <c r="C751" s="61"/>
    </row>
    <row r="752" spans="2:3" x14ac:dyDescent="0.25">
      <c r="B752" s="61"/>
      <c r="C752" s="61"/>
    </row>
    <row r="753" spans="2:3" x14ac:dyDescent="0.25">
      <c r="B753" s="61"/>
      <c r="C753" s="61"/>
    </row>
    <row r="754" spans="2:3" x14ac:dyDescent="0.25">
      <c r="B754" s="61"/>
      <c r="C754" s="61"/>
    </row>
    <row r="755" spans="2:3" x14ac:dyDescent="0.25">
      <c r="B755" s="61"/>
      <c r="C755" s="61"/>
    </row>
    <row r="756" spans="2:3" x14ac:dyDescent="0.25">
      <c r="B756" s="61"/>
      <c r="C756" s="61"/>
    </row>
    <row r="757" spans="2:3" x14ac:dyDescent="0.25">
      <c r="B757" s="61"/>
      <c r="C757" s="61"/>
    </row>
    <row r="758" spans="2:3" x14ac:dyDescent="0.25">
      <c r="B758" s="61"/>
      <c r="C758" s="61"/>
    </row>
    <row r="759" spans="2:3" x14ac:dyDescent="0.25">
      <c r="B759" s="61"/>
      <c r="C759" s="61"/>
    </row>
    <row r="760" spans="2:3" x14ac:dyDescent="0.25">
      <c r="B760" s="61"/>
      <c r="C760" s="61"/>
    </row>
    <row r="761" spans="2:3" x14ac:dyDescent="0.25">
      <c r="B761" s="61"/>
      <c r="C761" s="61"/>
    </row>
    <row r="762" spans="2:3" x14ac:dyDescent="0.25">
      <c r="B762" s="61"/>
      <c r="C762" s="61"/>
    </row>
    <row r="763" spans="2:3" x14ac:dyDescent="0.25">
      <c r="B763" s="61"/>
      <c r="C763" s="61"/>
    </row>
    <row r="764" spans="2:3" x14ac:dyDescent="0.25">
      <c r="B764" s="61"/>
      <c r="C764" s="61"/>
    </row>
    <row r="765" spans="2:3" x14ac:dyDescent="0.25">
      <c r="B765" s="61"/>
      <c r="C765" s="61"/>
    </row>
    <row r="766" spans="2:3" x14ac:dyDescent="0.25">
      <c r="B766" s="61"/>
      <c r="C766" s="61"/>
    </row>
    <row r="767" spans="2:3" x14ac:dyDescent="0.25">
      <c r="B767" s="61"/>
      <c r="C767" s="61"/>
    </row>
    <row r="768" spans="2:3" x14ac:dyDescent="0.25">
      <c r="B768" s="61"/>
      <c r="C768" s="61"/>
    </row>
    <row r="769" spans="2:3" x14ac:dyDescent="0.25">
      <c r="B769" s="61"/>
      <c r="C769" s="61"/>
    </row>
    <row r="770" spans="2:3" x14ac:dyDescent="0.25">
      <c r="B770" s="61"/>
      <c r="C770" s="61"/>
    </row>
    <row r="771" spans="2:3" x14ac:dyDescent="0.25">
      <c r="B771" s="61"/>
      <c r="C771" s="61"/>
    </row>
    <row r="772" spans="2:3" x14ac:dyDescent="0.25">
      <c r="B772" s="61"/>
      <c r="C772" s="61"/>
    </row>
    <row r="773" spans="2:3" x14ac:dyDescent="0.25">
      <c r="B773" s="61"/>
      <c r="C773" s="61"/>
    </row>
    <row r="774" spans="2:3" x14ac:dyDescent="0.25">
      <c r="B774" s="61"/>
      <c r="C774" s="61"/>
    </row>
    <row r="775" spans="2:3" x14ac:dyDescent="0.25">
      <c r="B775" s="61"/>
      <c r="C775" s="61"/>
    </row>
    <row r="776" spans="2:3" x14ac:dyDescent="0.25">
      <c r="B776" s="61"/>
      <c r="C776" s="61"/>
    </row>
    <row r="777" spans="2:3" x14ac:dyDescent="0.25">
      <c r="B777" s="61"/>
      <c r="C777" s="61"/>
    </row>
    <row r="778" spans="2:3" x14ac:dyDescent="0.25">
      <c r="B778" s="61"/>
      <c r="C778" s="61"/>
    </row>
    <row r="779" spans="2:3" x14ac:dyDescent="0.25">
      <c r="B779" s="61"/>
      <c r="C779" s="61"/>
    </row>
    <row r="780" spans="2:3" x14ac:dyDescent="0.25">
      <c r="B780" s="61"/>
      <c r="C780" s="61"/>
    </row>
    <row r="781" spans="2:3" x14ac:dyDescent="0.25">
      <c r="B781" s="61"/>
      <c r="C781" s="61"/>
    </row>
    <row r="782" spans="2:3" x14ac:dyDescent="0.25">
      <c r="B782" s="61"/>
      <c r="C782" s="61"/>
    </row>
    <row r="783" spans="2:3" x14ac:dyDescent="0.25">
      <c r="B783" s="61"/>
      <c r="C783" s="61"/>
    </row>
    <row r="784" spans="2:3" x14ac:dyDescent="0.25">
      <c r="B784" s="61"/>
      <c r="C784" s="61"/>
    </row>
    <row r="785" spans="2:3" x14ac:dyDescent="0.25">
      <c r="B785" s="61"/>
      <c r="C785" s="61"/>
    </row>
    <row r="786" spans="2:3" x14ac:dyDescent="0.25">
      <c r="B786" s="61"/>
      <c r="C786" s="61"/>
    </row>
    <row r="787" spans="2:3" x14ac:dyDescent="0.25">
      <c r="B787" s="61"/>
      <c r="C787" s="61"/>
    </row>
    <row r="788" spans="2:3" x14ac:dyDescent="0.25">
      <c r="B788" s="61"/>
      <c r="C788" s="61"/>
    </row>
    <row r="789" spans="2:3" x14ac:dyDescent="0.25">
      <c r="B789" s="61"/>
      <c r="C789" s="61"/>
    </row>
    <row r="790" spans="2:3" x14ac:dyDescent="0.25">
      <c r="B790" s="61"/>
      <c r="C790" s="61"/>
    </row>
    <row r="791" spans="2:3" x14ac:dyDescent="0.25">
      <c r="B791" s="61"/>
      <c r="C791" s="61"/>
    </row>
    <row r="792" spans="2:3" x14ac:dyDescent="0.25">
      <c r="B792" s="61"/>
      <c r="C792" s="61"/>
    </row>
    <row r="793" spans="2:3" x14ac:dyDescent="0.25">
      <c r="B793" s="61"/>
      <c r="C793" s="61"/>
    </row>
    <row r="794" spans="2:3" x14ac:dyDescent="0.25">
      <c r="B794" s="61"/>
      <c r="C794" s="61"/>
    </row>
    <row r="795" spans="2:3" x14ac:dyDescent="0.25">
      <c r="B795" s="61"/>
      <c r="C795" s="61"/>
    </row>
    <row r="796" spans="2:3" x14ac:dyDescent="0.25">
      <c r="B796" s="61"/>
      <c r="C796" s="61"/>
    </row>
    <row r="797" spans="2:3" x14ac:dyDescent="0.25">
      <c r="B797" s="61"/>
      <c r="C797" s="61"/>
    </row>
    <row r="798" spans="2:3" x14ac:dyDescent="0.25">
      <c r="B798" s="61"/>
      <c r="C798" s="61"/>
    </row>
    <row r="799" spans="2:3" x14ac:dyDescent="0.25">
      <c r="B799" s="61"/>
      <c r="C799" s="61"/>
    </row>
    <row r="800" spans="2:3" x14ac:dyDescent="0.25">
      <c r="B800" s="61"/>
      <c r="C800" s="61"/>
    </row>
    <row r="801" spans="2:3" x14ac:dyDescent="0.25">
      <c r="B801" s="61"/>
      <c r="C801" s="61"/>
    </row>
    <row r="802" spans="2:3" x14ac:dyDescent="0.25">
      <c r="B802" s="61"/>
      <c r="C802" s="61"/>
    </row>
    <row r="803" spans="2:3" x14ac:dyDescent="0.25">
      <c r="B803" s="61"/>
      <c r="C803" s="61"/>
    </row>
    <row r="804" spans="2:3" x14ac:dyDescent="0.25">
      <c r="B804" s="61"/>
      <c r="C804" s="61"/>
    </row>
    <row r="805" spans="2:3" x14ac:dyDescent="0.25">
      <c r="B805" s="61"/>
      <c r="C805" s="61"/>
    </row>
    <row r="806" spans="2:3" x14ac:dyDescent="0.25">
      <c r="B806" s="61"/>
      <c r="C806" s="61"/>
    </row>
    <row r="807" spans="2:3" x14ac:dyDescent="0.25">
      <c r="B807" s="61"/>
      <c r="C807" s="61"/>
    </row>
    <row r="808" spans="2:3" x14ac:dyDescent="0.25">
      <c r="B808" s="61"/>
      <c r="C808" s="61"/>
    </row>
    <row r="809" spans="2:3" x14ac:dyDescent="0.25">
      <c r="B809" s="61"/>
      <c r="C809" s="61"/>
    </row>
    <row r="810" spans="2:3" x14ac:dyDescent="0.25">
      <c r="B810" s="61"/>
      <c r="C810" s="61"/>
    </row>
    <row r="811" spans="2:3" x14ac:dyDescent="0.25">
      <c r="B811" s="61"/>
      <c r="C811" s="61"/>
    </row>
    <row r="812" spans="2:3" x14ac:dyDescent="0.25">
      <c r="B812" s="61"/>
      <c r="C812" s="61"/>
    </row>
    <row r="813" spans="2:3" x14ac:dyDescent="0.25">
      <c r="B813" s="61"/>
      <c r="C813" s="61"/>
    </row>
    <row r="814" spans="2:3" x14ac:dyDescent="0.25">
      <c r="B814" s="61"/>
      <c r="C814" s="61"/>
    </row>
    <row r="815" spans="2:3" x14ac:dyDescent="0.25">
      <c r="B815" s="61"/>
      <c r="C815" s="61"/>
    </row>
    <row r="816" spans="2:3" x14ac:dyDescent="0.25">
      <c r="B816" s="61"/>
      <c r="C816" s="61"/>
    </row>
    <row r="817" spans="2:3" x14ac:dyDescent="0.25">
      <c r="B817" s="61"/>
      <c r="C817" s="61"/>
    </row>
    <row r="818" spans="2:3" x14ac:dyDescent="0.25">
      <c r="B818" s="61"/>
      <c r="C818" s="61"/>
    </row>
    <row r="819" spans="2:3" x14ac:dyDescent="0.25">
      <c r="B819" s="61"/>
      <c r="C819" s="61"/>
    </row>
    <row r="820" spans="2:3" x14ac:dyDescent="0.25">
      <c r="B820" s="61"/>
      <c r="C820" s="61"/>
    </row>
    <row r="821" spans="2:3" x14ac:dyDescent="0.25">
      <c r="B821" s="61"/>
      <c r="C821" s="61"/>
    </row>
    <row r="822" spans="2:3" x14ac:dyDescent="0.25">
      <c r="B822" s="61"/>
      <c r="C822" s="61"/>
    </row>
    <row r="823" spans="2:3" x14ac:dyDescent="0.25">
      <c r="B823" s="61"/>
      <c r="C823" s="61"/>
    </row>
    <row r="824" spans="2:3" x14ac:dyDescent="0.25">
      <c r="B824" s="61"/>
      <c r="C824" s="61"/>
    </row>
    <row r="825" spans="2:3" x14ac:dyDescent="0.25">
      <c r="B825" s="61"/>
      <c r="C825" s="61"/>
    </row>
    <row r="826" spans="2:3" x14ac:dyDescent="0.25">
      <c r="B826" s="61"/>
      <c r="C826" s="61"/>
    </row>
    <row r="827" spans="2:3" x14ac:dyDescent="0.25">
      <c r="B827" s="61"/>
      <c r="C827" s="61"/>
    </row>
    <row r="828" spans="2:3" x14ac:dyDescent="0.25">
      <c r="B828" s="61"/>
      <c r="C828" s="61"/>
    </row>
    <row r="829" spans="2:3" x14ac:dyDescent="0.25">
      <c r="B829" s="61"/>
      <c r="C829" s="61"/>
    </row>
    <row r="830" spans="2:3" x14ac:dyDescent="0.25">
      <c r="B830" s="61"/>
      <c r="C830" s="61"/>
    </row>
    <row r="831" spans="2:3" x14ac:dyDescent="0.25">
      <c r="B831" s="61"/>
      <c r="C831" s="61"/>
    </row>
    <row r="832" spans="2:3" x14ac:dyDescent="0.25">
      <c r="B832" s="61"/>
      <c r="C832" s="61"/>
    </row>
    <row r="833" spans="2:3" x14ac:dyDescent="0.25">
      <c r="B833" s="61"/>
      <c r="C833" s="61"/>
    </row>
    <row r="834" spans="2:3" x14ac:dyDescent="0.25">
      <c r="B834" s="61"/>
      <c r="C834" s="61"/>
    </row>
    <row r="835" spans="2:3" x14ac:dyDescent="0.25">
      <c r="B835" s="61"/>
      <c r="C835" s="61"/>
    </row>
    <row r="836" spans="2:3" x14ac:dyDescent="0.25">
      <c r="B836" s="61"/>
      <c r="C836" s="61"/>
    </row>
    <row r="837" spans="2:3" x14ac:dyDescent="0.25">
      <c r="B837" s="61"/>
      <c r="C837" s="61"/>
    </row>
    <row r="838" spans="2:3" x14ac:dyDescent="0.25">
      <c r="B838" s="61"/>
      <c r="C838" s="61"/>
    </row>
    <row r="839" spans="2:3" x14ac:dyDescent="0.25">
      <c r="B839" s="61"/>
      <c r="C839" s="61"/>
    </row>
    <row r="840" spans="2:3" x14ac:dyDescent="0.25">
      <c r="B840" s="61"/>
      <c r="C840" s="61"/>
    </row>
    <row r="841" spans="2:3" x14ac:dyDescent="0.25">
      <c r="B841" s="61"/>
      <c r="C841" s="61"/>
    </row>
    <row r="842" spans="2:3" x14ac:dyDescent="0.25">
      <c r="B842" s="61"/>
      <c r="C842" s="61"/>
    </row>
    <row r="843" spans="2:3" x14ac:dyDescent="0.25">
      <c r="B843" s="61"/>
      <c r="C843" s="61"/>
    </row>
    <row r="844" spans="2:3" x14ac:dyDescent="0.25">
      <c r="B844" s="61"/>
      <c r="C844" s="61"/>
    </row>
    <row r="845" spans="2:3" x14ac:dyDescent="0.25">
      <c r="B845" s="61"/>
      <c r="C845" s="61"/>
    </row>
    <row r="846" spans="2:3" x14ac:dyDescent="0.25">
      <c r="B846" s="61"/>
      <c r="C846" s="61"/>
    </row>
    <row r="847" spans="2:3" x14ac:dyDescent="0.25">
      <c r="B847" s="61"/>
      <c r="C847" s="61"/>
    </row>
    <row r="848" spans="2:3" x14ac:dyDescent="0.25">
      <c r="B848" s="61"/>
      <c r="C848" s="61"/>
    </row>
    <row r="849" spans="2:3" x14ac:dyDescent="0.25">
      <c r="B849" s="61"/>
      <c r="C849" s="61"/>
    </row>
    <row r="850" spans="2:3" x14ac:dyDescent="0.25">
      <c r="B850" s="61"/>
      <c r="C850" s="61"/>
    </row>
    <row r="851" spans="2:3" x14ac:dyDescent="0.25">
      <c r="B851" s="61"/>
      <c r="C851" s="61"/>
    </row>
    <row r="852" spans="2:3" x14ac:dyDescent="0.25">
      <c r="B852" s="61"/>
      <c r="C852" s="61"/>
    </row>
    <row r="853" spans="2:3" x14ac:dyDescent="0.25">
      <c r="B853" s="61"/>
      <c r="C853" s="61"/>
    </row>
    <row r="854" spans="2:3" x14ac:dyDescent="0.25">
      <c r="B854" s="61"/>
      <c r="C854" s="61"/>
    </row>
    <row r="855" spans="2:3" x14ac:dyDescent="0.25">
      <c r="B855" s="61"/>
      <c r="C855" s="61"/>
    </row>
    <row r="856" spans="2:3" x14ac:dyDescent="0.25">
      <c r="B856" s="61"/>
      <c r="C856" s="61"/>
    </row>
    <row r="857" spans="2:3" x14ac:dyDescent="0.25">
      <c r="B857" s="61"/>
      <c r="C857" s="61"/>
    </row>
    <row r="858" spans="2:3" x14ac:dyDescent="0.25">
      <c r="B858" s="61"/>
      <c r="C858" s="61"/>
    </row>
    <row r="859" spans="2:3" x14ac:dyDescent="0.25">
      <c r="B859" s="61"/>
      <c r="C859" s="61"/>
    </row>
    <row r="860" spans="2:3" x14ac:dyDescent="0.25">
      <c r="B860" s="61"/>
      <c r="C860" s="61"/>
    </row>
    <row r="861" spans="2:3" x14ac:dyDescent="0.25">
      <c r="B861" s="61"/>
      <c r="C861" s="61"/>
    </row>
    <row r="862" spans="2:3" x14ac:dyDescent="0.25">
      <c r="B862" s="61"/>
      <c r="C862" s="61"/>
    </row>
    <row r="863" spans="2:3" x14ac:dyDescent="0.25">
      <c r="B863" s="61"/>
      <c r="C863" s="61"/>
    </row>
    <row r="864" spans="2:3" x14ac:dyDescent="0.25">
      <c r="B864" s="61"/>
      <c r="C864" s="61"/>
    </row>
    <row r="865" spans="2:3" x14ac:dyDescent="0.25">
      <c r="B865" s="61"/>
      <c r="C865" s="61"/>
    </row>
    <row r="866" spans="2:3" x14ac:dyDescent="0.25">
      <c r="B866" s="61"/>
      <c r="C866" s="61"/>
    </row>
    <row r="867" spans="2:3" x14ac:dyDescent="0.25">
      <c r="B867" s="61"/>
      <c r="C867" s="61"/>
    </row>
    <row r="868" spans="2:3" x14ac:dyDescent="0.25">
      <c r="B868" s="61"/>
      <c r="C868" s="61"/>
    </row>
    <row r="869" spans="2:3" x14ac:dyDescent="0.25">
      <c r="B869" s="61"/>
      <c r="C869" s="61"/>
    </row>
    <row r="870" spans="2:3" x14ac:dyDescent="0.25">
      <c r="B870" s="61"/>
      <c r="C870" s="61"/>
    </row>
    <row r="871" spans="2:3" x14ac:dyDescent="0.25">
      <c r="B871" s="61"/>
      <c r="C871" s="61"/>
    </row>
    <row r="872" spans="2:3" x14ac:dyDescent="0.25">
      <c r="B872" s="61"/>
      <c r="C872" s="61"/>
    </row>
    <row r="873" spans="2:3" x14ac:dyDescent="0.25">
      <c r="B873" s="61"/>
      <c r="C873" s="61"/>
    </row>
    <row r="874" spans="2:3" x14ac:dyDescent="0.25">
      <c r="B874" s="61"/>
      <c r="C874" s="61"/>
    </row>
    <row r="875" spans="2:3" x14ac:dyDescent="0.25">
      <c r="B875" s="61"/>
      <c r="C875" s="61"/>
    </row>
    <row r="876" spans="2:3" x14ac:dyDescent="0.25">
      <c r="B876" s="61"/>
      <c r="C876" s="61"/>
    </row>
    <row r="877" spans="2:3" x14ac:dyDescent="0.25">
      <c r="B877" s="61"/>
      <c r="C877" s="61"/>
    </row>
    <row r="878" spans="2:3" x14ac:dyDescent="0.25">
      <c r="B878" s="61"/>
      <c r="C878" s="61"/>
    </row>
    <row r="879" spans="2:3" x14ac:dyDescent="0.25">
      <c r="B879" s="61"/>
      <c r="C879" s="61"/>
    </row>
    <row r="880" spans="2:3" x14ac:dyDescent="0.25">
      <c r="B880" s="61"/>
      <c r="C880" s="61"/>
    </row>
    <row r="881" spans="2:3" x14ac:dyDescent="0.25">
      <c r="B881" s="61"/>
      <c r="C881" s="61"/>
    </row>
    <row r="882" spans="2:3" x14ac:dyDescent="0.25">
      <c r="B882" s="61"/>
      <c r="C882" s="61"/>
    </row>
    <row r="883" spans="2:3" x14ac:dyDescent="0.25">
      <c r="B883" s="61"/>
      <c r="C883" s="61"/>
    </row>
    <row r="884" spans="2:3" x14ac:dyDescent="0.25">
      <c r="B884" s="61"/>
      <c r="C884" s="61"/>
    </row>
    <row r="885" spans="2:3" x14ac:dyDescent="0.25">
      <c r="B885" s="61"/>
      <c r="C885" s="61"/>
    </row>
    <row r="886" spans="2:3" x14ac:dyDescent="0.25">
      <c r="B886" s="61"/>
      <c r="C886" s="61"/>
    </row>
    <row r="887" spans="2:3" x14ac:dyDescent="0.25">
      <c r="B887" s="61"/>
      <c r="C887" s="61"/>
    </row>
    <row r="888" spans="2:3" x14ac:dyDescent="0.25">
      <c r="B888" s="61"/>
      <c r="C888" s="61"/>
    </row>
    <row r="889" spans="2:3" x14ac:dyDescent="0.25">
      <c r="B889" s="61"/>
      <c r="C889" s="61"/>
    </row>
    <row r="890" spans="2:3" x14ac:dyDescent="0.25">
      <c r="B890" s="61"/>
      <c r="C890" s="61"/>
    </row>
    <row r="891" spans="2:3" x14ac:dyDescent="0.25">
      <c r="B891" s="61"/>
      <c r="C891" s="61"/>
    </row>
    <row r="892" spans="2:3" x14ac:dyDescent="0.25">
      <c r="B892" s="61"/>
      <c r="C892" s="61"/>
    </row>
    <row r="893" spans="2:3" x14ac:dyDescent="0.25">
      <c r="B893" s="61"/>
      <c r="C893" s="61"/>
    </row>
    <row r="894" spans="2:3" x14ac:dyDescent="0.25">
      <c r="B894" s="61"/>
      <c r="C894" s="61"/>
    </row>
    <row r="895" spans="2:3" x14ac:dyDescent="0.25">
      <c r="B895" s="61"/>
      <c r="C895" s="61"/>
    </row>
    <row r="896" spans="2:3" x14ac:dyDescent="0.25">
      <c r="B896" s="61"/>
      <c r="C896" s="61"/>
    </row>
    <row r="897" spans="2:3" x14ac:dyDescent="0.25">
      <c r="B897" s="61"/>
      <c r="C897" s="61"/>
    </row>
    <row r="898" spans="2:3" x14ac:dyDescent="0.25">
      <c r="B898" s="61"/>
      <c r="C898" s="61"/>
    </row>
    <row r="899" spans="2:3" x14ac:dyDescent="0.25">
      <c r="B899" s="61"/>
      <c r="C899" s="61"/>
    </row>
    <row r="900" spans="2:3" x14ac:dyDescent="0.25">
      <c r="B900" s="61"/>
      <c r="C900" s="61"/>
    </row>
    <row r="901" spans="2:3" x14ac:dyDescent="0.25">
      <c r="B901" s="61"/>
      <c r="C901" s="61"/>
    </row>
    <row r="902" spans="2:3" x14ac:dyDescent="0.25">
      <c r="B902" s="61"/>
      <c r="C902" s="61"/>
    </row>
    <row r="903" spans="2:3" x14ac:dyDescent="0.25">
      <c r="B903" s="61"/>
      <c r="C903" s="61"/>
    </row>
    <row r="904" spans="2:3" x14ac:dyDescent="0.25">
      <c r="B904" s="61"/>
      <c r="C904" s="61"/>
    </row>
    <row r="905" spans="2:3" x14ac:dyDescent="0.25">
      <c r="B905" s="61"/>
      <c r="C905" s="61"/>
    </row>
    <row r="906" spans="2:3" x14ac:dyDescent="0.25">
      <c r="B906" s="61"/>
      <c r="C906" s="61"/>
    </row>
    <row r="907" spans="2:3" x14ac:dyDescent="0.25">
      <c r="B907" s="61"/>
      <c r="C907" s="61"/>
    </row>
    <row r="908" spans="2:3" x14ac:dyDescent="0.25">
      <c r="B908" s="61"/>
      <c r="C908" s="61"/>
    </row>
    <row r="909" spans="2:3" x14ac:dyDescent="0.25">
      <c r="B909" s="61"/>
      <c r="C909" s="61"/>
    </row>
    <row r="910" spans="2:3" x14ac:dyDescent="0.25">
      <c r="B910" s="61"/>
      <c r="C910" s="61"/>
    </row>
    <row r="911" spans="2:3" x14ac:dyDescent="0.25">
      <c r="B911" s="61"/>
      <c r="C911" s="61"/>
    </row>
    <row r="912" spans="2:3" x14ac:dyDescent="0.25">
      <c r="B912" s="61"/>
      <c r="C912" s="61"/>
    </row>
    <row r="913" spans="2:3" x14ac:dyDescent="0.25">
      <c r="B913" s="61"/>
      <c r="C913" s="61"/>
    </row>
    <row r="914" spans="2:3" x14ac:dyDescent="0.25">
      <c r="B914" s="61"/>
      <c r="C914" s="61"/>
    </row>
    <row r="915" spans="2:3" x14ac:dyDescent="0.25">
      <c r="B915" s="61"/>
      <c r="C915" s="61"/>
    </row>
    <row r="916" spans="2:3" x14ac:dyDescent="0.25">
      <c r="B916" s="61"/>
      <c r="C916" s="61"/>
    </row>
    <row r="917" spans="2:3" x14ac:dyDescent="0.25">
      <c r="B917" s="61"/>
      <c r="C917" s="61"/>
    </row>
    <row r="918" spans="2:3" x14ac:dyDescent="0.25">
      <c r="B918" s="61"/>
      <c r="C918" s="61"/>
    </row>
    <row r="919" spans="2:3" x14ac:dyDescent="0.25">
      <c r="B919" s="61"/>
      <c r="C919" s="61"/>
    </row>
    <row r="920" spans="2:3" x14ac:dyDescent="0.25">
      <c r="B920" s="61"/>
      <c r="C920" s="61"/>
    </row>
    <row r="921" spans="2:3" x14ac:dyDescent="0.25">
      <c r="B921" s="61"/>
      <c r="C921" s="61"/>
    </row>
    <row r="922" spans="2:3" x14ac:dyDescent="0.25">
      <c r="B922" s="61"/>
      <c r="C922" s="61"/>
    </row>
    <row r="923" spans="2:3" x14ac:dyDescent="0.25">
      <c r="B923" s="61"/>
      <c r="C923" s="61"/>
    </row>
    <row r="924" spans="2:3" x14ac:dyDescent="0.25">
      <c r="B924" s="61"/>
      <c r="C924" s="61"/>
    </row>
    <row r="925" spans="2:3" x14ac:dyDescent="0.25">
      <c r="B925" s="61"/>
      <c r="C925" s="61"/>
    </row>
    <row r="926" spans="2:3" x14ac:dyDescent="0.25">
      <c r="B926" s="61"/>
      <c r="C926" s="61"/>
    </row>
    <row r="927" spans="2:3" x14ac:dyDescent="0.25">
      <c r="B927" s="61"/>
      <c r="C927" s="61"/>
    </row>
    <row r="928" spans="2:3" x14ac:dyDescent="0.25">
      <c r="B928" s="61"/>
      <c r="C928" s="61"/>
    </row>
    <row r="929" spans="2:3" x14ac:dyDescent="0.25">
      <c r="B929" s="61"/>
      <c r="C929" s="61"/>
    </row>
    <row r="930" spans="2:3" x14ac:dyDescent="0.25">
      <c r="B930" s="61"/>
      <c r="C930" s="61"/>
    </row>
    <row r="931" spans="2:3" x14ac:dyDescent="0.25">
      <c r="B931" s="61"/>
      <c r="C931" s="61"/>
    </row>
    <row r="932" spans="2:3" x14ac:dyDescent="0.25">
      <c r="B932" s="61"/>
      <c r="C932" s="61"/>
    </row>
    <row r="933" spans="2:3" x14ac:dyDescent="0.25">
      <c r="B933" s="61"/>
      <c r="C933" s="61"/>
    </row>
    <row r="934" spans="2:3" x14ac:dyDescent="0.25">
      <c r="B934" s="61"/>
      <c r="C934" s="61"/>
    </row>
    <row r="935" spans="2:3" x14ac:dyDescent="0.25">
      <c r="B935" s="61"/>
      <c r="C935" s="61"/>
    </row>
    <row r="936" spans="2:3" x14ac:dyDescent="0.25">
      <c r="B936" s="61"/>
      <c r="C936" s="61"/>
    </row>
    <row r="937" spans="2:3" x14ac:dyDescent="0.25">
      <c r="B937" s="61"/>
      <c r="C937" s="61"/>
    </row>
    <row r="938" spans="2:3" x14ac:dyDescent="0.25">
      <c r="B938" s="61"/>
      <c r="C938" s="61"/>
    </row>
    <row r="939" spans="2:3" x14ac:dyDescent="0.25">
      <c r="B939" s="61"/>
      <c r="C939" s="61"/>
    </row>
    <row r="940" spans="2:3" x14ac:dyDescent="0.25">
      <c r="B940" s="61"/>
      <c r="C940" s="61"/>
    </row>
    <row r="941" spans="2:3" x14ac:dyDescent="0.25">
      <c r="B941" s="61"/>
      <c r="C941" s="61"/>
    </row>
    <row r="942" spans="2:3" x14ac:dyDescent="0.25">
      <c r="B942" s="61"/>
      <c r="C942" s="61"/>
    </row>
    <row r="943" spans="2:3" x14ac:dyDescent="0.25">
      <c r="B943" s="61"/>
      <c r="C943" s="61"/>
    </row>
    <row r="944" spans="2:3" x14ac:dyDescent="0.25">
      <c r="B944" s="61"/>
      <c r="C944" s="61"/>
    </row>
    <row r="945" spans="2:3" x14ac:dyDescent="0.25">
      <c r="B945" s="61"/>
      <c r="C945" s="61"/>
    </row>
    <row r="946" spans="2:3" x14ac:dyDescent="0.25">
      <c r="B946" s="61"/>
      <c r="C946" s="61"/>
    </row>
    <row r="947" spans="2:3" x14ac:dyDescent="0.25">
      <c r="B947" s="61"/>
      <c r="C947" s="61"/>
    </row>
    <row r="948" spans="2:3" x14ac:dyDescent="0.25">
      <c r="B948" s="61"/>
      <c r="C948" s="61"/>
    </row>
    <row r="949" spans="2:3" x14ac:dyDescent="0.25">
      <c r="B949" s="61"/>
      <c r="C949" s="61"/>
    </row>
    <row r="950" spans="2:3" x14ac:dyDescent="0.25">
      <c r="B950" s="61"/>
      <c r="C950" s="61"/>
    </row>
    <row r="951" spans="2:3" x14ac:dyDescent="0.25">
      <c r="B951" s="61"/>
      <c r="C951" s="61"/>
    </row>
    <row r="952" spans="2:3" x14ac:dyDescent="0.25">
      <c r="B952" s="61"/>
      <c r="C952" s="61"/>
    </row>
    <row r="953" spans="2:3" x14ac:dyDescent="0.25">
      <c r="B953" s="61"/>
      <c r="C953" s="61"/>
    </row>
    <row r="954" spans="2:3" x14ac:dyDescent="0.25">
      <c r="B954" s="61"/>
      <c r="C954" s="61"/>
    </row>
    <row r="955" spans="2:3" x14ac:dyDescent="0.25">
      <c r="B955" s="61"/>
      <c r="C955" s="61"/>
    </row>
    <row r="956" spans="2:3" x14ac:dyDescent="0.25">
      <c r="B956" s="61"/>
      <c r="C956" s="61"/>
    </row>
    <row r="957" spans="2:3" x14ac:dyDescent="0.25">
      <c r="B957" s="61"/>
      <c r="C957" s="61"/>
    </row>
    <row r="958" spans="2:3" x14ac:dyDescent="0.25">
      <c r="B958" s="61"/>
      <c r="C958" s="61"/>
    </row>
    <row r="959" spans="2:3" x14ac:dyDescent="0.25">
      <c r="B959" s="61"/>
      <c r="C959" s="61"/>
    </row>
    <row r="960" spans="2:3" x14ac:dyDescent="0.25">
      <c r="B960" s="61"/>
      <c r="C960" s="61"/>
    </row>
    <row r="961" spans="2:3" x14ac:dyDescent="0.25">
      <c r="B961" s="61"/>
      <c r="C961" s="61"/>
    </row>
    <row r="962" spans="2:3" x14ac:dyDescent="0.25">
      <c r="B962" s="61"/>
      <c r="C962" s="61"/>
    </row>
    <row r="963" spans="2:3" x14ac:dyDescent="0.25">
      <c r="B963" s="61"/>
      <c r="C963" s="61"/>
    </row>
    <row r="964" spans="2:3" x14ac:dyDescent="0.25">
      <c r="B964" s="61"/>
      <c r="C964" s="61"/>
    </row>
    <row r="965" spans="2:3" x14ac:dyDescent="0.25">
      <c r="B965" s="61"/>
      <c r="C965" s="61"/>
    </row>
    <row r="966" spans="2:3" x14ac:dyDescent="0.25">
      <c r="B966" s="61"/>
      <c r="C966" s="61"/>
    </row>
    <row r="967" spans="2:3" x14ac:dyDescent="0.25">
      <c r="B967" s="61"/>
      <c r="C967" s="61"/>
    </row>
    <row r="968" spans="2:3" x14ac:dyDescent="0.25">
      <c r="B968" s="61"/>
      <c r="C968" s="61"/>
    </row>
    <row r="969" spans="2:3" x14ac:dyDescent="0.25">
      <c r="B969" s="61"/>
      <c r="C969" s="61"/>
    </row>
    <row r="970" spans="2:3" x14ac:dyDescent="0.25">
      <c r="B970" s="61"/>
      <c r="C970" s="61"/>
    </row>
    <row r="971" spans="2:3" x14ac:dyDescent="0.25">
      <c r="B971" s="61"/>
      <c r="C971" s="61"/>
    </row>
    <row r="972" spans="2:3" x14ac:dyDescent="0.25">
      <c r="B972" s="61"/>
      <c r="C972" s="61"/>
    </row>
    <row r="973" spans="2:3" x14ac:dyDescent="0.25">
      <c r="B973" s="61"/>
      <c r="C973" s="61"/>
    </row>
    <row r="974" spans="2:3" x14ac:dyDescent="0.25">
      <c r="B974" s="61"/>
      <c r="C974" s="61"/>
    </row>
    <row r="975" spans="2:3" x14ac:dyDescent="0.25">
      <c r="B975" s="61"/>
      <c r="C975" s="61"/>
    </row>
    <row r="976" spans="2:3" x14ac:dyDescent="0.25">
      <c r="B976" s="61"/>
      <c r="C976" s="61"/>
    </row>
    <row r="977" spans="2:3" x14ac:dyDescent="0.25">
      <c r="B977" s="61"/>
      <c r="C977" s="61"/>
    </row>
    <row r="978" spans="2:3" x14ac:dyDescent="0.25">
      <c r="B978" s="61"/>
      <c r="C978" s="61"/>
    </row>
    <row r="979" spans="2:3" x14ac:dyDescent="0.25">
      <c r="B979" s="61"/>
      <c r="C979" s="61"/>
    </row>
    <row r="980" spans="2:3" x14ac:dyDescent="0.25">
      <c r="B980" s="61"/>
      <c r="C980" s="61"/>
    </row>
    <row r="981" spans="2:3" x14ac:dyDescent="0.25">
      <c r="B981" s="61"/>
      <c r="C981" s="61"/>
    </row>
    <row r="982" spans="2:3" x14ac:dyDescent="0.25">
      <c r="B982" s="61"/>
      <c r="C982" s="61"/>
    </row>
    <row r="983" spans="2:3" x14ac:dyDescent="0.25">
      <c r="B983" s="61"/>
      <c r="C983" s="61"/>
    </row>
    <row r="984" spans="2:3" x14ac:dyDescent="0.25">
      <c r="B984" s="61"/>
      <c r="C984" s="61"/>
    </row>
    <row r="985" spans="2:3" x14ac:dyDescent="0.25">
      <c r="B985" s="61"/>
      <c r="C985" s="61"/>
    </row>
    <row r="986" spans="2:3" x14ac:dyDescent="0.25">
      <c r="B986" s="61"/>
      <c r="C986" s="61"/>
    </row>
    <row r="987" spans="2:3" x14ac:dyDescent="0.25">
      <c r="B987" s="61"/>
      <c r="C987" s="61"/>
    </row>
    <row r="988" spans="2:3" x14ac:dyDescent="0.25">
      <c r="B988" s="61"/>
      <c r="C988" s="61"/>
    </row>
    <row r="989" spans="2:3" x14ac:dyDescent="0.25">
      <c r="B989" s="61"/>
      <c r="C989" s="61"/>
    </row>
    <row r="990" spans="2:3" x14ac:dyDescent="0.25">
      <c r="B990" s="61"/>
      <c r="C990" s="61"/>
    </row>
    <row r="991" spans="2:3" x14ac:dyDescent="0.25">
      <c r="B991" s="61"/>
      <c r="C991" s="61"/>
    </row>
    <row r="992" spans="2:3" x14ac:dyDescent="0.25">
      <c r="B992" s="61"/>
      <c r="C992" s="61"/>
    </row>
    <row r="993" spans="2:3" x14ac:dyDescent="0.25">
      <c r="B993" s="61"/>
      <c r="C993" s="61"/>
    </row>
    <row r="994" spans="2:3" x14ac:dyDescent="0.25">
      <c r="B994" s="61"/>
      <c r="C994" s="61"/>
    </row>
    <row r="995" spans="2:3" x14ac:dyDescent="0.25">
      <c r="B995" s="61"/>
      <c r="C995" s="61"/>
    </row>
    <row r="996" spans="2:3" x14ac:dyDescent="0.25">
      <c r="B996" s="61"/>
      <c r="C996" s="61"/>
    </row>
    <row r="997" spans="2:3" x14ac:dyDescent="0.25">
      <c r="B997" s="61"/>
      <c r="C997" s="61"/>
    </row>
    <row r="998" spans="2:3" x14ac:dyDescent="0.25">
      <c r="B998" s="61"/>
      <c r="C998" s="61"/>
    </row>
    <row r="999" spans="2:3" x14ac:dyDescent="0.25">
      <c r="B999" s="61"/>
      <c r="C999" s="61"/>
    </row>
    <row r="1000" spans="2:3" x14ac:dyDescent="0.25">
      <c r="B1000" s="61"/>
      <c r="C1000" s="61"/>
    </row>
    <row r="1001" spans="2:3" x14ac:dyDescent="0.25">
      <c r="B1001" s="61"/>
      <c r="C1001" s="61"/>
    </row>
    <row r="1002" spans="2:3" x14ac:dyDescent="0.25">
      <c r="B1002" s="61"/>
      <c r="C1002" s="61"/>
    </row>
    <row r="1003" spans="2:3" x14ac:dyDescent="0.25">
      <c r="B1003" s="61"/>
      <c r="C1003" s="61"/>
    </row>
    <row r="1004" spans="2:3" x14ac:dyDescent="0.25">
      <c r="B1004" s="61"/>
      <c r="C1004" s="61"/>
    </row>
    <row r="1005" spans="2:3" x14ac:dyDescent="0.25">
      <c r="B1005" s="61"/>
      <c r="C1005" s="61"/>
    </row>
    <row r="1006" spans="2:3" x14ac:dyDescent="0.25">
      <c r="B1006" s="61"/>
      <c r="C1006" s="61"/>
    </row>
    <row r="1007" spans="2:3" x14ac:dyDescent="0.25">
      <c r="B1007" s="61"/>
      <c r="C1007" s="61"/>
    </row>
    <row r="1008" spans="2:3" x14ac:dyDescent="0.25">
      <c r="B1008" s="61"/>
      <c r="C1008" s="61"/>
    </row>
    <row r="1009" spans="2:3" x14ac:dyDescent="0.25">
      <c r="B1009" s="61"/>
      <c r="C1009" s="61"/>
    </row>
    <row r="1010" spans="2:3" x14ac:dyDescent="0.25">
      <c r="B1010" s="61"/>
      <c r="C1010" s="61"/>
    </row>
    <row r="1011" spans="2:3" x14ac:dyDescent="0.25">
      <c r="B1011" s="61"/>
      <c r="C1011" s="61"/>
    </row>
    <row r="1012" spans="2:3" x14ac:dyDescent="0.25">
      <c r="B1012" s="61"/>
      <c r="C1012" s="61"/>
    </row>
    <row r="1013" spans="2:3" x14ac:dyDescent="0.25">
      <c r="B1013" s="61"/>
      <c r="C1013" s="61"/>
    </row>
    <row r="1014" spans="2:3" x14ac:dyDescent="0.25">
      <c r="B1014" s="61"/>
      <c r="C1014" s="61"/>
    </row>
    <row r="1015" spans="2:3" x14ac:dyDescent="0.25">
      <c r="B1015" s="61"/>
      <c r="C1015" s="61"/>
    </row>
    <row r="1016" spans="2:3" x14ac:dyDescent="0.25">
      <c r="B1016" s="61"/>
      <c r="C1016" s="61"/>
    </row>
    <row r="1017" spans="2:3" x14ac:dyDescent="0.25">
      <c r="B1017" s="61"/>
      <c r="C1017" s="61"/>
    </row>
    <row r="1018" spans="2:3" x14ac:dyDescent="0.25">
      <c r="B1018" s="61"/>
      <c r="C1018" s="61"/>
    </row>
    <row r="1019" spans="2:3" x14ac:dyDescent="0.25">
      <c r="B1019" s="61"/>
      <c r="C1019" s="61"/>
    </row>
    <row r="1020" spans="2:3" x14ac:dyDescent="0.25">
      <c r="B1020" s="61"/>
      <c r="C1020" s="61"/>
    </row>
    <row r="1021" spans="2:3" x14ac:dyDescent="0.25">
      <c r="B1021" s="61"/>
      <c r="C1021" s="61"/>
    </row>
    <row r="1022" spans="2:3" x14ac:dyDescent="0.25">
      <c r="B1022" s="61"/>
      <c r="C1022" s="61"/>
    </row>
    <row r="1023" spans="2:3" x14ac:dyDescent="0.25">
      <c r="B1023" s="61"/>
      <c r="C1023" s="61"/>
    </row>
    <row r="1024" spans="2:3" x14ac:dyDescent="0.25">
      <c r="B1024" s="61"/>
      <c r="C1024" s="61"/>
    </row>
    <row r="1025" spans="2:3" x14ac:dyDescent="0.25">
      <c r="B1025" s="61"/>
      <c r="C1025" s="61"/>
    </row>
    <row r="1026" spans="2:3" x14ac:dyDescent="0.25">
      <c r="B1026" s="61"/>
      <c r="C1026" s="61"/>
    </row>
    <row r="1027" spans="2:3" x14ac:dyDescent="0.25">
      <c r="B1027" s="61"/>
      <c r="C1027" s="61"/>
    </row>
    <row r="1028" spans="2:3" x14ac:dyDescent="0.25">
      <c r="B1028" s="61"/>
      <c r="C1028" s="61"/>
    </row>
    <row r="1029" spans="2:3" x14ac:dyDescent="0.25">
      <c r="B1029" s="61"/>
      <c r="C1029" s="61"/>
    </row>
    <row r="1030" spans="2:3" x14ac:dyDescent="0.25">
      <c r="B1030" s="61"/>
      <c r="C1030" s="61"/>
    </row>
    <row r="1031" spans="2:3" x14ac:dyDescent="0.25">
      <c r="B1031" s="61"/>
      <c r="C1031" s="61"/>
    </row>
    <row r="1032" spans="2:3" x14ac:dyDescent="0.25">
      <c r="B1032" s="61"/>
      <c r="C1032" s="61"/>
    </row>
    <row r="1033" spans="2:3" x14ac:dyDescent="0.25">
      <c r="B1033" s="61"/>
      <c r="C1033" s="61"/>
    </row>
    <row r="1034" spans="2:3" x14ac:dyDescent="0.25">
      <c r="B1034" s="61"/>
      <c r="C1034" s="61"/>
    </row>
  </sheetData>
  <mergeCells count="7">
    <mergeCell ref="A46:C46"/>
    <mergeCell ref="A1:C1"/>
    <mergeCell ref="F1:H1"/>
    <mergeCell ref="A17:C17"/>
    <mergeCell ref="F17:H17"/>
    <mergeCell ref="A32:C32"/>
    <mergeCell ref="F32:H32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1035"/>
  <sheetViews>
    <sheetView topLeftCell="A43" workbookViewId="0">
      <selection activeCell="C35" sqref="C35"/>
    </sheetView>
  </sheetViews>
  <sheetFormatPr defaultRowHeight="15" x14ac:dyDescent="0.25"/>
  <cols>
    <col min="1" max="1" width="34.7109375" customWidth="1"/>
    <col min="2" max="2" width="12.28515625" style="69" customWidth="1"/>
    <col min="3" max="3" width="12.7109375" style="70" customWidth="1"/>
    <col min="6" max="6" width="30.85546875" customWidth="1"/>
    <col min="7" max="7" width="13" customWidth="1"/>
    <col min="8" max="8" width="16.5703125" customWidth="1"/>
  </cols>
  <sheetData>
    <row r="1" spans="1:8" x14ac:dyDescent="0.25">
      <c r="A1" s="173" t="s">
        <v>171</v>
      </c>
      <c r="B1" s="174"/>
      <c r="C1" s="174"/>
      <c r="F1" s="175" t="s">
        <v>172</v>
      </c>
      <c r="G1" s="176"/>
      <c r="H1" s="176"/>
    </row>
    <row r="2" spans="1:8" x14ac:dyDescent="0.25">
      <c r="G2" s="69"/>
      <c r="H2" s="70"/>
    </row>
    <row r="3" spans="1:8" x14ac:dyDescent="0.25">
      <c r="G3" s="69"/>
      <c r="H3" s="70"/>
    </row>
    <row r="4" spans="1:8" ht="24" customHeight="1" x14ac:dyDescent="0.25">
      <c r="A4" t="s">
        <v>107</v>
      </c>
      <c r="C4" s="71">
        <v>96098.85</v>
      </c>
      <c r="F4" t="s">
        <v>107</v>
      </c>
      <c r="G4" s="69"/>
      <c r="H4" s="71">
        <v>0</v>
      </c>
    </row>
    <row r="5" spans="1:8" x14ac:dyDescent="0.25">
      <c r="A5" s="49" t="s">
        <v>108</v>
      </c>
      <c r="F5" s="49" t="s">
        <v>108</v>
      </c>
      <c r="G5" s="69"/>
      <c r="H5" s="70"/>
    </row>
    <row r="6" spans="1:8" x14ac:dyDescent="0.25">
      <c r="A6" t="s">
        <v>109</v>
      </c>
      <c r="B6" s="69">
        <v>1970</v>
      </c>
      <c r="F6" t="s">
        <v>109</v>
      </c>
      <c r="G6" s="69">
        <v>0</v>
      </c>
      <c r="H6" s="70"/>
    </row>
    <row r="7" spans="1:8" x14ac:dyDescent="0.25">
      <c r="A7" t="s">
        <v>110</v>
      </c>
      <c r="B7" s="69">
        <v>1200</v>
      </c>
      <c r="F7" t="s">
        <v>110</v>
      </c>
      <c r="G7" s="69">
        <v>0</v>
      </c>
      <c r="H7" s="70"/>
    </row>
    <row r="8" spans="1:8" x14ac:dyDescent="0.25">
      <c r="A8" t="s">
        <v>111</v>
      </c>
      <c r="B8" s="69">
        <v>4000</v>
      </c>
      <c r="F8" t="s">
        <v>111</v>
      </c>
      <c r="G8" s="69">
        <v>0</v>
      </c>
      <c r="H8" s="70"/>
    </row>
    <row r="9" spans="1:8" ht="48" customHeight="1" x14ac:dyDescent="0.25">
      <c r="A9" s="72" t="s">
        <v>133</v>
      </c>
      <c r="B9" s="69">
        <v>60406.2</v>
      </c>
      <c r="C9" s="70">
        <f>-B6-B7-B8-B9</f>
        <v>-67576.2</v>
      </c>
      <c r="F9" s="72" t="s">
        <v>133</v>
      </c>
      <c r="G9" s="69">
        <v>0</v>
      </c>
      <c r="H9" s="70">
        <f>-G6-G7-G8-G9</f>
        <v>0</v>
      </c>
    </row>
    <row r="10" spans="1:8" x14ac:dyDescent="0.25">
      <c r="G10" s="69"/>
      <c r="H10" s="70"/>
    </row>
    <row r="11" spans="1:8" ht="15.75" thickBot="1" x14ac:dyDescent="0.3">
      <c r="C11" s="73">
        <f>C4+C9</f>
        <v>28522.650000000009</v>
      </c>
      <c r="D11" s="75" t="s">
        <v>178</v>
      </c>
      <c r="G11" s="69"/>
      <c r="H11" s="73">
        <f>H4+H9</f>
        <v>0</v>
      </c>
    </row>
    <row r="12" spans="1:8" x14ac:dyDescent="0.25">
      <c r="G12" s="69"/>
      <c r="H12" s="70"/>
    </row>
    <row r="17" spans="1:8" x14ac:dyDescent="0.25">
      <c r="A17" s="159" t="s">
        <v>173</v>
      </c>
      <c r="B17" s="160"/>
      <c r="C17" s="160"/>
      <c r="F17" s="165" t="s">
        <v>174</v>
      </c>
      <c r="G17" s="166"/>
      <c r="H17" s="166"/>
    </row>
    <row r="18" spans="1:8" x14ac:dyDescent="0.25">
      <c r="G18" s="69"/>
      <c r="H18" s="70"/>
    </row>
    <row r="19" spans="1:8" x14ac:dyDescent="0.25">
      <c r="G19" s="69"/>
      <c r="H19" s="70"/>
    </row>
    <row r="20" spans="1:8" x14ac:dyDescent="0.25">
      <c r="A20" t="s">
        <v>107</v>
      </c>
      <c r="C20" s="71"/>
      <c r="F20" t="s">
        <v>107</v>
      </c>
      <c r="G20" s="69"/>
      <c r="H20" s="71"/>
    </row>
    <row r="21" spans="1:8" x14ac:dyDescent="0.25">
      <c r="A21" s="49" t="s">
        <v>108</v>
      </c>
      <c r="F21" s="49" t="s">
        <v>108</v>
      </c>
      <c r="G21" s="69"/>
      <c r="H21" s="70"/>
    </row>
    <row r="22" spans="1:8" x14ac:dyDescent="0.25">
      <c r="A22" t="s">
        <v>109</v>
      </c>
      <c r="B22" s="69">
        <v>2235</v>
      </c>
      <c r="F22" t="s">
        <v>109</v>
      </c>
      <c r="G22" s="69">
        <v>1970</v>
      </c>
      <c r="H22" s="70"/>
    </row>
    <row r="23" spans="1:8" x14ac:dyDescent="0.25">
      <c r="A23" t="s">
        <v>110</v>
      </c>
      <c r="B23" s="69">
        <v>1300</v>
      </c>
      <c r="F23" t="s">
        <v>110</v>
      </c>
      <c r="G23" s="69">
        <v>1300</v>
      </c>
      <c r="H23" s="70"/>
    </row>
    <row r="24" spans="1:8" x14ac:dyDescent="0.25">
      <c r="A24" t="s">
        <v>111</v>
      </c>
      <c r="B24" s="69">
        <v>4000</v>
      </c>
      <c r="F24" t="s">
        <v>111</v>
      </c>
      <c r="G24" s="69">
        <v>4000</v>
      </c>
      <c r="H24" s="70"/>
    </row>
    <row r="25" spans="1:8" ht="45" x14ac:dyDescent="0.25">
      <c r="A25" s="72" t="s">
        <v>133</v>
      </c>
      <c r="C25" s="70">
        <f>-B22-B23-B24-B25</f>
        <v>-7535</v>
      </c>
      <c r="F25" s="72" t="s">
        <v>133</v>
      </c>
      <c r="G25" s="69"/>
      <c r="H25" s="70">
        <f>-G22-G23-G24-G25</f>
        <v>-7270</v>
      </c>
    </row>
    <row r="26" spans="1:8" x14ac:dyDescent="0.25">
      <c r="G26" s="69"/>
      <c r="H26" s="70"/>
    </row>
    <row r="27" spans="1:8" ht="15.75" thickBot="1" x14ac:dyDescent="0.3">
      <c r="C27" s="73">
        <f>C20+C25</f>
        <v>-7535</v>
      </c>
      <c r="G27" s="69"/>
      <c r="H27" s="73">
        <f>H20+H25</f>
        <v>-7270</v>
      </c>
    </row>
    <row r="32" spans="1:8" x14ac:dyDescent="0.25">
      <c r="A32" s="167" t="s">
        <v>175</v>
      </c>
      <c r="B32" s="168"/>
      <c r="C32" s="168"/>
      <c r="F32" s="169" t="s">
        <v>176</v>
      </c>
      <c r="G32" s="170"/>
      <c r="H32" s="170"/>
    </row>
    <row r="33" spans="1:8" x14ac:dyDescent="0.25">
      <c r="G33" s="69"/>
      <c r="H33" s="70"/>
    </row>
    <row r="34" spans="1:8" x14ac:dyDescent="0.25">
      <c r="C34" s="74"/>
      <c r="G34" s="69"/>
      <c r="H34" s="70"/>
    </row>
    <row r="35" spans="1:8" x14ac:dyDescent="0.25">
      <c r="A35" t="s">
        <v>107</v>
      </c>
      <c r="C35" s="71"/>
      <c r="F35" t="s">
        <v>107</v>
      </c>
      <c r="G35" s="69"/>
      <c r="H35" s="71">
        <v>0</v>
      </c>
    </row>
    <row r="36" spans="1:8" x14ac:dyDescent="0.25">
      <c r="A36" s="49" t="s">
        <v>108</v>
      </c>
      <c r="F36" s="49" t="s">
        <v>108</v>
      </c>
      <c r="G36" s="69"/>
      <c r="H36" s="70"/>
    </row>
    <row r="37" spans="1:8" x14ac:dyDescent="0.25">
      <c r="A37" t="s">
        <v>109</v>
      </c>
      <c r="B37" s="69">
        <v>5883</v>
      </c>
      <c r="F37" t="s">
        <v>109</v>
      </c>
      <c r="G37" s="69">
        <v>0</v>
      </c>
      <c r="H37" s="70"/>
    </row>
    <row r="38" spans="1:8" x14ac:dyDescent="0.25">
      <c r="A38" t="s">
        <v>110</v>
      </c>
      <c r="B38" s="69">
        <v>2350</v>
      </c>
      <c r="F38" t="s">
        <v>110</v>
      </c>
      <c r="G38" s="69">
        <v>0</v>
      </c>
      <c r="H38" s="70"/>
    </row>
    <row r="39" spans="1:8" x14ac:dyDescent="0.25">
      <c r="A39" t="s">
        <v>111</v>
      </c>
      <c r="B39" s="69">
        <v>4000</v>
      </c>
      <c r="F39" t="s">
        <v>111</v>
      </c>
      <c r="G39" s="69">
        <v>0</v>
      </c>
      <c r="H39" s="70"/>
    </row>
    <row r="40" spans="1:8" ht="45" x14ac:dyDescent="0.25">
      <c r="A40" s="72" t="s">
        <v>133</v>
      </c>
      <c r="C40" s="70">
        <f>-B37-B38-B39-B40</f>
        <v>-12233</v>
      </c>
      <c r="F40" s="72" t="s">
        <v>133</v>
      </c>
      <c r="G40" s="69">
        <v>0</v>
      </c>
      <c r="H40" s="70">
        <f>-G37-G38-G39-G40</f>
        <v>0</v>
      </c>
    </row>
    <row r="41" spans="1:8" x14ac:dyDescent="0.25">
      <c r="G41" s="69"/>
      <c r="H41" s="70"/>
    </row>
    <row r="42" spans="1:8" ht="15.75" thickBot="1" x14ac:dyDescent="0.3">
      <c r="C42" s="73">
        <f>C35+C40</f>
        <v>-12233</v>
      </c>
      <c r="G42" s="69"/>
      <c r="H42" s="73">
        <f>H35+H40</f>
        <v>0</v>
      </c>
    </row>
    <row r="46" spans="1:8" x14ac:dyDescent="0.25">
      <c r="A46" s="171" t="s">
        <v>177</v>
      </c>
      <c r="B46" s="172"/>
      <c r="C46" s="172"/>
    </row>
    <row r="49" spans="1:4" x14ac:dyDescent="0.25">
      <c r="A49" t="s">
        <v>107</v>
      </c>
      <c r="C49" s="71">
        <v>244656</v>
      </c>
    </row>
    <row r="50" spans="1:4" x14ac:dyDescent="0.25">
      <c r="A50" s="49" t="s">
        <v>108</v>
      </c>
    </row>
    <row r="51" spans="1:4" x14ac:dyDescent="0.25">
      <c r="A51" t="s">
        <v>109</v>
      </c>
      <c r="B51" s="69">
        <v>13500</v>
      </c>
    </row>
    <row r="52" spans="1:4" x14ac:dyDescent="0.25">
      <c r="A52" t="s">
        <v>110</v>
      </c>
      <c r="B52" s="69">
        <v>2000</v>
      </c>
    </row>
    <row r="53" spans="1:4" x14ac:dyDescent="0.25">
      <c r="A53" t="s">
        <v>111</v>
      </c>
      <c r="B53" s="69">
        <v>6000</v>
      </c>
    </row>
    <row r="54" spans="1:4" x14ac:dyDescent="0.25">
      <c r="B54" s="69">
        <v>30000</v>
      </c>
    </row>
    <row r="55" spans="1:4" ht="45" x14ac:dyDescent="0.25">
      <c r="A55" s="72" t="s">
        <v>133</v>
      </c>
      <c r="B55" s="69">
        <v>153252.95000000001</v>
      </c>
      <c r="C55" s="70">
        <f>-B51-B52-B53-B54-B55</f>
        <v>-204752.95</v>
      </c>
    </row>
    <row r="57" spans="1:4" ht="15.75" thickBot="1" x14ac:dyDescent="0.3">
      <c r="C57" s="73">
        <f>C49+C55</f>
        <v>39903.049999999988</v>
      </c>
      <c r="D57" s="75" t="s">
        <v>178</v>
      </c>
    </row>
    <row r="60" spans="1:4" x14ac:dyDescent="0.25">
      <c r="B60" s="61"/>
      <c r="C60" s="61"/>
    </row>
    <row r="61" spans="1:4" x14ac:dyDescent="0.25">
      <c r="B61" s="61"/>
      <c r="C61" s="61"/>
    </row>
    <row r="62" spans="1:4" x14ac:dyDescent="0.25">
      <c r="B62" s="61"/>
      <c r="C62" s="61"/>
    </row>
    <row r="63" spans="1:4" x14ac:dyDescent="0.25">
      <c r="B63" s="61"/>
      <c r="C63" s="61"/>
    </row>
    <row r="64" spans="1:4" x14ac:dyDescent="0.25">
      <c r="B64" s="61"/>
      <c r="C64" s="61"/>
    </row>
    <row r="65" spans="2:3" x14ac:dyDescent="0.25">
      <c r="B65" s="61"/>
      <c r="C65" s="61"/>
    </row>
    <row r="66" spans="2:3" x14ac:dyDescent="0.25">
      <c r="B66" s="61"/>
      <c r="C66" s="61"/>
    </row>
    <row r="67" spans="2:3" x14ac:dyDescent="0.25">
      <c r="B67" s="61"/>
      <c r="C67" s="61"/>
    </row>
    <row r="68" spans="2:3" x14ac:dyDescent="0.25">
      <c r="B68" s="61"/>
      <c r="C68" s="61"/>
    </row>
    <row r="69" spans="2:3" x14ac:dyDescent="0.25">
      <c r="B69" s="61"/>
      <c r="C69" s="61"/>
    </row>
    <row r="70" spans="2:3" x14ac:dyDescent="0.25">
      <c r="B70" s="61"/>
      <c r="C70" s="61"/>
    </row>
    <row r="71" spans="2:3" x14ac:dyDescent="0.25">
      <c r="B71" s="61"/>
      <c r="C71" s="61"/>
    </row>
    <row r="72" spans="2:3" x14ac:dyDescent="0.25">
      <c r="B72" s="61"/>
      <c r="C72" s="61"/>
    </row>
    <row r="73" spans="2:3" x14ac:dyDescent="0.25">
      <c r="B73" s="61"/>
      <c r="C73" s="61"/>
    </row>
    <row r="74" spans="2:3" x14ac:dyDescent="0.25">
      <c r="B74" s="61"/>
      <c r="C74" s="61"/>
    </row>
    <row r="75" spans="2:3" x14ac:dyDescent="0.25">
      <c r="B75" s="61"/>
      <c r="C75" s="61"/>
    </row>
    <row r="76" spans="2:3" x14ac:dyDescent="0.25">
      <c r="B76" s="61"/>
      <c r="C76" s="61"/>
    </row>
    <row r="77" spans="2:3" x14ac:dyDescent="0.25">
      <c r="B77" s="61"/>
      <c r="C77" s="61"/>
    </row>
    <row r="78" spans="2:3" x14ac:dyDescent="0.25">
      <c r="B78" s="61"/>
      <c r="C78" s="61"/>
    </row>
    <row r="79" spans="2:3" x14ac:dyDescent="0.25">
      <c r="B79" s="61"/>
      <c r="C79" s="61"/>
    </row>
    <row r="80" spans="2:3" x14ac:dyDescent="0.25">
      <c r="B80" s="61"/>
      <c r="C80" s="61"/>
    </row>
    <row r="81" spans="2:3" x14ac:dyDescent="0.25">
      <c r="B81" s="61"/>
      <c r="C81" s="61"/>
    </row>
    <row r="82" spans="2:3" x14ac:dyDescent="0.25">
      <c r="B82" s="61"/>
      <c r="C82" s="61"/>
    </row>
    <row r="83" spans="2:3" x14ac:dyDescent="0.25">
      <c r="B83" s="61"/>
      <c r="C83" s="61"/>
    </row>
    <row r="84" spans="2:3" x14ac:dyDescent="0.25">
      <c r="B84" s="61"/>
      <c r="C84" s="61"/>
    </row>
    <row r="85" spans="2:3" x14ac:dyDescent="0.25">
      <c r="B85" s="61"/>
      <c r="C85" s="61"/>
    </row>
    <row r="86" spans="2:3" x14ac:dyDescent="0.25">
      <c r="B86" s="61"/>
      <c r="C86" s="61"/>
    </row>
    <row r="87" spans="2:3" x14ac:dyDescent="0.25">
      <c r="B87" s="61"/>
      <c r="C87" s="61"/>
    </row>
    <row r="88" spans="2:3" x14ac:dyDescent="0.25">
      <c r="B88" s="61"/>
      <c r="C88" s="61"/>
    </row>
    <row r="89" spans="2:3" x14ac:dyDescent="0.25">
      <c r="B89" s="61"/>
      <c r="C89" s="61"/>
    </row>
    <row r="90" spans="2:3" x14ac:dyDescent="0.25">
      <c r="B90" s="61"/>
      <c r="C90" s="61"/>
    </row>
    <row r="91" spans="2:3" x14ac:dyDescent="0.25">
      <c r="B91" s="61"/>
      <c r="C91" s="61"/>
    </row>
    <row r="92" spans="2:3" x14ac:dyDescent="0.25">
      <c r="B92" s="61"/>
      <c r="C92" s="61"/>
    </row>
    <row r="93" spans="2:3" x14ac:dyDescent="0.25">
      <c r="B93" s="61"/>
      <c r="C93" s="61"/>
    </row>
    <row r="94" spans="2:3" x14ac:dyDescent="0.25">
      <c r="B94" s="61"/>
      <c r="C94" s="61"/>
    </row>
    <row r="95" spans="2:3" x14ac:dyDescent="0.25">
      <c r="B95" s="61"/>
      <c r="C95" s="61"/>
    </row>
    <row r="96" spans="2:3" x14ac:dyDescent="0.25">
      <c r="B96" s="61"/>
      <c r="C96" s="61"/>
    </row>
    <row r="97" spans="2:3" x14ac:dyDescent="0.25">
      <c r="B97" s="61"/>
      <c r="C97" s="61"/>
    </row>
    <row r="98" spans="2:3" x14ac:dyDescent="0.25">
      <c r="B98" s="61"/>
      <c r="C98" s="61"/>
    </row>
    <row r="99" spans="2:3" x14ac:dyDescent="0.25">
      <c r="B99" s="61"/>
      <c r="C99" s="61"/>
    </row>
    <row r="100" spans="2:3" x14ac:dyDescent="0.25">
      <c r="B100" s="61"/>
      <c r="C100" s="61"/>
    </row>
    <row r="101" spans="2:3" x14ac:dyDescent="0.25">
      <c r="B101" s="61"/>
      <c r="C101" s="61"/>
    </row>
    <row r="102" spans="2:3" x14ac:dyDescent="0.25">
      <c r="B102" s="61"/>
      <c r="C102" s="61"/>
    </row>
    <row r="103" spans="2:3" x14ac:dyDescent="0.25">
      <c r="B103" s="61"/>
      <c r="C103" s="61"/>
    </row>
    <row r="104" spans="2:3" x14ac:dyDescent="0.25">
      <c r="B104" s="61"/>
      <c r="C104" s="61"/>
    </row>
    <row r="105" spans="2:3" x14ac:dyDescent="0.25">
      <c r="B105" s="61"/>
      <c r="C105" s="61"/>
    </row>
    <row r="106" spans="2:3" x14ac:dyDescent="0.25">
      <c r="B106" s="61"/>
      <c r="C106" s="61"/>
    </row>
    <row r="107" spans="2:3" x14ac:dyDescent="0.25">
      <c r="B107" s="61"/>
      <c r="C107" s="61"/>
    </row>
    <row r="108" spans="2:3" x14ac:dyDescent="0.25">
      <c r="B108" s="61"/>
      <c r="C108" s="61"/>
    </row>
    <row r="109" spans="2:3" x14ac:dyDescent="0.25">
      <c r="B109" s="61"/>
      <c r="C109" s="61"/>
    </row>
    <row r="110" spans="2:3" x14ac:dyDescent="0.25">
      <c r="B110" s="61"/>
      <c r="C110" s="61"/>
    </row>
    <row r="111" spans="2:3" x14ac:dyDescent="0.25">
      <c r="B111" s="61"/>
      <c r="C111" s="61"/>
    </row>
    <row r="112" spans="2:3" x14ac:dyDescent="0.25">
      <c r="B112" s="61"/>
      <c r="C112" s="61"/>
    </row>
    <row r="113" spans="2:3" x14ac:dyDescent="0.25">
      <c r="B113" s="61"/>
      <c r="C113" s="61"/>
    </row>
    <row r="114" spans="2:3" x14ac:dyDescent="0.25">
      <c r="B114" s="61"/>
      <c r="C114" s="61"/>
    </row>
    <row r="115" spans="2:3" x14ac:dyDescent="0.25">
      <c r="B115" s="61"/>
      <c r="C115" s="61"/>
    </row>
    <row r="116" spans="2:3" x14ac:dyDescent="0.25">
      <c r="B116" s="61"/>
      <c r="C116" s="61"/>
    </row>
    <row r="117" spans="2:3" x14ac:dyDescent="0.25">
      <c r="B117" s="61"/>
      <c r="C117" s="61"/>
    </row>
    <row r="118" spans="2:3" x14ac:dyDescent="0.25">
      <c r="B118" s="61"/>
      <c r="C118" s="61"/>
    </row>
    <row r="119" spans="2:3" x14ac:dyDescent="0.25">
      <c r="B119" s="61"/>
      <c r="C119" s="61"/>
    </row>
    <row r="120" spans="2:3" x14ac:dyDescent="0.25">
      <c r="B120" s="61"/>
      <c r="C120" s="61"/>
    </row>
    <row r="121" spans="2:3" x14ac:dyDescent="0.25">
      <c r="B121" s="61"/>
      <c r="C121" s="61"/>
    </row>
    <row r="122" spans="2:3" x14ac:dyDescent="0.25">
      <c r="B122" s="61"/>
      <c r="C122" s="61"/>
    </row>
    <row r="123" spans="2:3" x14ac:dyDescent="0.25">
      <c r="B123" s="61"/>
      <c r="C123" s="61"/>
    </row>
    <row r="124" spans="2:3" x14ac:dyDescent="0.25">
      <c r="B124" s="61"/>
      <c r="C124" s="61"/>
    </row>
    <row r="125" spans="2:3" x14ac:dyDescent="0.25">
      <c r="B125" s="61"/>
      <c r="C125" s="61"/>
    </row>
    <row r="126" spans="2:3" x14ac:dyDescent="0.25">
      <c r="B126" s="61"/>
      <c r="C126" s="61"/>
    </row>
    <row r="127" spans="2:3" x14ac:dyDescent="0.25">
      <c r="B127" s="61"/>
      <c r="C127" s="61"/>
    </row>
    <row r="128" spans="2:3" x14ac:dyDescent="0.25">
      <c r="B128" s="61"/>
      <c r="C128" s="61"/>
    </row>
    <row r="129" spans="2:3" x14ac:dyDescent="0.25">
      <c r="B129" s="61"/>
      <c r="C129" s="61"/>
    </row>
    <row r="130" spans="2:3" x14ac:dyDescent="0.25">
      <c r="B130" s="61"/>
      <c r="C130" s="61"/>
    </row>
    <row r="131" spans="2:3" x14ac:dyDescent="0.25">
      <c r="B131" s="61"/>
      <c r="C131" s="61"/>
    </row>
    <row r="132" spans="2:3" x14ac:dyDescent="0.25">
      <c r="B132" s="61"/>
      <c r="C132" s="61"/>
    </row>
    <row r="133" spans="2:3" x14ac:dyDescent="0.25">
      <c r="B133" s="61"/>
      <c r="C133" s="61"/>
    </row>
    <row r="134" spans="2:3" x14ac:dyDescent="0.25">
      <c r="B134" s="61"/>
      <c r="C134" s="61"/>
    </row>
    <row r="135" spans="2:3" x14ac:dyDescent="0.25">
      <c r="B135" s="61"/>
      <c r="C135" s="61"/>
    </row>
    <row r="136" spans="2:3" x14ac:dyDescent="0.25">
      <c r="B136" s="61"/>
      <c r="C136" s="61"/>
    </row>
    <row r="137" spans="2:3" x14ac:dyDescent="0.25">
      <c r="B137" s="61"/>
      <c r="C137" s="61"/>
    </row>
    <row r="138" spans="2:3" x14ac:dyDescent="0.25">
      <c r="B138" s="61"/>
      <c r="C138" s="61"/>
    </row>
    <row r="139" spans="2:3" x14ac:dyDescent="0.25">
      <c r="B139" s="61"/>
      <c r="C139" s="61"/>
    </row>
    <row r="140" spans="2:3" x14ac:dyDescent="0.25">
      <c r="B140" s="61"/>
      <c r="C140" s="61"/>
    </row>
    <row r="141" spans="2:3" x14ac:dyDescent="0.25">
      <c r="B141" s="61"/>
      <c r="C141" s="61"/>
    </row>
    <row r="142" spans="2:3" x14ac:dyDescent="0.25">
      <c r="B142" s="61"/>
      <c r="C142" s="61"/>
    </row>
    <row r="143" spans="2:3" x14ac:dyDescent="0.25">
      <c r="B143" s="61"/>
      <c r="C143" s="61"/>
    </row>
    <row r="144" spans="2:3" x14ac:dyDescent="0.25">
      <c r="B144" s="61"/>
      <c r="C144" s="61"/>
    </row>
    <row r="145" spans="2:3" x14ac:dyDescent="0.25">
      <c r="B145" s="61"/>
      <c r="C145" s="61"/>
    </row>
    <row r="146" spans="2:3" x14ac:dyDescent="0.25">
      <c r="B146" s="61"/>
      <c r="C146" s="61"/>
    </row>
    <row r="147" spans="2:3" x14ac:dyDescent="0.25">
      <c r="B147" s="61"/>
      <c r="C147" s="61"/>
    </row>
    <row r="148" spans="2:3" x14ac:dyDescent="0.25">
      <c r="B148" s="61"/>
      <c r="C148" s="61"/>
    </row>
    <row r="149" spans="2:3" x14ac:dyDescent="0.25">
      <c r="B149" s="61"/>
      <c r="C149" s="61"/>
    </row>
    <row r="150" spans="2:3" x14ac:dyDescent="0.25">
      <c r="B150" s="61"/>
      <c r="C150" s="61"/>
    </row>
    <row r="151" spans="2:3" x14ac:dyDescent="0.25">
      <c r="B151" s="61"/>
      <c r="C151" s="61"/>
    </row>
    <row r="152" spans="2:3" x14ac:dyDescent="0.25">
      <c r="B152" s="61"/>
      <c r="C152" s="61"/>
    </row>
    <row r="153" spans="2:3" x14ac:dyDescent="0.25">
      <c r="B153" s="61"/>
      <c r="C153" s="61"/>
    </row>
    <row r="154" spans="2:3" x14ac:dyDescent="0.25">
      <c r="B154" s="61"/>
      <c r="C154" s="61"/>
    </row>
    <row r="155" spans="2:3" x14ac:dyDescent="0.25">
      <c r="B155" s="61"/>
      <c r="C155" s="61"/>
    </row>
    <row r="156" spans="2:3" x14ac:dyDescent="0.25">
      <c r="B156" s="61"/>
      <c r="C156" s="61"/>
    </row>
    <row r="157" spans="2:3" x14ac:dyDescent="0.25">
      <c r="B157" s="61"/>
      <c r="C157" s="61"/>
    </row>
    <row r="158" spans="2:3" x14ac:dyDescent="0.25">
      <c r="B158" s="61"/>
      <c r="C158" s="61"/>
    </row>
    <row r="159" spans="2:3" x14ac:dyDescent="0.25">
      <c r="B159" s="61"/>
      <c r="C159" s="61"/>
    </row>
    <row r="160" spans="2:3" x14ac:dyDescent="0.25">
      <c r="B160" s="61"/>
      <c r="C160" s="61"/>
    </row>
    <row r="161" spans="2:3" x14ac:dyDescent="0.25">
      <c r="B161" s="61"/>
      <c r="C161" s="61"/>
    </row>
    <row r="162" spans="2:3" x14ac:dyDescent="0.25">
      <c r="B162" s="61"/>
      <c r="C162" s="61"/>
    </row>
    <row r="163" spans="2:3" x14ac:dyDescent="0.25">
      <c r="B163" s="61"/>
      <c r="C163" s="61"/>
    </row>
    <row r="164" spans="2:3" x14ac:dyDescent="0.25">
      <c r="B164" s="61"/>
      <c r="C164" s="61"/>
    </row>
    <row r="165" spans="2:3" x14ac:dyDescent="0.25">
      <c r="B165" s="61"/>
      <c r="C165" s="61"/>
    </row>
    <row r="166" spans="2:3" x14ac:dyDescent="0.25">
      <c r="B166" s="61"/>
      <c r="C166" s="61"/>
    </row>
    <row r="167" spans="2:3" x14ac:dyDescent="0.25">
      <c r="B167" s="61"/>
      <c r="C167" s="61"/>
    </row>
    <row r="168" spans="2:3" x14ac:dyDescent="0.25">
      <c r="B168" s="61"/>
      <c r="C168" s="61"/>
    </row>
    <row r="169" spans="2:3" x14ac:dyDescent="0.25">
      <c r="B169" s="61"/>
      <c r="C169" s="61"/>
    </row>
    <row r="170" spans="2:3" x14ac:dyDescent="0.25">
      <c r="B170" s="61"/>
      <c r="C170" s="61"/>
    </row>
    <row r="171" spans="2:3" x14ac:dyDescent="0.25">
      <c r="B171" s="61"/>
      <c r="C171" s="61"/>
    </row>
    <row r="172" spans="2:3" x14ac:dyDescent="0.25">
      <c r="B172" s="61"/>
      <c r="C172" s="61"/>
    </row>
    <row r="173" spans="2:3" x14ac:dyDescent="0.25">
      <c r="B173" s="61"/>
      <c r="C173" s="61"/>
    </row>
    <row r="174" spans="2:3" x14ac:dyDescent="0.25">
      <c r="B174" s="61"/>
      <c r="C174" s="61"/>
    </row>
    <row r="175" spans="2:3" x14ac:dyDescent="0.25">
      <c r="B175" s="61"/>
      <c r="C175" s="61"/>
    </row>
    <row r="176" spans="2:3" x14ac:dyDescent="0.25">
      <c r="B176" s="61"/>
      <c r="C176" s="61"/>
    </row>
    <row r="177" spans="2:3" x14ac:dyDescent="0.25">
      <c r="B177" s="61"/>
      <c r="C177" s="61"/>
    </row>
    <row r="178" spans="2:3" x14ac:dyDescent="0.25">
      <c r="B178" s="61"/>
      <c r="C178" s="61"/>
    </row>
    <row r="179" spans="2:3" x14ac:dyDescent="0.25">
      <c r="B179" s="61"/>
      <c r="C179" s="61"/>
    </row>
    <row r="180" spans="2:3" x14ac:dyDescent="0.25">
      <c r="B180" s="61"/>
      <c r="C180" s="61"/>
    </row>
    <row r="181" spans="2:3" x14ac:dyDescent="0.25">
      <c r="B181" s="61"/>
      <c r="C181" s="61"/>
    </row>
    <row r="182" spans="2:3" x14ac:dyDescent="0.25">
      <c r="B182" s="61"/>
      <c r="C182" s="61"/>
    </row>
    <row r="183" spans="2:3" x14ac:dyDescent="0.25">
      <c r="B183" s="61"/>
      <c r="C183" s="61"/>
    </row>
    <row r="184" spans="2:3" x14ac:dyDescent="0.25">
      <c r="B184" s="61"/>
      <c r="C184" s="61"/>
    </row>
    <row r="185" spans="2:3" x14ac:dyDescent="0.25">
      <c r="B185" s="61"/>
      <c r="C185" s="61"/>
    </row>
    <row r="186" spans="2:3" x14ac:dyDescent="0.25">
      <c r="B186" s="61"/>
      <c r="C186" s="61"/>
    </row>
    <row r="187" spans="2:3" x14ac:dyDescent="0.25">
      <c r="B187" s="61"/>
      <c r="C187" s="61"/>
    </row>
    <row r="188" spans="2:3" x14ac:dyDescent="0.25">
      <c r="B188" s="61"/>
      <c r="C188" s="61"/>
    </row>
    <row r="189" spans="2:3" x14ac:dyDescent="0.25">
      <c r="B189" s="61"/>
      <c r="C189" s="61"/>
    </row>
    <row r="190" spans="2:3" x14ac:dyDescent="0.25">
      <c r="B190" s="61"/>
      <c r="C190" s="61"/>
    </row>
    <row r="191" spans="2:3" x14ac:dyDescent="0.25">
      <c r="B191" s="61"/>
      <c r="C191" s="61"/>
    </row>
    <row r="192" spans="2:3" x14ac:dyDescent="0.25">
      <c r="B192" s="61"/>
      <c r="C192" s="61"/>
    </row>
    <row r="193" spans="2:3" x14ac:dyDescent="0.25">
      <c r="B193" s="61"/>
      <c r="C193" s="61"/>
    </row>
    <row r="194" spans="2:3" x14ac:dyDescent="0.25">
      <c r="B194" s="61"/>
      <c r="C194" s="61"/>
    </row>
    <row r="195" spans="2:3" x14ac:dyDescent="0.25">
      <c r="B195" s="61"/>
      <c r="C195" s="61"/>
    </row>
    <row r="196" spans="2:3" x14ac:dyDescent="0.25">
      <c r="B196" s="61"/>
      <c r="C196" s="61"/>
    </row>
    <row r="197" spans="2:3" x14ac:dyDescent="0.25">
      <c r="B197" s="61"/>
      <c r="C197" s="61"/>
    </row>
    <row r="198" spans="2:3" x14ac:dyDescent="0.25">
      <c r="B198" s="61"/>
      <c r="C198" s="61"/>
    </row>
    <row r="199" spans="2:3" x14ac:dyDescent="0.25">
      <c r="B199" s="61"/>
      <c r="C199" s="61"/>
    </row>
    <row r="200" spans="2:3" x14ac:dyDescent="0.25">
      <c r="B200" s="61"/>
      <c r="C200" s="61"/>
    </row>
    <row r="201" spans="2:3" x14ac:dyDescent="0.25">
      <c r="B201" s="61"/>
      <c r="C201" s="61"/>
    </row>
    <row r="202" spans="2:3" x14ac:dyDescent="0.25">
      <c r="B202" s="61"/>
      <c r="C202" s="61"/>
    </row>
    <row r="203" spans="2:3" x14ac:dyDescent="0.25">
      <c r="B203" s="61"/>
      <c r="C203" s="61"/>
    </row>
    <row r="204" spans="2:3" x14ac:dyDescent="0.25">
      <c r="B204" s="61"/>
      <c r="C204" s="61"/>
    </row>
    <row r="205" spans="2:3" x14ac:dyDescent="0.25">
      <c r="B205" s="61"/>
      <c r="C205" s="61"/>
    </row>
    <row r="206" spans="2:3" x14ac:dyDescent="0.25">
      <c r="B206" s="61"/>
      <c r="C206" s="61"/>
    </row>
    <row r="207" spans="2:3" x14ac:dyDescent="0.25">
      <c r="B207" s="61"/>
      <c r="C207" s="61"/>
    </row>
    <row r="208" spans="2:3" x14ac:dyDescent="0.25">
      <c r="B208" s="61"/>
      <c r="C208" s="61"/>
    </row>
    <row r="209" spans="2:3" x14ac:dyDescent="0.25">
      <c r="B209" s="61"/>
      <c r="C209" s="61"/>
    </row>
    <row r="210" spans="2:3" x14ac:dyDescent="0.25">
      <c r="B210" s="61"/>
      <c r="C210" s="61"/>
    </row>
    <row r="211" spans="2:3" x14ac:dyDescent="0.25">
      <c r="B211" s="61"/>
      <c r="C211" s="61"/>
    </row>
    <row r="212" spans="2:3" x14ac:dyDescent="0.25">
      <c r="B212" s="61"/>
      <c r="C212" s="61"/>
    </row>
    <row r="213" spans="2:3" x14ac:dyDescent="0.25">
      <c r="B213" s="61"/>
      <c r="C213" s="61"/>
    </row>
    <row r="214" spans="2:3" x14ac:dyDescent="0.25">
      <c r="B214" s="61"/>
      <c r="C214" s="61"/>
    </row>
    <row r="215" spans="2:3" x14ac:dyDescent="0.25">
      <c r="B215" s="61"/>
      <c r="C215" s="61"/>
    </row>
    <row r="216" spans="2:3" x14ac:dyDescent="0.25">
      <c r="B216" s="61"/>
      <c r="C216" s="61"/>
    </row>
    <row r="217" spans="2:3" x14ac:dyDescent="0.25">
      <c r="B217" s="61"/>
      <c r="C217" s="61"/>
    </row>
    <row r="218" spans="2:3" x14ac:dyDescent="0.25">
      <c r="B218" s="61"/>
      <c r="C218" s="61"/>
    </row>
    <row r="219" spans="2:3" x14ac:dyDescent="0.25">
      <c r="B219" s="61"/>
      <c r="C219" s="61"/>
    </row>
    <row r="220" spans="2:3" x14ac:dyDescent="0.25">
      <c r="B220" s="61"/>
      <c r="C220" s="61"/>
    </row>
    <row r="221" spans="2:3" x14ac:dyDescent="0.25">
      <c r="B221" s="61"/>
      <c r="C221" s="61"/>
    </row>
    <row r="222" spans="2:3" x14ac:dyDescent="0.25">
      <c r="B222" s="61"/>
      <c r="C222" s="61"/>
    </row>
    <row r="223" spans="2:3" x14ac:dyDescent="0.25">
      <c r="B223" s="61"/>
      <c r="C223" s="61"/>
    </row>
    <row r="224" spans="2:3" x14ac:dyDescent="0.25">
      <c r="B224" s="61"/>
      <c r="C224" s="61"/>
    </row>
    <row r="225" spans="2:3" x14ac:dyDescent="0.25">
      <c r="B225" s="61"/>
      <c r="C225" s="61"/>
    </row>
    <row r="226" spans="2:3" x14ac:dyDescent="0.25">
      <c r="B226" s="61"/>
      <c r="C226" s="61"/>
    </row>
    <row r="227" spans="2:3" x14ac:dyDescent="0.25">
      <c r="B227" s="61"/>
      <c r="C227" s="61"/>
    </row>
    <row r="228" spans="2:3" x14ac:dyDescent="0.25">
      <c r="B228" s="61"/>
      <c r="C228" s="61"/>
    </row>
    <row r="229" spans="2:3" x14ac:dyDescent="0.25">
      <c r="B229" s="61"/>
      <c r="C229" s="61"/>
    </row>
    <row r="230" spans="2:3" x14ac:dyDescent="0.25">
      <c r="B230" s="61"/>
      <c r="C230" s="61"/>
    </row>
    <row r="231" spans="2:3" x14ac:dyDescent="0.25">
      <c r="B231" s="61"/>
      <c r="C231" s="61"/>
    </row>
    <row r="232" spans="2:3" x14ac:dyDescent="0.25">
      <c r="B232" s="61"/>
      <c r="C232" s="61"/>
    </row>
    <row r="233" spans="2:3" x14ac:dyDescent="0.25">
      <c r="B233" s="61"/>
      <c r="C233" s="61"/>
    </row>
    <row r="234" spans="2:3" x14ac:dyDescent="0.25">
      <c r="B234" s="61"/>
      <c r="C234" s="61"/>
    </row>
    <row r="235" spans="2:3" x14ac:dyDescent="0.25">
      <c r="B235" s="61"/>
      <c r="C235" s="61"/>
    </row>
    <row r="236" spans="2:3" x14ac:dyDescent="0.25">
      <c r="B236" s="61"/>
      <c r="C236" s="61"/>
    </row>
    <row r="237" spans="2:3" x14ac:dyDescent="0.25">
      <c r="B237" s="61"/>
      <c r="C237" s="61"/>
    </row>
    <row r="238" spans="2:3" x14ac:dyDescent="0.25">
      <c r="B238" s="61"/>
      <c r="C238" s="61"/>
    </row>
    <row r="239" spans="2:3" x14ac:dyDescent="0.25">
      <c r="B239" s="61"/>
      <c r="C239" s="61"/>
    </row>
    <row r="240" spans="2:3" x14ac:dyDescent="0.25">
      <c r="B240" s="61"/>
      <c r="C240" s="61"/>
    </row>
    <row r="241" spans="2:3" x14ac:dyDescent="0.25">
      <c r="B241" s="61"/>
      <c r="C241" s="61"/>
    </row>
    <row r="242" spans="2:3" x14ac:dyDescent="0.25">
      <c r="B242" s="61"/>
      <c r="C242" s="61"/>
    </row>
    <row r="243" spans="2:3" x14ac:dyDescent="0.25">
      <c r="B243" s="61"/>
      <c r="C243" s="61"/>
    </row>
    <row r="244" spans="2:3" x14ac:dyDescent="0.25">
      <c r="B244" s="61"/>
      <c r="C244" s="61"/>
    </row>
    <row r="245" spans="2:3" x14ac:dyDescent="0.25">
      <c r="B245" s="61"/>
      <c r="C245" s="61"/>
    </row>
    <row r="246" spans="2:3" x14ac:dyDescent="0.25">
      <c r="B246" s="61"/>
      <c r="C246" s="61"/>
    </row>
    <row r="247" spans="2:3" x14ac:dyDescent="0.25">
      <c r="B247" s="61"/>
      <c r="C247" s="61"/>
    </row>
    <row r="248" spans="2:3" x14ac:dyDescent="0.25">
      <c r="B248" s="61"/>
      <c r="C248" s="61"/>
    </row>
    <row r="249" spans="2:3" x14ac:dyDescent="0.25">
      <c r="B249" s="61"/>
      <c r="C249" s="61"/>
    </row>
    <row r="250" spans="2:3" x14ac:dyDescent="0.25">
      <c r="B250" s="61"/>
      <c r="C250" s="61"/>
    </row>
    <row r="251" spans="2:3" x14ac:dyDescent="0.25">
      <c r="B251" s="61"/>
      <c r="C251" s="61"/>
    </row>
    <row r="252" spans="2:3" x14ac:dyDescent="0.25">
      <c r="B252" s="61"/>
      <c r="C252" s="61"/>
    </row>
    <row r="253" spans="2:3" x14ac:dyDescent="0.25">
      <c r="B253" s="61"/>
      <c r="C253" s="61"/>
    </row>
    <row r="254" spans="2:3" x14ac:dyDescent="0.25">
      <c r="B254" s="61"/>
      <c r="C254" s="61"/>
    </row>
    <row r="255" spans="2:3" x14ac:dyDescent="0.25">
      <c r="B255" s="61"/>
      <c r="C255" s="61"/>
    </row>
    <row r="256" spans="2:3" x14ac:dyDescent="0.25">
      <c r="B256" s="61"/>
      <c r="C256" s="61"/>
    </row>
    <row r="257" spans="2:3" x14ac:dyDescent="0.25">
      <c r="B257" s="61"/>
      <c r="C257" s="61"/>
    </row>
    <row r="258" spans="2:3" x14ac:dyDescent="0.25">
      <c r="B258" s="61"/>
      <c r="C258" s="61"/>
    </row>
    <row r="259" spans="2:3" x14ac:dyDescent="0.25">
      <c r="B259" s="61"/>
      <c r="C259" s="61"/>
    </row>
    <row r="260" spans="2:3" x14ac:dyDescent="0.25">
      <c r="B260" s="61"/>
      <c r="C260" s="61"/>
    </row>
    <row r="261" spans="2:3" x14ac:dyDescent="0.25">
      <c r="B261" s="61"/>
      <c r="C261" s="61"/>
    </row>
    <row r="262" spans="2:3" x14ac:dyDescent="0.25">
      <c r="B262" s="61"/>
      <c r="C262" s="61"/>
    </row>
    <row r="263" spans="2:3" x14ac:dyDescent="0.25">
      <c r="B263" s="61"/>
      <c r="C263" s="61"/>
    </row>
    <row r="264" spans="2:3" x14ac:dyDescent="0.25">
      <c r="B264" s="61"/>
      <c r="C264" s="61"/>
    </row>
    <row r="265" spans="2:3" x14ac:dyDescent="0.25">
      <c r="B265" s="61"/>
      <c r="C265" s="61"/>
    </row>
    <row r="266" spans="2:3" x14ac:dyDescent="0.25">
      <c r="B266" s="61"/>
      <c r="C266" s="61"/>
    </row>
    <row r="267" spans="2:3" x14ac:dyDescent="0.25">
      <c r="B267" s="61"/>
      <c r="C267" s="61"/>
    </row>
    <row r="268" spans="2:3" x14ac:dyDescent="0.25">
      <c r="B268" s="61"/>
      <c r="C268" s="61"/>
    </row>
    <row r="269" spans="2:3" x14ac:dyDescent="0.25">
      <c r="B269" s="61"/>
      <c r="C269" s="61"/>
    </row>
    <row r="270" spans="2:3" x14ac:dyDescent="0.25">
      <c r="B270" s="61"/>
      <c r="C270" s="61"/>
    </row>
    <row r="271" spans="2:3" x14ac:dyDescent="0.25">
      <c r="B271" s="61"/>
      <c r="C271" s="61"/>
    </row>
    <row r="272" spans="2:3" x14ac:dyDescent="0.25">
      <c r="B272" s="61"/>
      <c r="C272" s="61"/>
    </row>
    <row r="273" spans="2:3" x14ac:dyDescent="0.25">
      <c r="B273" s="61"/>
      <c r="C273" s="61"/>
    </row>
    <row r="274" spans="2:3" x14ac:dyDescent="0.25">
      <c r="B274" s="61"/>
      <c r="C274" s="61"/>
    </row>
    <row r="275" spans="2:3" x14ac:dyDescent="0.25">
      <c r="B275" s="61"/>
      <c r="C275" s="61"/>
    </row>
    <row r="276" spans="2:3" x14ac:dyDescent="0.25">
      <c r="B276" s="61"/>
      <c r="C276" s="61"/>
    </row>
    <row r="277" spans="2:3" x14ac:dyDescent="0.25">
      <c r="B277" s="61"/>
      <c r="C277" s="61"/>
    </row>
    <row r="278" spans="2:3" x14ac:dyDescent="0.25">
      <c r="B278" s="61"/>
      <c r="C278" s="61"/>
    </row>
    <row r="279" spans="2:3" x14ac:dyDescent="0.25">
      <c r="B279" s="61"/>
      <c r="C279" s="61"/>
    </row>
    <row r="280" spans="2:3" x14ac:dyDescent="0.25">
      <c r="B280" s="61"/>
      <c r="C280" s="61"/>
    </row>
    <row r="281" spans="2:3" x14ac:dyDescent="0.25">
      <c r="B281" s="61"/>
      <c r="C281" s="61"/>
    </row>
    <row r="282" spans="2:3" x14ac:dyDescent="0.25">
      <c r="B282" s="61"/>
      <c r="C282" s="61"/>
    </row>
    <row r="283" spans="2:3" x14ac:dyDescent="0.25">
      <c r="B283" s="61"/>
      <c r="C283" s="61"/>
    </row>
    <row r="284" spans="2:3" x14ac:dyDescent="0.25">
      <c r="B284" s="61"/>
      <c r="C284" s="61"/>
    </row>
    <row r="285" spans="2:3" x14ac:dyDescent="0.25">
      <c r="B285" s="61"/>
      <c r="C285" s="61"/>
    </row>
    <row r="286" spans="2:3" x14ac:dyDescent="0.25">
      <c r="B286" s="61"/>
      <c r="C286" s="61"/>
    </row>
    <row r="287" spans="2:3" x14ac:dyDescent="0.25">
      <c r="B287" s="61"/>
      <c r="C287" s="61"/>
    </row>
    <row r="288" spans="2:3" x14ac:dyDescent="0.25">
      <c r="B288" s="61"/>
      <c r="C288" s="61"/>
    </row>
    <row r="289" spans="2:3" x14ac:dyDescent="0.25">
      <c r="B289" s="61"/>
      <c r="C289" s="61"/>
    </row>
    <row r="290" spans="2:3" x14ac:dyDescent="0.25">
      <c r="B290" s="61"/>
      <c r="C290" s="61"/>
    </row>
    <row r="291" spans="2:3" x14ac:dyDescent="0.25">
      <c r="B291" s="61"/>
      <c r="C291" s="61"/>
    </row>
    <row r="292" spans="2:3" x14ac:dyDescent="0.25">
      <c r="B292" s="61"/>
      <c r="C292" s="61"/>
    </row>
    <row r="293" spans="2:3" x14ac:dyDescent="0.25">
      <c r="B293" s="61"/>
      <c r="C293" s="61"/>
    </row>
    <row r="294" spans="2:3" x14ac:dyDescent="0.25">
      <c r="B294" s="61"/>
      <c r="C294" s="61"/>
    </row>
    <row r="295" spans="2:3" x14ac:dyDescent="0.25">
      <c r="B295" s="61"/>
      <c r="C295" s="61"/>
    </row>
    <row r="296" spans="2:3" x14ac:dyDescent="0.25">
      <c r="B296" s="61"/>
      <c r="C296" s="61"/>
    </row>
    <row r="297" spans="2:3" x14ac:dyDescent="0.25">
      <c r="B297" s="61"/>
      <c r="C297" s="61"/>
    </row>
    <row r="298" spans="2:3" x14ac:dyDescent="0.25">
      <c r="B298" s="61"/>
      <c r="C298" s="61"/>
    </row>
    <row r="299" spans="2:3" x14ac:dyDescent="0.25">
      <c r="B299" s="61"/>
      <c r="C299" s="61"/>
    </row>
    <row r="300" spans="2:3" x14ac:dyDescent="0.25">
      <c r="B300" s="61"/>
      <c r="C300" s="61"/>
    </row>
    <row r="301" spans="2:3" x14ac:dyDescent="0.25">
      <c r="B301" s="61"/>
      <c r="C301" s="61"/>
    </row>
    <row r="302" spans="2:3" x14ac:dyDescent="0.25">
      <c r="B302" s="61"/>
      <c r="C302" s="61"/>
    </row>
    <row r="303" spans="2:3" x14ac:dyDescent="0.25">
      <c r="B303" s="61"/>
      <c r="C303" s="61"/>
    </row>
    <row r="304" spans="2:3" x14ac:dyDescent="0.25">
      <c r="B304" s="61"/>
      <c r="C304" s="61"/>
    </row>
    <row r="305" spans="2:3" x14ac:dyDescent="0.25">
      <c r="B305" s="61"/>
      <c r="C305" s="61"/>
    </row>
    <row r="306" spans="2:3" x14ac:dyDescent="0.25">
      <c r="B306" s="61"/>
      <c r="C306" s="61"/>
    </row>
    <row r="307" spans="2:3" x14ac:dyDescent="0.25">
      <c r="B307" s="61"/>
      <c r="C307" s="61"/>
    </row>
    <row r="308" spans="2:3" x14ac:dyDescent="0.25">
      <c r="B308" s="61"/>
      <c r="C308" s="61"/>
    </row>
    <row r="309" spans="2:3" x14ac:dyDescent="0.25">
      <c r="B309" s="61"/>
      <c r="C309" s="61"/>
    </row>
    <row r="310" spans="2:3" x14ac:dyDescent="0.25">
      <c r="B310" s="61"/>
      <c r="C310" s="61"/>
    </row>
    <row r="311" spans="2:3" x14ac:dyDescent="0.25">
      <c r="B311" s="61"/>
      <c r="C311" s="61"/>
    </row>
    <row r="312" spans="2:3" x14ac:dyDescent="0.25">
      <c r="B312" s="61"/>
      <c r="C312" s="61"/>
    </row>
    <row r="313" spans="2:3" x14ac:dyDescent="0.25">
      <c r="B313" s="61"/>
      <c r="C313" s="61"/>
    </row>
    <row r="314" spans="2:3" x14ac:dyDescent="0.25">
      <c r="B314" s="61"/>
      <c r="C314" s="61"/>
    </row>
    <row r="315" spans="2:3" x14ac:dyDescent="0.25">
      <c r="B315" s="61"/>
      <c r="C315" s="61"/>
    </row>
    <row r="316" spans="2:3" x14ac:dyDescent="0.25">
      <c r="B316" s="61"/>
      <c r="C316" s="61"/>
    </row>
    <row r="317" spans="2:3" x14ac:dyDescent="0.25">
      <c r="B317" s="61"/>
      <c r="C317" s="61"/>
    </row>
    <row r="318" spans="2:3" x14ac:dyDescent="0.25">
      <c r="B318" s="61"/>
      <c r="C318" s="61"/>
    </row>
    <row r="319" spans="2:3" x14ac:dyDescent="0.25">
      <c r="B319" s="61"/>
      <c r="C319" s="61"/>
    </row>
    <row r="320" spans="2:3" x14ac:dyDescent="0.25">
      <c r="B320" s="61"/>
      <c r="C320" s="61"/>
    </row>
    <row r="321" spans="2:3" x14ac:dyDescent="0.25">
      <c r="B321" s="61"/>
      <c r="C321" s="61"/>
    </row>
    <row r="322" spans="2:3" x14ac:dyDescent="0.25">
      <c r="B322" s="61"/>
      <c r="C322" s="61"/>
    </row>
    <row r="323" spans="2:3" x14ac:dyDescent="0.25">
      <c r="B323" s="61"/>
      <c r="C323" s="61"/>
    </row>
    <row r="324" spans="2:3" x14ac:dyDescent="0.25">
      <c r="B324" s="61"/>
      <c r="C324" s="61"/>
    </row>
    <row r="325" spans="2:3" x14ac:dyDescent="0.25">
      <c r="B325" s="61"/>
      <c r="C325" s="61"/>
    </row>
    <row r="326" spans="2:3" x14ac:dyDescent="0.25">
      <c r="B326" s="61"/>
      <c r="C326" s="61"/>
    </row>
    <row r="327" spans="2:3" x14ac:dyDescent="0.25">
      <c r="B327" s="61"/>
      <c r="C327" s="61"/>
    </row>
    <row r="328" spans="2:3" x14ac:dyDescent="0.25">
      <c r="B328" s="61"/>
      <c r="C328" s="61"/>
    </row>
    <row r="329" spans="2:3" x14ac:dyDescent="0.25">
      <c r="B329" s="61"/>
      <c r="C329" s="61"/>
    </row>
    <row r="330" spans="2:3" x14ac:dyDescent="0.25">
      <c r="B330" s="61"/>
      <c r="C330" s="61"/>
    </row>
    <row r="331" spans="2:3" x14ac:dyDescent="0.25">
      <c r="B331" s="61"/>
      <c r="C331" s="61"/>
    </row>
    <row r="332" spans="2:3" x14ac:dyDescent="0.25">
      <c r="B332" s="61"/>
      <c r="C332" s="61"/>
    </row>
    <row r="333" spans="2:3" x14ac:dyDescent="0.25">
      <c r="B333" s="61"/>
      <c r="C333" s="61"/>
    </row>
    <row r="334" spans="2:3" x14ac:dyDescent="0.25">
      <c r="B334" s="61"/>
      <c r="C334" s="61"/>
    </row>
    <row r="335" spans="2:3" x14ac:dyDescent="0.25">
      <c r="B335" s="61"/>
      <c r="C335" s="61"/>
    </row>
    <row r="336" spans="2:3" x14ac:dyDescent="0.25">
      <c r="B336" s="61"/>
      <c r="C336" s="61"/>
    </row>
    <row r="337" spans="2:3" x14ac:dyDescent="0.25">
      <c r="B337" s="61"/>
      <c r="C337" s="61"/>
    </row>
    <row r="338" spans="2:3" x14ac:dyDescent="0.25">
      <c r="B338" s="61"/>
      <c r="C338" s="61"/>
    </row>
    <row r="339" spans="2:3" x14ac:dyDescent="0.25">
      <c r="B339" s="61"/>
      <c r="C339" s="61"/>
    </row>
    <row r="340" spans="2:3" x14ac:dyDescent="0.25">
      <c r="B340" s="61"/>
      <c r="C340" s="61"/>
    </row>
    <row r="341" spans="2:3" x14ac:dyDescent="0.25">
      <c r="B341" s="61"/>
      <c r="C341" s="61"/>
    </row>
    <row r="342" spans="2:3" x14ac:dyDescent="0.25">
      <c r="B342" s="61"/>
      <c r="C342" s="61"/>
    </row>
    <row r="343" spans="2:3" x14ac:dyDescent="0.25">
      <c r="B343" s="61"/>
      <c r="C343" s="61"/>
    </row>
    <row r="344" spans="2:3" x14ac:dyDescent="0.25">
      <c r="B344" s="61"/>
      <c r="C344" s="61"/>
    </row>
    <row r="345" spans="2:3" x14ac:dyDescent="0.25">
      <c r="B345" s="61"/>
      <c r="C345" s="61"/>
    </row>
    <row r="346" spans="2:3" x14ac:dyDescent="0.25">
      <c r="B346" s="61"/>
      <c r="C346" s="61"/>
    </row>
    <row r="347" spans="2:3" x14ac:dyDescent="0.25">
      <c r="B347" s="61"/>
      <c r="C347" s="61"/>
    </row>
    <row r="348" spans="2:3" x14ac:dyDescent="0.25">
      <c r="B348" s="61"/>
      <c r="C348" s="61"/>
    </row>
    <row r="349" spans="2:3" x14ac:dyDescent="0.25">
      <c r="B349" s="61"/>
      <c r="C349" s="61"/>
    </row>
    <row r="350" spans="2:3" x14ac:dyDescent="0.25">
      <c r="B350" s="61"/>
      <c r="C350" s="61"/>
    </row>
    <row r="351" spans="2:3" x14ac:dyDescent="0.25">
      <c r="B351" s="61"/>
      <c r="C351" s="61"/>
    </row>
    <row r="352" spans="2:3" x14ac:dyDescent="0.25">
      <c r="B352" s="61"/>
      <c r="C352" s="61"/>
    </row>
    <row r="353" spans="2:3" x14ac:dyDescent="0.25">
      <c r="B353" s="61"/>
      <c r="C353" s="61"/>
    </row>
    <row r="354" spans="2:3" x14ac:dyDescent="0.25">
      <c r="B354" s="61"/>
      <c r="C354" s="61"/>
    </row>
    <row r="355" spans="2:3" x14ac:dyDescent="0.25">
      <c r="B355" s="61"/>
      <c r="C355" s="61"/>
    </row>
    <row r="356" spans="2:3" x14ac:dyDescent="0.25">
      <c r="B356" s="61"/>
      <c r="C356" s="61"/>
    </row>
    <row r="357" spans="2:3" x14ac:dyDescent="0.25">
      <c r="B357" s="61"/>
      <c r="C357" s="61"/>
    </row>
    <row r="358" spans="2:3" x14ac:dyDescent="0.25">
      <c r="B358" s="61"/>
      <c r="C358" s="61"/>
    </row>
    <row r="359" spans="2:3" x14ac:dyDescent="0.25">
      <c r="B359" s="61"/>
      <c r="C359" s="61"/>
    </row>
    <row r="360" spans="2:3" x14ac:dyDescent="0.25">
      <c r="B360" s="61"/>
      <c r="C360" s="61"/>
    </row>
    <row r="361" spans="2:3" x14ac:dyDescent="0.25">
      <c r="B361" s="61"/>
      <c r="C361" s="61"/>
    </row>
    <row r="362" spans="2:3" x14ac:dyDescent="0.25">
      <c r="B362" s="61"/>
      <c r="C362" s="61"/>
    </row>
    <row r="363" spans="2:3" x14ac:dyDescent="0.25">
      <c r="B363" s="61"/>
      <c r="C363" s="61"/>
    </row>
    <row r="364" spans="2:3" x14ac:dyDescent="0.25">
      <c r="B364" s="61"/>
      <c r="C364" s="61"/>
    </row>
    <row r="365" spans="2:3" x14ac:dyDescent="0.25">
      <c r="B365" s="61"/>
      <c r="C365" s="61"/>
    </row>
    <row r="366" spans="2:3" x14ac:dyDescent="0.25">
      <c r="B366" s="61"/>
      <c r="C366" s="61"/>
    </row>
    <row r="367" spans="2:3" x14ac:dyDescent="0.25">
      <c r="B367" s="61"/>
      <c r="C367" s="61"/>
    </row>
    <row r="368" spans="2:3" x14ac:dyDescent="0.25">
      <c r="B368" s="61"/>
      <c r="C368" s="61"/>
    </row>
    <row r="369" spans="2:3" x14ac:dyDescent="0.25">
      <c r="B369" s="61"/>
      <c r="C369" s="61"/>
    </row>
    <row r="370" spans="2:3" x14ac:dyDescent="0.25">
      <c r="B370" s="61"/>
      <c r="C370" s="61"/>
    </row>
    <row r="371" spans="2:3" x14ac:dyDescent="0.25">
      <c r="B371" s="61"/>
      <c r="C371" s="61"/>
    </row>
    <row r="372" spans="2:3" x14ac:dyDescent="0.25">
      <c r="B372" s="61"/>
      <c r="C372" s="61"/>
    </row>
    <row r="373" spans="2:3" x14ac:dyDescent="0.25">
      <c r="B373" s="61"/>
      <c r="C373" s="61"/>
    </row>
    <row r="374" spans="2:3" x14ac:dyDescent="0.25">
      <c r="B374" s="61"/>
      <c r="C374" s="61"/>
    </row>
    <row r="375" spans="2:3" x14ac:dyDescent="0.25">
      <c r="B375" s="61"/>
      <c r="C375" s="61"/>
    </row>
    <row r="376" spans="2:3" x14ac:dyDescent="0.25">
      <c r="B376" s="61"/>
      <c r="C376" s="61"/>
    </row>
    <row r="377" spans="2:3" x14ac:dyDescent="0.25">
      <c r="B377" s="61"/>
      <c r="C377" s="61"/>
    </row>
    <row r="378" spans="2:3" x14ac:dyDescent="0.25">
      <c r="B378" s="61"/>
      <c r="C378" s="61"/>
    </row>
    <row r="379" spans="2:3" x14ac:dyDescent="0.25">
      <c r="B379" s="61"/>
      <c r="C379" s="61"/>
    </row>
    <row r="380" spans="2:3" x14ac:dyDescent="0.25">
      <c r="B380" s="61"/>
      <c r="C380" s="61"/>
    </row>
    <row r="381" spans="2:3" x14ac:dyDescent="0.25">
      <c r="B381" s="61"/>
      <c r="C381" s="61"/>
    </row>
    <row r="382" spans="2:3" x14ac:dyDescent="0.25">
      <c r="B382" s="61"/>
      <c r="C382" s="61"/>
    </row>
    <row r="383" spans="2:3" x14ac:dyDescent="0.25">
      <c r="B383" s="61"/>
      <c r="C383" s="61"/>
    </row>
    <row r="384" spans="2:3" x14ac:dyDescent="0.25">
      <c r="B384" s="61"/>
      <c r="C384" s="61"/>
    </row>
    <row r="385" spans="2:3" x14ac:dyDescent="0.25">
      <c r="B385" s="61"/>
      <c r="C385" s="61"/>
    </row>
    <row r="386" spans="2:3" x14ac:dyDescent="0.25">
      <c r="B386" s="61"/>
      <c r="C386" s="61"/>
    </row>
    <row r="387" spans="2:3" x14ac:dyDescent="0.25">
      <c r="B387" s="61"/>
      <c r="C387" s="61"/>
    </row>
    <row r="388" spans="2:3" x14ac:dyDescent="0.25">
      <c r="B388" s="61"/>
      <c r="C388" s="61"/>
    </row>
    <row r="389" spans="2:3" x14ac:dyDescent="0.25">
      <c r="B389" s="61"/>
      <c r="C389" s="61"/>
    </row>
    <row r="390" spans="2:3" x14ac:dyDescent="0.25">
      <c r="B390" s="61"/>
      <c r="C390" s="61"/>
    </row>
    <row r="391" spans="2:3" x14ac:dyDescent="0.25">
      <c r="B391" s="61"/>
      <c r="C391" s="61"/>
    </row>
    <row r="392" spans="2:3" x14ac:dyDescent="0.25">
      <c r="B392" s="61"/>
      <c r="C392" s="61"/>
    </row>
    <row r="393" spans="2:3" x14ac:dyDescent="0.25">
      <c r="B393" s="61"/>
      <c r="C393" s="61"/>
    </row>
    <row r="394" spans="2:3" x14ac:dyDescent="0.25">
      <c r="B394" s="61"/>
      <c r="C394" s="61"/>
    </row>
    <row r="395" spans="2:3" x14ac:dyDescent="0.25">
      <c r="B395" s="61"/>
      <c r="C395" s="61"/>
    </row>
    <row r="396" spans="2:3" x14ac:dyDescent="0.25">
      <c r="B396" s="61"/>
      <c r="C396" s="61"/>
    </row>
    <row r="397" spans="2:3" x14ac:dyDescent="0.25">
      <c r="B397" s="61"/>
      <c r="C397" s="61"/>
    </row>
    <row r="398" spans="2:3" x14ac:dyDescent="0.25">
      <c r="B398" s="61"/>
      <c r="C398" s="61"/>
    </row>
    <row r="399" spans="2:3" x14ac:dyDescent="0.25">
      <c r="B399" s="61"/>
      <c r="C399" s="61"/>
    </row>
    <row r="400" spans="2:3" x14ac:dyDescent="0.25">
      <c r="B400" s="61"/>
      <c r="C400" s="61"/>
    </row>
    <row r="401" spans="2:3" x14ac:dyDescent="0.25">
      <c r="B401" s="61"/>
      <c r="C401" s="61"/>
    </row>
    <row r="402" spans="2:3" x14ac:dyDescent="0.25">
      <c r="B402" s="61"/>
      <c r="C402" s="61"/>
    </row>
    <row r="403" spans="2:3" x14ac:dyDescent="0.25">
      <c r="B403" s="61"/>
      <c r="C403" s="61"/>
    </row>
    <row r="404" spans="2:3" x14ac:dyDescent="0.25">
      <c r="B404" s="61"/>
      <c r="C404" s="61"/>
    </row>
    <row r="405" spans="2:3" x14ac:dyDescent="0.25">
      <c r="B405" s="61"/>
      <c r="C405" s="61"/>
    </row>
    <row r="406" spans="2:3" x14ac:dyDescent="0.25">
      <c r="B406" s="61"/>
      <c r="C406" s="61"/>
    </row>
    <row r="407" spans="2:3" x14ac:dyDescent="0.25">
      <c r="B407" s="61"/>
      <c r="C407" s="61"/>
    </row>
    <row r="408" spans="2:3" x14ac:dyDescent="0.25">
      <c r="B408" s="61"/>
      <c r="C408" s="61"/>
    </row>
    <row r="409" spans="2:3" x14ac:dyDescent="0.25">
      <c r="B409" s="61"/>
      <c r="C409" s="61"/>
    </row>
    <row r="410" spans="2:3" x14ac:dyDescent="0.25">
      <c r="B410" s="61"/>
      <c r="C410" s="61"/>
    </row>
    <row r="411" spans="2:3" x14ac:dyDescent="0.25">
      <c r="B411" s="61"/>
      <c r="C411" s="61"/>
    </row>
    <row r="412" spans="2:3" x14ac:dyDescent="0.25">
      <c r="B412" s="61"/>
      <c r="C412" s="61"/>
    </row>
    <row r="413" spans="2:3" x14ac:dyDescent="0.25">
      <c r="B413" s="61"/>
      <c r="C413" s="61"/>
    </row>
    <row r="414" spans="2:3" x14ac:dyDescent="0.25">
      <c r="B414" s="61"/>
      <c r="C414" s="61"/>
    </row>
    <row r="415" spans="2:3" x14ac:dyDescent="0.25">
      <c r="B415" s="61"/>
      <c r="C415" s="61"/>
    </row>
    <row r="416" spans="2:3" x14ac:dyDescent="0.25">
      <c r="B416" s="61"/>
      <c r="C416" s="61"/>
    </row>
    <row r="417" spans="2:3" x14ac:dyDescent="0.25">
      <c r="B417" s="61"/>
      <c r="C417" s="61"/>
    </row>
    <row r="418" spans="2:3" x14ac:dyDescent="0.25">
      <c r="B418" s="61"/>
      <c r="C418" s="61"/>
    </row>
    <row r="419" spans="2:3" x14ac:dyDescent="0.25">
      <c r="B419" s="61"/>
      <c r="C419" s="61"/>
    </row>
    <row r="420" spans="2:3" x14ac:dyDescent="0.25">
      <c r="B420" s="61"/>
      <c r="C420" s="61"/>
    </row>
    <row r="421" spans="2:3" x14ac:dyDescent="0.25">
      <c r="B421" s="61"/>
      <c r="C421" s="61"/>
    </row>
    <row r="422" spans="2:3" x14ac:dyDescent="0.25">
      <c r="B422" s="61"/>
      <c r="C422" s="61"/>
    </row>
    <row r="423" spans="2:3" x14ac:dyDescent="0.25">
      <c r="B423" s="61"/>
      <c r="C423" s="61"/>
    </row>
    <row r="424" spans="2:3" x14ac:dyDescent="0.25">
      <c r="B424" s="61"/>
      <c r="C424" s="61"/>
    </row>
    <row r="425" spans="2:3" x14ac:dyDescent="0.25">
      <c r="B425" s="61"/>
      <c r="C425" s="61"/>
    </row>
    <row r="426" spans="2:3" x14ac:dyDescent="0.25">
      <c r="B426" s="61"/>
      <c r="C426" s="61"/>
    </row>
    <row r="427" spans="2:3" x14ac:dyDescent="0.25">
      <c r="B427" s="61"/>
      <c r="C427" s="61"/>
    </row>
    <row r="428" spans="2:3" x14ac:dyDescent="0.25">
      <c r="B428" s="61"/>
      <c r="C428" s="61"/>
    </row>
    <row r="429" spans="2:3" x14ac:dyDescent="0.25">
      <c r="B429" s="61"/>
      <c r="C429" s="61"/>
    </row>
    <row r="430" spans="2:3" x14ac:dyDescent="0.25">
      <c r="B430" s="61"/>
      <c r="C430" s="61"/>
    </row>
    <row r="431" spans="2:3" x14ac:dyDescent="0.25">
      <c r="B431" s="61"/>
      <c r="C431" s="61"/>
    </row>
    <row r="432" spans="2:3" x14ac:dyDescent="0.25">
      <c r="B432" s="61"/>
      <c r="C432" s="61"/>
    </row>
    <row r="433" spans="2:3" x14ac:dyDescent="0.25">
      <c r="B433" s="61"/>
      <c r="C433" s="61"/>
    </row>
    <row r="434" spans="2:3" x14ac:dyDescent="0.25">
      <c r="B434" s="61"/>
      <c r="C434" s="61"/>
    </row>
    <row r="435" spans="2:3" x14ac:dyDescent="0.25">
      <c r="B435" s="61"/>
      <c r="C435" s="61"/>
    </row>
    <row r="436" spans="2:3" x14ac:dyDescent="0.25">
      <c r="B436" s="61"/>
      <c r="C436" s="61"/>
    </row>
    <row r="437" spans="2:3" x14ac:dyDescent="0.25">
      <c r="B437" s="61"/>
      <c r="C437" s="61"/>
    </row>
    <row r="438" spans="2:3" x14ac:dyDescent="0.25">
      <c r="B438" s="61"/>
      <c r="C438" s="61"/>
    </row>
    <row r="439" spans="2:3" x14ac:dyDescent="0.25">
      <c r="B439" s="61"/>
      <c r="C439" s="61"/>
    </row>
    <row r="440" spans="2:3" x14ac:dyDescent="0.25">
      <c r="B440" s="61"/>
      <c r="C440" s="61"/>
    </row>
    <row r="441" spans="2:3" x14ac:dyDescent="0.25">
      <c r="B441" s="61"/>
      <c r="C441" s="61"/>
    </row>
    <row r="442" spans="2:3" x14ac:dyDescent="0.25">
      <c r="B442" s="61"/>
      <c r="C442" s="61"/>
    </row>
    <row r="443" spans="2:3" x14ac:dyDescent="0.25">
      <c r="B443" s="61"/>
      <c r="C443" s="61"/>
    </row>
    <row r="444" spans="2:3" x14ac:dyDescent="0.25">
      <c r="B444" s="61"/>
      <c r="C444" s="61"/>
    </row>
    <row r="445" spans="2:3" x14ac:dyDescent="0.25">
      <c r="B445" s="61"/>
      <c r="C445" s="61"/>
    </row>
    <row r="446" spans="2:3" x14ac:dyDescent="0.25">
      <c r="B446" s="61"/>
      <c r="C446" s="61"/>
    </row>
    <row r="447" spans="2:3" x14ac:dyDescent="0.25">
      <c r="B447" s="61"/>
      <c r="C447" s="61"/>
    </row>
    <row r="448" spans="2:3" x14ac:dyDescent="0.25">
      <c r="B448" s="61"/>
      <c r="C448" s="61"/>
    </row>
    <row r="449" spans="2:3" x14ac:dyDescent="0.25">
      <c r="B449" s="61"/>
      <c r="C449" s="61"/>
    </row>
    <row r="450" spans="2:3" x14ac:dyDescent="0.25">
      <c r="B450" s="61"/>
      <c r="C450" s="61"/>
    </row>
    <row r="451" spans="2:3" x14ac:dyDescent="0.25">
      <c r="B451" s="61"/>
      <c r="C451" s="61"/>
    </row>
    <row r="452" spans="2:3" x14ac:dyDescent="0.25">
      <c r="B452" s="61"/>
      <c r="C452" s="61"/>
    </row>
    <row r="453" spans="2:3" x14ac:dyDescent="0.25">
      <c r="B453" s="61"/>
      <c r="C453" s="61"/>
    </row>
    <row r="454" spans="2:3" x14ac:dyDescent="0.25">
      <c r="B454" s="61"/>
      <c r="C454" s="61"/>
    </row>
    <row r="455" spans="2:3" x14ac:dyDescent="0.25">
      <c r="B455" s="61"/>
      <c r="C455" s="61"/>
    </row>
    <row r="456" spans="2:3" x14ac:dyDescent="0.25">
      <c r="B456" s="61"/>
      <c r="C456" s="61"/>
    </row>
    <row r="457" spans="2:3" x14ac:dyDescent="0.25">
      <c r="B457" s="61"/>
      <c r="C457" s="61"/>
    </row>
    <row r="458" spans="2:3" x14ac:dyDescent="0.25">
      <c r="B458" s="61"/>
      <c r="C458" s="61"/>
    </row>
    <row r="459" spans="2:3" x14ac:dyDescent="0.25">
      <c r="B459" s="61"/>
      <c r="C459" s="61"/>
    </row>
    <row r="460" spans="2:3" x14ac:dyDescent="0.25">
      <c r="B460" s="61"/>
      <c r="C460" s="61"/>
    </row>
    <row r="461" spans="2:3" x14ac:dyDescent="0.25">
      <c r="B461" s="61"/>
      <c r="C461" s="61"/>
    </row>
    <row r="462" spans="2:3" x14ac:dyDescent="0.25">
      <c r="B462" s="61"/>
      <c r="C462" s="61"/>
    </row>
    <row r="463" spans="2:3" x14ac:dyDescent="0.25">
      <c r="B463" s="61"/>
      <c r="C463" s="61"/>
    </row>
    <row r="464" spans="2:3" x14ac:dyDescent="0.25">
      <c r="B464" s="61"/>
      <c r="C464" s="61"/>
    </row>
    <row r="465" spans="2:3" x14ac:dyDescent="0.25">
      <c r="B465" s="61"/>
      <c r="C465" s="61"/>
    </row>
    <row r="466" spans="2:3" x14ac:dyDescent="0.25">
      <c r="B466" s="61"/>
      <c r="C466" s="61"/>
    </row>
    <row r="467" spans="2:3" x14ac:dyDescent="0.25">
      <c r="B467" s="61"/>
      <c r="C467" s="61"/>
    </row>
    <row r="468" spans="2:3" x14ac:dyDescent="0.25">
      <c r="B468" s="61"/>
      <c r="C468" s="61"/>
    </row>
    <row r="469" spans="2:3" x14ac:dyDescent="0.25">
      <c r="B469" s="61"/>
      <c r="C469" s="61"/>
    </row>
    <row r="470" spans="2:3" x14ac:dyDescent="0.25">
      <c r="B470" s="61"/>
      <c r="C470" s="61"/>
    </row>
    <row r="471" spans="2:3" x14ac:dyDescent="0.25">
      <c r="B471" s="61"/>
      <c r="C471" s="61"/>
    </row>
    <row r="472" spans="2:3" x14ac:dyDescent="0.25">
      <c r="B472" s="61"/>
      <c r="C472" s="61"/>
    </row>
    <row r="473" spans="2:3" x14ac:dyDescent="0.25">
      <c r="B473" s="61"/>
      <c r="C473" s="61"/>
    </row>
    <row r="474" spans="2:3" x14ac:dyDescent="0.25">
      <c r="B474" s="61"/>
      <c r="C474" s="61"/>
    </row>
    <row r="475" spans="2:3" x14ac:dyDescent="0.25">
      <c r="B475" s="61"/>
      <c r="C475" s="61"/>
    </row>
    <row r="476" spans="2:3" x14ac:dyDescent="0.25">
      <c r="B476" s="61"/>
      <c r="C476" s="61"/>
    </row>
    <row r="477" spans="2:3" x14ac:dyDescent="0.25">
      <c r="B477" s="61"/>
      <c r="C477" s="61"/>
    </row>
    <row r="478" spans="2:3" x14ac:dyDescent="0.25">
      <c r="B478" s="61"/>
      <c r="C478" s="61"/>
    </row>
    <row r="479" spans="2:3" x14ac:dyDescent="0.25">
      <c r="B479" s="61"/>
      <c r="C479" s="61"/>
    </row>
    <row r="480" spans="2:3" x14ac:dyDescent="0.25">
      <c r="B480" s="61"/>
      <c r="C480" s="61"/>
    </row>
    <row r="481" spans="2:3" x14ac:dyDescent="0.25">
      <c r="B481" s="61"/>
      <c r="C481" s="61"/>
    </row>
    <row r="482" spans="2:3" x14ac:dyDescent="0.25">
      <c r="B482" s="61"/>
      <c r="C482" s="61"/>
    </row>
    <row r="483" spans="2:3" x14ac:dyDescent="0.25">
      <c r="B483" s="61"/>
      <c r="C483" s="61"/>
    </row>
    <row r="484" spans="2:3" x14ac:dyDescent="0.25">
      <c r="B484" s="61"/>
      <c r="C484" s="61"/>
    </row>
    <row r="485" spans="2:3" x14ac:dyDescent="0.25">
      <c r="B485" s="61"/>
      <c r="C485" s="61"/>
    </row>
    <row r="486" spans="2:3" x14ac:dyDescent="0.25">
      <c r="B486" s="61"/>
      <c r="C486" s="61"/>
    </row>
    <row r="487" spans="2:3" x14ac:dyDescent="0.25">
      <c r="B487" s="61"/>
      <c r="C487" s="61"/>
    </row>
    <row r="488" spans="2:3" x14ac:dyDescent="0.25">
      <c r="B488" s="61"/>
      <c r="C488" s="61"/>
    </row>
    <row r="489" spans="2:3" x14ac:dyDescent="0.25">
      <c r="B489" s="61"/>
      <c r="C489" s="61"/>
    </row>
    <row r="490" spans="2:3" x14ac:dyDescent="0.25">
      <c r="B490" s="61"/>
      <c r="C490" s="61"/>
    </row>
    <row r="491" spans="2:3" x14ac:dyDescent="0.25">
      <c r="B491" s="61"/>
      <c r="C491" s="61"/>
    </row>
    <row r="492" spans="2:3" x14ac:dyDescent="0.25">
      <c r="B492" s="61"/>
      <c r="C492" s="61"/>
    </row>
    <row r="493" spans="2:3" x14ac:dyDescent="0.25">
      <c r="B493" s="61"/>
      <c r="C493" s="61"/>
    </row>
    <row r="494" spans="2:3" x14ac:dyDescent="0.25">
      <c r="B494" s="61"/>
      <c r="C494" s="61"/>
    </row>
    <row r="495" spans="2:3" x14ac:dyDescent="0.25">
      <c r="B495" s="61"/>
      <c r="C495" s="61"/>
    </row>
    <row r="496" spans="2:3" x14ac:dyDescent="0.25">
      <c r="B496" s="61"/>
      <c r="C496" s="61"/>
    </row>
    <row r="497" spans="2:3" x14ac:dyDescent="0.25">
      <c r="B497" s="61"/>
      <c r="C497" s="61"/>
    </row>
    <row r="498" spans="2:3" x14ac:dyDescent="0.25">
      <c r="B498" s="61"/>
      <c r="C498" s="61"/>
    </row>
    <row r="499" spans="2:3" x14ac:dyDescent="0.25">
      <c r="B499" s="61"/>
      <c r="C499" s="61"/>
    </row>
    <row r="500" spans="2:3" x14ac:dyDescent="0.25">
      <c r="B500" s="61"/>
      <c r="C500" s="61"/>
    </row>
    <row r="501" spans="2:3" x14ac:dyDescent="0.25">
      <c r="B501" s="61"/>
      <c r="C501" s="61"/>
    </row>
    <row r="502" spans="2:3" x14ac:dyDescent="0.25">
      <c r="B502" s="61"/>
      <c r="C502" s="61"/>
    </row>
    <row r="503" spans="2:3" x14ac:dyDescent="0.25">
      <c r="B503" s="61"/>
      <c r="C503" s="61"/>
    </row>
    <row r="504" spans="2:3" x14ac:dyDescent="0.25">
      <c r="B504" s="61"/>
      <c r="C504" s="61"/>
    </row>
    <row r="505" spans="2:3" x14ac:dyDescent="0.25">
      <c r="B505" s="61"/>
      <c r="C505" s="61"/>
    </row>
    <row r="506" spans="2:3" x14ac:dyDescent="0.25">
      <c r="B506" s="61"/>
      <c r="C506" s="61"/>
    </row>
    <row r="507" spans="2:3" x14ac:dyDescent="0.25">
      <c r="B507" s="61"/>
      <c r="C507" s="61"/>
    </row>
    <row r="508" spans="2:3" x14ac:dyDescent="0.25">
      <c r="B508" s="61"/>
      <c r="C508" s="61"/>
    </row>
    <row r="509" spans="2:3" x14ac:dyDescent="0.25">
      <c r="B509" s="61"/>
      <c r="C509" s="61"/>
    </row>
    <row r="510" spans="2:3" x14ac:dyDescent="0.25">
      <c r="B510" s="61"/>
      <c r="C510" s="61"/>
    </row>
    <row r="511" spans="2:3" x14ac:dyDescent="0.25">
      <c r="B511" s="61"/>
      <c r="C511" s="61"/>
    </row>
    <row r="512" spans="2:3" x14ac:dyDescent="0.25">
      <c r="B512" s="61"/>
      <c r="C512" s="61"/>
    </row>
    <row r="513" spans="2:3" x14ac:dyDescent="0.25">
      <c r="B513" s="61"/>
      <c r="C513" s="61"/>
    </row>
    <row r="514" spans="2:3" x14ac:dyDescent="0.25">
      <c r="B514" s="61"/>
      <c r="C514" s="61"/>
    </row>
    <row r="515" spans="2:3" x14ac:dyDescent="0.25">
      <c r="B515" s="61"/>
      <c r="C515" s="61"/>
    </row>
    <row r="516" spans="2:3" x14ac:dyDescent="0.25">
      <c r="B516" s="61"/>
      <c r="C516" s="61"/>
    </row>
    <row r="517" spans="2:3" x14ac:dyDescent="0.25">
      <c r="B517" s="61"/>
      <c r="C517" s="61"/>
    </row>
    <row r="518" spans="2:3" x14ac:dyDescent="0.25">
      <c r="B518" s="61"/>
      <c r="C518" s="61"/>
    </row>
    <row r="519" spans="2:3" x14ac:dyDescent="0.25">
      <c r="B519" s="61"/>
      <c r="C519" s="61"/>
    </row>
    <row r="520" spans="2:3" x14ac:dyDescent="0.25">
      <c r="B520" s="61"/>
      <c r="C520" s="61"/>
    </row>
    <row r="521" spans="2:3" x14ac:dyDescent="0.25">
      <c r="B521" s="61"/>
      <c r="C521" s="61"/>
    </row>
    <row r="522" spans="2:3" x14ac:dyDescent="0.25">
      <c r="B522" s="61"/>
      <c r="C522" s="61"/>
    </row>
    <row r="523" spans="2:3" x14ac:dyDescent="0.25">
      <c r="B523" s="61"/>
      <c r="C523" s="61"/>
    </row>
    <row r="524" spans="2:3" x14ac:dyDescent="0.25">
      <c r="B524" s="61"/>
      <c r="C524" s="61"/>
    </row>
    <row r="525" spans="2:3" x14ac:dyDescent="0.25">
      <c r="B525" s="61"/>
      <c r="C525" s="61"/>
    </row>
    <row r="526" spans="2:3" x14ac:dyDescent="0.25">
      <c r="B526" s="61"/>
      <c r="C526" s="61"/>
    </row>
    <row r="527" spans="2:3" x14ac:dyDescent="0.25">
      <c r="B527" s="61"/>
      <c r="C527" s="61"/>
    </row>
    <row r="528" spans="2:3" x14ac:dyDescent="0.25">
      <c r="B528" s="61"/>
      <c r="C528" s="61"/>
    </row>
    <row r="529" spans="2:3" x14ac:dyDescent="0.25">
      <c r="B529" s="61"/>
      <c r="C529" s="61"/>
    </row>
    <row r="530" spans="2:3" x14ac:dyDescent="0.25">
      <c r="B530" s="61"/>
      <c r="C530" s="61"/>
    </row>
    <row r="531" spans="2:3" x14ac:dyDescent="0.25">
      <c r="B531" s="61"/>
      <c r="C531" s="61"/>
    </row>
    <row r="532" spans="2:3" x14ac:dyDescent="0.25">
      <c r="B532" s="61"/>
      <c r="C532" s="61"/>
    </row>
    <row r="533" spans="2:3" x14ac:dyDescent="0.25">
      <c r="B533" s="61"/>
      <c r="C533" s="61"/>
    </row>
    <row r="534" spans="2:3" x14ac:dyDescent="0.25">
      <c r="B534" s="61"/>
      <c r="C534" s="61"/>
    </row>
    <row r="535" spans="2:3" x14ac:dyDescent="0.25">
      <c r="B535" s="61"/>
      <c r="C535" s="61"/>
    </row>
    <row r="536" spans="2:3" x14ac:dyDescent="0.25">
      <c r="B536" s="61"/>
      <c r="C536" s="61"/>
    </row>
    <row r="537" spans="2:3" x14ac:dyDescent="0.25">
      <c r="B537" s="61"/>
      <c r="C537" s="61"/>
    </row>
    <row r="538" spans="2:3" x14ac:dyDescent="0.25">
      <c r="B538" s="61"/>
      <c r="C538" s="61"/>
    </row>
    <row r="539" spans="2:3" x14ac:dyDescent="0.25">
      <c r="B539" s="61"/>
      <c r="C539" s="61"/>
    </row>
    <row r="540" spans="2:3" x14ac:dyDescent="0.25">
      <c r="B540" s="61"/>
      <c r="C540" s="61"/>
    </row>
    <row r="541" spans="2:3" x14ac:dyDescent="0.25">
      <c r="B541" s="61"/>
      <c r="C541" s="61"/>
    </row>
    <row r="542" spans="2:3" x14ac:dyDescent="0.25">
      <c r="B542" s="61"/>
      <c r="C542" s="61"/>
    </row>
    <row r="543" spans="2:3" x14ac:dyDescent="0.25">
      <c r="B543" s="61"/>
      <c r="C543" s="61"/>
    </row>
    <row r="544" spans="2:3" x14ac:dyDescent="0.25">
      <c r="B544" s="61"/>
      <c r="C544" s="61"/>
    </row>
    <row r="545" spans="2:3" x14ac:dyDescent="0.25">
      <c r="B545" s="61"/>
      <c r="C545" s="61"/>
    </row>
    <row r="546" spans="2:3" x14ac:dyDescent="0.25">
      <c r="B546" s="61"/>
      <c r="C546" s="61"/>
    </row>
    <row r="547" spans="2:3" x14ac:dyDescent="0.25">
      <c r="B547" s="61"/>
      <c r="C547" s="61"/>
    </row>
    <row r="548" spans="2:3" x14ac:dyDescent="0.25">
      <c r="B548" s="61"/>
      <c r="C548" s="61"/>
    </row>
    <row r="549" spans="2:3" x14ac:dyDescent="0.25">
      <c r="B549" s="61"/>
      <c r="C549" s="61"/>
    </row>
    <row r="550" spans="2:3" x14ac:dyDescent="0.25">
      <c r="B550" s="61"/>
      <c r="C550" s="61"/>
    </row>
    <row r="551" spans="2:3" x14ac:dyDescent="0.25">
      <c r="B551" s="61"/>
      <c r="C551" s="61"/>
    </row>
    <row r="552" spans="2:3" x14ac:dyDescent="0.25">
      <c r="B552" s="61"/>
      <c r="C552" s="61"/>
    </row>
    <row r="553" spans="2:3" x14ac:dyDescent="0.25">
      <c r="B553" s="61"/>
      <c r="C553" s="61"/>
    </row>
    <row r="554" spans="2:3" x14ac:dyDescent="0.25">
      <c r="B554" s="61"/>
      <c r="C554" s="61"/>
    </row>
    <row r="555" spans="2:3" x14ac:dyDescent="0.25">
      <c r="B555" s="61"/>
      <c r="C555" s="61"/>
    </row>
    <row r="556" spans="2:3" x14ac:dyDescent="0.25">
      <c r="B556" s="61"/>
      <c r="C556" s="61"/>
    </row>
    <row r="557" spans="2:3" x14ac:dyDescent="0.25">
      <c r="B557" s="61"/>
      <c r="C557" s="61"/>
    </row>
    <row r="558" spans="2:3" x14ac:dyDescent="0.25">
      <c r="B558" s="61"/>
      <c r="C558" s="61"/>
    </row>
    <row r="559" spans="2:3" x14ac:dyDescent="0.25">
      <c r="B559" s="61"/>
      <c r="C559" s="61"/>
    </row>
    <row r="560" spans="2:3" x14ac:dyDescent="0.25">
      <c r="B560" s="61"/>
      <c r="C560" s="61"/>
    </row>
    <row r="561" spans="2:3" x14ac:dyDescent="0.25">
      <c r="B561" s="61"/>
      <c r="C561" s="61"/>
    </row>
    <row r="562" spans="2:3" x14ac:dyDescent="0.25">
      <c r="B562" s="61"/>
      <c r="C562" s="61"/>
    </row>
    <row r="563" spans="2:3" x14ac:dyDescent="0.25">
      <c r="B563" s="61"/>
      <c r="C563" s="61"/>
    </row>
    <row r="564" spans="2:3" x14ac:dyDescent="0.25">
      <c r="B564" s="61"/>
      <c r="C564" s="61"/>
    </row>
    <row r="565" spans="2:3" x14ac:dyDescent="0.25">
      <c r="B565" s="61"/>
      <c r="C565" s="61"/>
    </row>
    <row r="566" spans="2:3" x14ac:dyDescent="0.25">
      <c r="B566" s="61"/>
      <c r="C566" s="61"/>
    </row>
    <row r="567" spans="2:3" x14ac:dyDescent="0.25">
      <c r="B567" s="61"/>
      <c r="C567" s="61"/>
    </row>
    <row r="568" spans="2:3" x14ac:dyDescent="0.25">
      <c r="B568" s="61"/>
      <c r="C568" s="61"/>
    </row>
    <row r="569" spans="2:3" x14ac:dyDescent="0.25">
      <c r="B569" s="61"/>
      <c r="C569" s="61"/>
    </row>
    <row r="570" spans="2:3" x14ac:dyDescent="0.25">
      <c r="B570" s="61"/>
      <c r="C570" s="61"/>
    </row>
    <row r="571" spans="2:3" x14ac:dyDescent="0.25">
      <c r="B571" s="61"/>
      <c r="C571" s="61"/>
    </row>
    <row r="572" spans="2:3" x14ac:dyDescent="0.25">
      <c r="B572" s="61"/>
      <c r="C572" s="61"/>
    </row>
    <row r="573" spans="2:3" x14ac:dyDescent="0.25">
      <c r="B573" s="61"/>
      <c r="C573" s="61"/>
    </row>
    <row r="574" spans="2:3" x14ac:dyDescent="0.25">
      <c r="B574" s="61"/>
      <c r="C574" s="61"/>
    </row>
    <row r="575" spans="2:3" x14ac:dyDescent="0.25">
      <c r="B575" s="61"/>
      <c r="C575" s="61"/>
    </row>
    <row r="576" spans="2:3" x14ac:dyDescent="0.25">
      <c r="B576" s="61"/>
      <c r="C576" s="61"/>
    </row>
    <row r="577" spans="2:3" x14ac:dyDescent="0.25">
      <c r="B577" s="61"/>
      <c r="C577" s="61"/>
    </row>
    <row r="578" spans="2:3" x14ac:dyDescent="0.25">
      <c r="B578" s="61"/>
      <c r="C578" s="61"/>
    </row>
    <row r="579" spans="2:3" x14ac:dyDescent="0.25">
      <c r="B579" s="61"/>
      <c r="C579" s="61"/>
    </row>
    <row r="580" spans="2:3" x14ac:dyDescent="0.25">
      <c r="B580" s="61"/>
      <c r="C580" s="61"/>
    </row>
    <row r="581" spans="2:3" x14ac:dyDescent="0.25">
      <c r="B581" s="61"/>
      <c r="C581" s="61"/>
    </row>
    <row r="582" spans="2:3" x14ac:dyDescent="0.25">
      <c r="B582" s="61"/>
      <c r="C582" s="61"/>
    </row>
    <row r="583" spans="2:3" x14ac:dyDescent="0.25">
      <c r="B583" s="61"/>
      <c r="C583" s="61"/>
    </row>
    <row r="584" spans="2:3" x14ac:dyDescent="0.25">
      <c r="B584" s="61"/>
      <c r="C584" s="61"/>
    </row>
    <row r="585" spans="2:3" x14ac:dyDescent="0.25">
      <c r="B585" s="61"/>
      <c r="C585" s="61"/>
    </row>
    <row r="586" spans="2:3" x14ac:dyDescent="0.25">
      <c r="B586" s="61"/>
      <c r="C586" s="61"/>
    </row>
    <row r="587" spans="2:3" x14ac:dyDescent="0.25">
      <c r="B587" s="61"/>
      <c r="C587" s="61"/>
    </row>
    <row r="588" spans="2:3" x14ac:dyDescent="0.25">
      <c r="B588" s="61"/>
      <c r="C588" s="61"/>
    </row>
    <row r="589" spans="2:3" x14ac:dyDescent="0.25">
      <c r="B589" s="61"/>
      <c r="C589" s="61"/>
    </row>
    <row r="590" spans="2:3" x14ac:dyDescent="0.25">
      <c r="B590" s="61"/>
      <c r="C590" s="61"/>
    </row>
    <row r="591" spans="2:3" x14ac:dyDescent="0.25">
      <c r="B591" s="61"/>
      <c r="C591" s="61"/>
    </row>
    <row r="592" spans="2:3" x14ac:dyDescent="0.25">
      <c r="B592" s="61"/>
      <c r="C592" s="61"/>
    </row>
    <row r="593" spans="2:3" x14ac:dyDescent="0.25">
      <c r="B593" s="61"/>
      <c r="C593" s="61"/>
    </row>
    <row r="594" spans="2:3" x14ac:dyDescent="0.25">
      <c r="B594" s="61"/>
      <c r="C594" s="61"/>
    </row>
    <row r="595" spans="2:3" x14ac:dyDescent="0.25">
      <c r="B595" s="61"/>
      <c r="C595" s="61"/>
    </row>
    <row r="596" spans="2:3" x14ac:dyDescent="0.25">
      <c r="B596" s="61"/>
      <c r="C596" s="61"/>
    </row>
    <row r="597" spans="2:3" x14ac:dyDescent="0.25">
      <c r="B597" s="61"/>
      <c r="C597" s="61"/>
    </row>
    <row r="598" spans="2:3" x14ac:dyDescent="0.25">
      <c r="B598" s="61"/>
      <c r="C598" s="61"/>
    </row>
    <row r="599" spans="2:3" x14ac:dyDescent="0.25">
      <c r="B599" s="61"/>
      <c r="C599" s="61"/>
    </row>
    <row r="600" spans="2:3" x14ac:dyDescent="0.25">
      <c r="B600" s="61"/>
      <c r="C600" s="61"/>
    </row>
    <row r="601" spans="2:3" x14ac:dyDescent="0.25">
      <c r="B601" s="61"/>
      <c r="C601" s="61"/>
    </row>
    <row r="602" spans="2:3" x14ac:dyDescent="0.25">
      <c r="B602" s="61"/>
      <c r="C602" s="61"/>
    </row>
    <row r="603" spans="2:3" x14ac:dyDescent="0.25">
      <c r="B603" s="61"/>
      <c r="C603" s="61"/>
    </row>
    <row r="604" spans="2:3" x14ac:dyDescent="0.25">
      <c r="B604" s="61"/>
      <c r="C604" s="61"/>
    </row>
    <row r="605" spans="2:3" x14ac:dyDescent="0.25">
      <c r="B605" s="61"/>
      <c r="C605" s="61"/>
    </row>
    <row r="606" spans="2:3" x14ac:dyDescent="0.25">
      <c r="B606" s="61"/>
      <c r="C606" s="61"/>
    </row>
    <row r="607" spans="2:3" x14ac:dyDescent="0.25">
      <c r="B607" s="61"/>
      <c r="C607" s="61"/>
    </row>
    <row r="608" spans="2:3" x14ac:dyDescent="0.25">
      <c r="B608" s="61"/>
      <c r="C608" s="61"/>
    </row>
    <row r="609" spans="2:3" x14ac:dyDescent="0.25">
      <c r="B609" s="61"/>
      <c r="C609" s="61"/>
    </row>
    <row r="610" spans="2:3" x14ac:dyDescent="0.25">
      <c r="B610" s="61"/>
      <c r="C610" s="61"/>
    </row>
    <row r="611" spans="2:3" x14ac:dyDescent="0.25">
      <c r="B611" s="61"/>
      <c r="C611" s="61"/>
    </row>
    <row r="612" spans="2:3" x14ac:dyDescent="0.25">
      <c r="B612" s="61"/>
      <c r="C612" s="61"/>
    </row>
    <row r="613" spans="2:3" x14ac:dyDescent="0.25">
      <c r="B613" s="61"/>
      <c r="C613" s="61"/>
    </row>
    <row r="614" spans="2:3" x14ac:dyDescent="0.25">
      <c r="B614" s="61"/>
      <c r="C614" s="61"/>
    </row>
    <row r="615" spans="2:3" x14ac:dyDescent="0.25">
      <c r="B615" s="61"/>
      <c r="C615" s="61"/>
    </row>
    <row r="616" spans="2:3" x14ac:dyDescent="0.25">
      <c r="B616" s="61"/>
      <c r="C616" s="61"/>
    </row>
    <row r="617" spans="2:3" x14ac:dyDescent="0.25">
      <c r="B617" s="61"/>
      <c r="C617" s="61"/>
    </row>
    <row r="618" spans="2:3" x14ac:dyDescent="0.25">
      <c r="B618" s="61"/>
      <c r="C618" s="61"/>
    </row>
    <row r="619" spans="2:3" x14ac:dyDescent="0.25">
      <c r="B619" s="61"/>
      <c r="C619" s="61"/>
    </row>
    <row r="620" spans="2:3" x14ac:dyDescent="0.25">
      <c r="B620" s="61"/>
      <c r="C620" s="61"/>
    </row>
    <row r="621" spans="2:3" x14ac:dyDescent="0.25">
      <c r="B621" s="61"/>
      <c r="C621" s="61"/>
    </row>
    <row r="622" spans="2:3" x14ac:dyDescent="0.25">
      <c r="B622" s="61"/>
      <c r="C622" s="61"/>
    </row>
    <row r="623" spans="2:3" x14ac:dyDescent="0.25">
      <c r="B623" s="61"/>
      <c r="C623" s="61"/>
    </row>
    <row r="624" spans="2:3" x14ac:dyDescent="0.25">
      <c r="B624" s="61"/>
      <c r="C624" s="61"/>
    </row>
    <row r="625" spans="2:3" x14ac:dyDescent="0.25">
      <c r="B625" s="61"/>
      <c r="C625" s="61"/>
    </row>
    <row r="626" spans="2:3" x14ac:dyDescent="0.25">
      <c r="B626" s="61"/>
      <c r="C626" s="61"/>
    </row>
    <row r="627" spans="2:3" x14ac:dyDescent="0.25">
      <c r="B627" s="61"/>
      <c r="C627" s="61"/>
    </row>
    <row r="628" spans="2:3" x14ac:dyDescent="0.25">
      <c r="B628" s="61"/>
      <c r="C628" s="61"/>
    </row>
    <row r="629" spans="2:3" x14ac:dyDescent="0.25">
      <c r="B629" s="61"/>
      <c r="C629" s="61"/>
    </row>
    <row r="630" spans="2:3" x14ac:dyDescent="0.25">
      <c r="B630" s="61"/>
      <c r="C630" s="61"/>
    </row>
    <row r="631" spans="2:3" x14ac:dyDescent="0.25">
      <c r="B631" s="61"/>
      <c r="C631" s="61"/>
    </row>
    <row r="632" spans="2:3" x14ac:dyDescent="0.25">
      <c r="B632" s="61"/>
      <c r="C632" s="61"/>
    </row>
    <row r="633" spans="2:3" x14ac:dyDescent="0.25">
      <c r="B633" s="61"/>
      <c r="C633" s="61"/>
    </row>
    <row r="634" spans="2:3" x14ac:dyDescent="0.25">
      <c r="B634" s="61"/>
      <c r="C634" s="61"/>
    </row>
    <row r="635" spans="2:3" x14ac:dyDescent="0.25">
      <c r="B635" s="61"/>
      <c r="C635" s="61"/>
    </row>
    <row r="636" spans="2:3" x14ac:dyDescent="0.25">
      <c r="B636" s="61"/>
      <c r="C636" s="61"/>
    </row>
    <row r="637" spans="2:3" x14ac:dyDescent="0.25">
      <c r="B637" s="61"/>
      <c r="C637" s="61"/>
    </row>
    <row r="638" spans="2:3" x14ac:dyDescent="0.25">
      <c r="B638" s="61"/>
      <c r="C638" s="61"/>
    </row>
    <row r="639" spans="2:3" x14ac:dyDescent="0.25">
      <c r="B639" s="61"/>
      <c r="C639" s="61"/>
    </row>
    <row r="640" spans="2:3" x14ac:dyDescent="0.25">
      <c r="B640" s="61"/>
      <c r="C640" s="61"/>
    </row>
    <row r="641" spans="2:3" x14ac:dyDescent="0.25">
      <c r="B641" s="61"/>
      <c r="C641" s="61"/>
    </row>
    <row r="642" spans="2:3" x14ac:dyDescent="0.25">
      <c r="B642" s="61"/>
      <c r="C642" s="61"/>
    </row>
    <row r="643" spans="2:3" x14ac:dyDescent="0.25">
      <c r="B643" s="61"/>
      <c r="C643" s="61"/>
    </row>
    <row r="644" spans="2:3" x14ac:dyDescent="0.25">
      <c r="B644" s="61"/>
      <c r="C644" s="61"/>
    </row>
    <row r="645" spans="2:3" x14ac:dyDescent="0.25">
      <c r="B645" s="61"/>
      <c r="C645" s="61"/>
    </row>
    <row r="646" spans="2:3" x14ac:dyDescent="0.25">
      <c r="B646" s="61"/>
      <c r="C646" s="61"/>
    </row>
    <row r="647" spans="2:3" x14ac:dyDescent="0.25">
      <c r="B647" s="61"/>
      <c r="C647" s="61"/>
    </row>
    <row r="648" spans="2:3" x14ac:dyDescent="0.25">
      <c r="B648" s="61"/>
      <c r="C648" s="61"/>
    </row>
    <row r="649" spans="2:3" x14ac:dyDescent="0.25">
      <c r="B649" s="61"/>
      <c r="C649" s="61"/>
    </row>
    <row r="650" spans="2:3" x14ac:dyDescent="0.25">
      <c r="B650" s="61"/>
      <c r="C650" s="61"/>
    </row>
    <row r="651" spans="2:3" x14ac:dyDescent="0.25">
      <c r="B651" s="61"/>
      <c r="C651" s="61"/>
    </row>
    <row r="652" spans="2:3" x14ac:dyDescent="0.25">
      <c r="B652" s="61"/>
      <c r="C652" s="61"/>
    </row>
    <row r="653" spans="2:3" x14ac:dyDescent="0.25">
      <c r="B653" s="61"/>
      <c r="C653" s="61"/>
    </row>
    <row r="654" spans="2:3" x14ac:dyDescent="0.25">
      <c r="B654" s="61"/>
      <c r="C654" s="61"/>
    </row>
    <row r="655" spans="2:3" x14ac:dyDescent="0.25">
      <c r="B655" s="61"/>
      <c r="C655" s="61"/>
    </row>
    <row r="656" spans="2:3" x14ac:dyDescent="0.25">
      <c r="B656" s="61"/>
      <c r="C656" s="61"/>
    </row>
    <row r="657" spans="2:3" x14ac:dyDescent="0.25">
      <c r="B657" s="61"/>
      <c r="C657" s="61"/>
    </row>
    <row r="658" spans="2:3" x14ac:dyDescent="0.25">
      <c r="B658" s="61"/>
      <c r="C658" s="61"/>
    </row>
    <row r="659" spans="2:3" x14ac:dyDescent="0.25">
      <c r="B659" s="61"/>
      <c r="C659" s="61"/>
    </row>
    <row r="660" spans="2:3" x14ac:dyDescent="0.25">
      <c r="B660" s="61"/>
      <c r="C660" s="61"/>
    </row>
    <row r="661" spans="2:3" x14ac:dyDescent="0.25">
      <c r="B661" s="61"/>
      <c r="C661" s="61"/>
    </row>
    <row r="662" spans="2:3" x14ac:dyDescent="0.25">
      <c r="B662" s="61"/>
      <c r="C662" s="61"/>
    </row>
    <row r="663" spans="2:3" x14ac:dyDescent="0.25">
      <c r="B663" s="61"/>
      <c r="C663" s="61"/>
    </row>
    <row r="664" spans="2:3" x14ac:dyDescent="0.25">
      <c r="B664" s="61"/>
      <c r="C664" s="61"/>
    </row>
    <row r="665" spans="2:3" x14ac:dyDescent="0.25">
      <c r="B665" s="61"/>
      <c r="C665" s="61"/>
    </row>
    <row r="666" spans="2:3" x14ac:dyDescent="0.25">
      <c r="B666" s="61"/>
      <c r="C666" s="61"/>
    </row>
    <row r="667" spans="2:3" x14ac:dyDescent="0.25">
      <c r="B667" s="61"/>
      <c r="C667" s="61"/>
    </row>
    <row r="668" spans="2:3" x14ac:dyDescent="0.25">
      <c r="B668" s="61"/>
      <c r="C668" s="61"/>
    </row>
    <row r="669" spans="2:3" x14ac:dyDescent="0.25">
      <c r="B669" s="61"/>
      <c r="C669" s="61"/>
    </row>
    <row r="670" spans="2:3" x14ac:dyDescent="0.25">
      <c r="B670" s="61"/>
      <c r="C670" s="61"/>
    </row>
    <row r="671" spans="2:3" x14ac:dyDescent="0.25">
      <c r="B671" s="61"/>
      <c r="C671" s="61"/>
    </row>
    <row r="672" spans="2:3" x14ac:dyDescent="0.25">
      <c r="B672" s="61"/>
      <c r="C672" s="61"/>
    </row>
    <row r="673" spans="2:3" x14ac:dyDescent="0.25">
      <c r="B673" s="61"/>
      <c r="C673" s="61"/>
    </row>
    <row r="674" spans="2:3" x14ac:dyDescent="0.25">
      <c r="B674" s="61"/>
      <c r="C674" s="61"/>
    </row>
    <row r="675" spans="2:3" x14ac:dyDescent="0.25">
      <c r="B675" s="61"/>
      <c r="C675" s="61"/>
    </row>
    <row r="676" spans="2:3" x14ac:dyDescent="0.25">
      <c r="B676" s="61"/>
      <c r="C676" s="61"/>
    </row>
    <row r="677" spans="2:3" x14ac:dyDescent="0.25">
      <c r="B677" s="61"/>
      <c r="C677" s="61"/>
    </row>
    <row r="678" spans="2:3" x14ac:dyDescent="0.25">
      <c r="B678" s="61"/>
      <c r="C678" s="61"/>
    </row>
    <row r="679" spans="2:3" x14ac:dyDescent="0.25">
      <c r="B679" s="61"/>
      <c r="C679" s="61"/>
    </row>
    <row r="680" spans="2:3" x14ac:dyDescent="0.25">
      <c r="B680" s="61"/>
      <c r="C680" s="61"/>
    </row>
    <row r="681" spans="2:3" x14ac:dyDescent="0.25">
      <c r="B681" s="61"/>
      <c r="C681" s="61"/>
    </row>
    <row r="682" spans="2:3" x14ac:dyDescent="0.25">
      <c r="B682" s="61"/>
      <c r="C682" s="61"/>
    </row>
    <row r="683" spans="2:3" x14ac:dyDescent="0.25">
      <c r="B683" s="61"/>
      <c r="C683" s="61"/>
    </row>
    <row r="684" spans="2:3" x14ac:dyDescent="0.25">
      <c r="B684" s="61"/>
      <c r="C684" s="61"/>
    </row>
    <row r="685" spans="2:3" x14ac:dyDescent="0.25">
      <c r="B685" s="61"/>
      <c r="C685" s="61"/>
    </row>
    <row r="686" spans="2:3" x14ac:dyDescent="0.25">
      <c r="B686" s="61"/>
      <c r="C686" s="61"/>
    </row>
    <row r="687" spans="2:3" x14ac:dyDescent="0.25">
      <c r="B687" s="61"/>
      <c r="C687" s="61"/>
    </row>
    <row r="688" spans="2:3" x14ac:dyDescent="0.25">
      <c r="B688" s="61"/>
      <c r="C688" s="61"/>
    </row>
    <row r="689" spans="2:3" x14ac:dyDescent="0.25">
      <c r="B689" s="61"/>
      <c r="C689" s="61"/>
    </row>
    <row r="690" spans="2:3" x14ac:dyDescent="0.25">
      <c r="B690" s="61"/>
      <c r="C690" s="61"/>
    </row>
    <row r="691" spans="2:3" x14ac:dyDescent="0.25">
      <c r="B691" s="61"/>
      <c r="C691" s="61"/>
    </row>
    <row r="692" spans="2:3" x14ac:dyDescent="0.25">
      <c r="B692" s="61"/>
      <c r="C692" s="61"/>
    </row>
    <row r="693" spans="2:3" x14ac:dyDescent="0.25">
      <c r="B693" s="61"/>
      <c r="C693" s="61"/>
    </row>
    <row r="694" spans="2:3" x14ac:dyDescent="0.25">
      <c r="B694" s="61"/>
      <c r="C694" s="61"/>
    </row>
    <row r="695" spans="2:3" x14ac:dyDescent="0.25">
      <c r="B695" s="61"/>
      <c r="C695" s="61"/>
    </row>
    <row r="696" spans="2:3" x14ac:dyDescent="0.25">
      <c r="B696" s="61"/>
      <c r="C696" s="61"/>
    </row>
    <row r="697" spans="2:3" x14ac:dyDescent="0.25">
      <c r="B697" s="61"/>
      <c r="C697" s="61"/>
    </row>
    <row r="698" spans="2:3" x14ac:dyDescent="0.25">
      <c r="B698" s="61"/>
      <c r="C698" s="61"/>
    </row>
    <row r="699" spans="2:3" x14ac:dyDescent="0.25">
      <c r="B699" s="61"/>
      <c r="C699" s="61"/>
    </row>
    <row r="700" spans="2:3" x14ac:dyDescent="0.25">
      <c r="B700" s="61"/>
      <c r="C700" s="61"/>
    </row>
    <row r="701" spans="2:3" x14ac:dyDescent="0.25">
      <c r="B701" s="61"/>
      <c r="C701" s="61"/>
    </row>
    <row r="702" spans="2:3" x14ac:dyDescent="0.25">
      <c r="B702" s="61"/>
      <c r="C702" s="61"/>
    </row>
    <row r="703" spans="2:3" x14ac:dyDescent="0.25">
      <c r="B703" s="61"/>
      <c r="C703" s="61"/>
    </row>
    <row r="704" spans="2:3" x14ac:dyDescent="0.25">
      <c r="B704" s="61"/>
      <c r="C704" s="61"/>
    </row>
    <row r="705" spans="2:3" x14ac:dyDescent="0.25">
      <c r="B705" s="61"/>
      <c r="C705" s="61"/>
    </row>
    <row r="706" spans="2:3" x14ac:dyDescent="0.25">
      <c r="B706" s="61"/>
      <c r="C706" s="61"/>
    </row>
    <row r="707" spans="2:3" x14ac:dyDescent="0.25">
      <c r="B707" s="61"/>
      <c r="C707" s="61"/>
    </row>
    <row r="708" spans="2:3" x14ac:dyDescent="0.25">
      <c r="B708" s="61"/>
      <c r="C708" s="61"/>
    </row>
    <row r="709" spans="2:3" x14ac:dyDescent="0.25">
      <c r="B709" s="61"/>
      <c r="C709" s="61"/>
    </row>
    <row r="710" spans="2:3" x14ac:dyDescent="0.25">
      <c r="B710" s="61"/>
      <c r="C710" s="61"/>
    </row>
    <row r="711" spans="2:3" x14ac:dyDescent="0.25">
      <c r="B711" s="61"/>
      <c r="C711" s="61"/>
    </row>
    <row r="712" spans="2:3" x14ac:dyDescent="0.25">
      <c r="B712" s="61"/>
      <c r="C712" s="61"/>
    </row>
    <row r="713" spans="2:3" x14ac:dyDescent="0.25">
      <c r="B713" s="61"/>
      <c r="C713" s="61"/>
    </row>
    <row r="714" spans="2:3" x14ac:dyDescent="0.25">
      <c r="B714" s="61"/>
      <c r="C714" s="61"/>
    </row>
    <row r="715" spans="2:3" x14ac:dyDescent="0.25">
      <c r="B715" s="61"/>
      <c r="C715" s="61"/>
    </row>
    <row r="716" spans="2:3" x14ac:dyDescent="0.25">
      <c r="B716" s="61"/>
      <c r="C716" s="61"/>
    </row>
    <row r="717" spans="2:3" x14ac:dyDescent="0.25">
      <c r="B717" s="61"/>
      <c r="C717" s="61"/>
    </row>
    <row r="718" spans="2:3" x14ac:dyDescent="0.25">
      <c r="B718" s="61"/>
      <c r="C718" s="61"/>
    </row>
    <row r="719" spans="2:3" x14ac:dyDescent="0.25">
      <c r="B719" s="61"/>
      <c r="C719" s="61"/>
    </row>
    <row r="720" spans="2:3" x14ac:dyDescent="0.25">
      <c r="B720" s="61"/>
      <c r="C720" s="61"/>
    </row>
    <row r="721" spans="2:3" x14ac:dyDescent="0.25">
      <c r="B721" s="61"/>
      <c r="C721" s="61"/>
    </row>
    <row r="722" spans="2:3" x14ac:dyDescent="0.25">
      <c r="B722" s="61"/>
      <c r="C722" s="61"/>
    </row>
    <row r="723" spans="2:3" x14ac:dyDescent="0.25">
      <c r="B723" s="61"/>
      <c r="C723" s="61"/>
    </row>
    <row r="724" spans="2:3" x14ac:dyDescent="0.25">
      <c r="B724" s="61"/>
      <c r="C724" s="61"/>
    </row>
    <row r="725" spans="2:3" x14ac:dyDescent="0.25">
      <c r="B725" s="61"/>
      <c r="C725" s="61"/>
    </row>
    <row r="726" spans="2:3" x14ac:dyDescent="0.25">
      <c r="B726" s="61"/>
      <c r="C726" s="61"/>
    </row>
    <row r="727" spans="2:3" x14ac:dyDescent="0.25">
      <c r="B727" s="61"/>
      <c r="C727" s="61"/>
    </row>
    <row r="728" spans="2:3" x14ac:dyDescent="0.25">
      <c r="B728" s="61"/>
      <c r="C728" s="61"/>
    </row>
    <row r="729" spans="2:3" x14ac:dyDescent="0.25">
      <c r="B729" s="61"/>
      <c r="C729" s="61"/>
    </row>
    <row r="730" spans="2:3" x14ac:dyDescent="0.25">
      <c r="B730" s="61"/>
      <c r="C730" s="61"/>
    </row>
    <row r="731" spans="2:3" x14ac:dyDescent="0.25">
      <c r="B731" s="61"/>
      <c r="C731" s="61"/>
    </row>
    <row r="732" spans="2:3" x14ac:dyDescent="0.25">
      <c r="B732" s="61"/>
      <c r="C732" s="61"/>
    </row>
    <row r="733" spans="2:3" x14ac:dyDescent="0.25">
      <c r="B733" s="61"/>
      <c r="C733" s="61"/>
    </row>
    <row r="734" spans="2:3" x14ac:dyDescent="0.25">
      <c r="B734" s="61"/>
      <c r="C734" s="61"/>
    </row>
    <row r="735" spans="2:3" x14ac:dyDescent="0.25">
      <c r="B735" s="61"/>
      <c r="C735" s="61"/>
    </row>
    <row r="736" spans="2:3" x14ac:dyDescent="0.25">
      <c r="B736" s="61"/>
      <c r="C736" s="61"/>
    </row>
    <row r="737" spans="2:3" x14ac:dyDescent="0.25">
      <c r="B737" s="61"/>
      <c r="C737" s="61"/>
    </row>
    <row r="738" spans="2:3" x14ac:dyDescent="0.25">
      <c r="B738" s="61"/>
      <c r="C738" s="61"/>
    </row>
    <row r="739" spans="2:3" x14ac:dyDescent="0.25">
      <c r="B739" s="61"/>
      <c r="C739" s="61"/>
    </row>
    <row r="740" spans="2:3" x14ac:dyDescent="0.25">
      <c r="B740" s="61"/>
      <c r="C740" s="61"/>
    </row>
    <row r="741" spans="2:3" x14ac:dyDescent="0.25">
      <c r="B741" s="61"/>
      <c r="C741" s="61"/>
    </row>
    <row r="742" spans="2:3" x14ac:dyDescent="0.25">
      <c r="B742" s="61"/>
      <c r="C742" s="61"/>
    </row>
    <row r="743" spans="2:3" x14ac:dyDescent="0.25">
      <c r="B743" s="61"/>
      <c r="C743" s="61"/>
    </row>
    <row r="744" spans="2:3" x14ac:dyDescent="0.25">
      <c r="B744" s="61"/>
      <c r="C744" s="61"/>
    </row>
    <row r="745" spans="2:3" x14ac:dyDescent="0.25">
      <c r="B745" s="61"/>
      <c r="C745" s="61"/>
    </row>
    <row r="746" spans="2:3" x14ac:dyDescent="0.25">
      <c r="B746" s="61"/>
      <c r="C746" s="61"/>
    </row>
    <row r="747" spans="2:3" x14ac:dyDescent="0.25">
      <c r="B747" s="61"/>
      <c r="C747" s="61"/>
    </row>
    <row r="748" spans="2:3" x14ac:dyDescent="0.25">
      <c r="B748" s="61"/>
      <c r="C748" s="61"/>
    </row>
    <row r="749" spans="2:3" x14ac:dyDescent="0.25">
      <c r="B749" s="61"/>
      <c r="C749" s="61"/>
    </row>
    <row r="750" spans="2:3" x14ac:dyDescent="0.25">
      <c r="B750" s="61"/>
      <c r="C750" s="61"/>
    </row>
    <row r="751" spans="2:3" x14ac:dyDescent="0.25">
      <c r="B751" s="61"/>
      <c r="C751" s="61"/>
    </row>
    <row r="752" spans="2:3" x14ac:dyDescent="0.25">
      <c r="B752" s="61"/>
      <c r="C752" s="61"/>
    </row>
    <row r="753" spans="2:3" x14ac:dyDescent="0.25">
      <c r="B753" s="61"/>
      <c r="C753" s="61"/>
    </row>
    <row r="754" spans="2:3" x14ac:dyDescent="0.25">
      <c r="B754" s="61"/>
      <c r="C754" s="61"/>
    </row>
    <row r="755" spans="2:3" x14ac:dyDescent="0.25">
      <c r="B755" s="61"/>
      <c r="C755" s="61"/>
    </row>
    <row r="756" spans="2:3" x14ac:dyDescent="0.25">
      <c r="B756" s="61"/>
      <c r="C756" s="61"/>
    </row>
    <row r="757" spans="2:3" x14ac:dyDescent="0.25">
      <c r="B757" s="61"/>
      <c r="C757" s="61"/>
    </row>
    <row r="758" spans="2:3" x14ac:dyDescent="0.25">
      <c r="B758" s="61"/>
      <c r="C758" s="61"/>
    </row>
    <row r="759" spans="2:3" x14ac:dyDescent="0.25">
      <c r="B759" s="61"/>
      <c r="C759" s="61"/>
    </row>
    <row r="760" spans="2:3" x14ac:dyDescent="0.25">
      <c r="B760" s="61"/>
      <c r="C760" s="61"/>
    </row>
    <row r="761" spans="2:3" x14ac:dyDescent="0.25">
      <c r="B761" s="61"/>
      <c r="C761" s="61"/>
    </row>
    <row r="762" spans="2:3" x14ac:dyDescent="0.25">
      <c r="B762" s="61"/>
      <c r="C762" s="61"/>
    </row>
    <row r="763" spans="2:3" x14ac:dyDescent="0.25">
      <c r="B763" s="61"/>
      <c r="C763" s="61"/>
    </row>
    <row r="764" spans="2:3" x14ac:dyDescent="0.25">
      <c r="B764" s="61"/>
      <c r="C764" s="61"/>
    </row>
    <row r="765" spans="2:3" x14ac:dyDescent="0.25">
      <c r="B765" s="61"/>
      <c r="C765" s="61"/>
    </row>
    <row r="766" spans="2:3" x14ac:dyDescent="0.25">
      <c r="B766" s="61"/>
      <c r="C766" s="61"/>
    </row>
    <row r="767" spans="2:3" x14ac:dyDescent="0.25">
      <c r="B767" s="61"/>
      <c r="C767" s="61"/>
    </row>
    <row r="768" spans="2:3" x14ac:dyDescent="0.25">
      <c r="B768" s="61"/>
      <c r="C768" s="61"/>
    </row>
    <row r="769" spans="2:3" x14ac:dyDescent="0.25">
      <c r="B769" s="61"/>
      <c r="C769" s="61"/>
    </row>
    <row r="770" spans="2:3" x14ac:dyDescent="0.25">
      <c r="B770" s="61"/>
      <c r="C770" s="61"/>
    </row>
    <row r="771" spans="2:3" x14ac:dyDescent="0.25">
      <c r="B771" s="61"/>
      <c r="C771" s="61"/>
    </row>
    <row r="772" spans="2:3" x14ac:dyDescent="0.25">
      <c r="B772" s="61"/>
      <c r="C772" s="61"/>
    </row>
    <row r="773" spans="2:3" x14ac:dyDescent="0.25">
      <c r="B773" s="61"/>
      <c r="C773" s="61"/>
    </row>
    <row r="774" spans="2:3" x14ac:dyDescent="0.25">
      <c r="B774" s="61"/>
      <c r="C774" s="61"/>
    </row>
    <row r="775" spans="2:3" x14ac:dyDescent="0.25">
      <c r="B775" s="61"/>
      <c r="C775" s="61"/>
    </row>
    <row r="776" spans="2:3" x14ac:dyDescent="0.25">
      <c r="B776" s="61"/>
      <c r="C776" s="61"/>
    </row>
    <row r="777" spans="2:3" x14ac:dyDescent="0.25">
      <c r="B777" s="61"/>
      <c r="C777" s="61"/>
    </row>
    <row r="778" spans="2:3" x14ac:dyDescent="0.25">
      <c r="B778" s="61"/>
      <c r="C778" s="61"/>
    </row>
    <row r="779" spans="2:3" x14ac:dyDescent="0.25">
      <c r="B779" s="61"/>
      <c r="C779" s="61"/>
    </row>
    <row r="780" spans="2:3" x14ac:dyDescent="0.25">
      <c r="B780" s="61"/>
      <c r="C780" s="61"/>
    </row>
    <row r="781" spans="2:3" x14ac:dyDescent="0.25">
      <c r="B781" s="61"/>
      <c r="C781" s="61"/>
    </row>
    <row r="782" spans="2:3" x14ac:dyDescent="0.25">
      <c r="B782" s="61"/>
      <c r="C782" s="61"/>
    </row>
    <row r="783" spans="2:3" x14ac:dyDescent="0.25">
      <c r="B783" s="61"/>
      <c r="C783" s="61"/>
    </row>
    <row r="784" spans="2:3" x14ac:dyDescent="0.25">
      <c r="B784" s="61"/>
      <c r="C784" s="61"/>
    </row>
    <row r="785" spans="2:3" x14ac:dyDescent="0.25">
      <c r="B785" s="61"/>
      <c r="C785" s="61"/>
    </row>
    <row r="786" spans="2:3" x14ac:dyDescent="0.25">
      <c r="B786" s="61"/>
      <c r="C786" s="61"/>
    </row>
    <row r="787" spans="2:3" x14ac:dyDescent="0.25">
      <c r="B787" s="61"/>
      <c r="C787" s="61"/>
    </row>
    <row r="788" spans="2:3" x14ac:dyDescent="0.25">
      <c r="B788" s="61"/>
      <c r="C788" s="61"/>
    </row>
    <row r="789" spans="2:3" x14ac:dyDescent="0.25">
      <c r="B789" s="61"/>
      <c r="C789" s="61"/>
    </row>
    <row r="790" spans="2:3" x14ac:dyDescent="0.25">
      <c r="B790" s="61"/>
      <c r="C790" s="61"/>
    </row>
    <row r="791" spans="2:3" x14ac:dyDescent="0.25">
      <c r="B791" s="61"/>
      <c r="C791" s="61"/>
    </row>
    <row r="792" spans="2:3" x14ac:dyDescent="0.25">
      <c r="B792" s="61"/>
      <c r="C792" s="61"/>
    </row>
    <row r="793" spans="2:3" x14ac:dyDescent="0.25">
      <c r="B793" s="61"/>
      <c r="C793" s="61"/>
    </row>
    <row r="794" spans="2:3" x14ac:dyDescent="0.25">
      <c r="B794" s="61"/>
      <c r="C794" s="61"/>
    </row>
    <row r="795" spans="2:3" x14ac:dyDescent="0.25">
      <c r="B795" s="61"/>
      <c r="C795" s="61"/>
    </row>
    <row r="796" spans="2:3" x14ac:dyDescent="0.25">
      <c r="B796" s="61"/>
      <c r="C796" s="61"/>
    </row>
    <row r="797" spans="2:3" x14ac:dyDescent="0.25">
      <c r="B797" s="61"/>
      <c r="C797" s="61"/>
    </row>
    <row r="798" spans="2:3" x14ac:dyDescent="0.25">
      <c r="B798" s="61"/>
      <c r="C798" s="61"/>
    </row>
    <row r="799" spans="2:3" x14ac:dyDescent="0.25">
      <c r="B799" s="61"/>
      <c r="C799" s="61"/>
    </row>
    <row r="800" spans="2:3" x14ac:dyDescent="0.25">
      <c r="B800" s="61"/>
      <c r="C800" s="61"/>
    </row>
    <row r="801" spans="2:3" x14ac:dyDescent="0.25">
      <c r="B801" s="61"/>
      <c r="C801" s="61"/>
    </row>
    <row r="802" spans="2:3" x14ac:dyDescent="0.25">
      <c r="B802" s="61"/>
      <c r="C802" s="61"/>
    </row>
    <row r="803" spans="2:3" x14ac:dyDescent="0.25">
      <c r="B803" s="61"/>
      <c r="C803" s="61"/>
    </row>
    <row r="804" spans="2:3" x14ac:dyDescent="0.25">
      <c r="B804" s="61"/>
      <c r="C804" s="61"/>
    </row>
    <row r="805" spans="2:3" x14ac:dyDescent="0.25">
      <c r="B805" s="61"/>
      <c r="C805" s="61"/>
    </row>
    <row r="806" spans="2:3" x14ac:dyDescent="0.25">
      <c r="B806" s="61"/>
      <c r="C806" s="61"/>
    </row>
    <row r="807" spans="2:3" x14ac:dyDescent="0.25">
      <c r="B807" s="61"/>
      <c r="C807" s="61"/>
    </row>
    <row r="808" spans="2:3" x14ac:dyDescent="0.25">
      <c r="B808" s="61"/>
      <c r="C808" s="61"/>
    </row>
    <row r="809" spans="2:3" x14ac:dyDescent="0.25">
      <c r="B809" s="61"/>
      <c r="C809" s="61"/>
    </row>
    <row r="810" spans="2:3" x14ac:dyDescent="0.25">
      <c r="B810" s="61"/>
      <c r="C810" s="61"/>
    </row>
    <row r="811" spans="2:3" x14ac:dyDescent="0.25">
      <c r="B811" s="61"/>
      <c r="C811" s="61"/>
    </row>
    <row r="812" spans="2:3" x14ac:dyDescent="0.25">
      <c r="B812" s="61"/>
      <c r="C812" s="61"/>
    </row>
    <row r="813" spans="2:3" x14ac:dyDescent="0.25">
      <c r="B813" s="61"/>
      <c r="C813" s="61"/>
    </row>
    <row r="814" spans="2:3" x14ac:dyDescent="0.25">
      <c r="B814" s="61"/>
      <c r="C814" s="61"/>
    </row>
    <row r="815" spans="2:3" x14ac:dyDescent="0.25">
      <c r="B815" s="61"/>
      <c r="C815" s="61"/>
    </row>
    <row r="816" spans="2:3" x14ac:dyDescent="0.25">
      <c r="B816" s="61"/>
      <c r="C816" s="61"/>
    </row>
    <row r="817" spans="2:3" x14ac:dyDescent="0.25">
      <c r="B817" s="61"/>
      <c r="C817" s="61"/>
    </row>
    <row r="818" spans="2:3" x14ac:dyDescent="0.25">
      <c r="B818" s="61"/>
      <c r="C818" s="61"/>
    </row>
    <row r="819" spans="2:3" x14ac:dyDescent="0.25">
      <c r="B819" s="61"/>
      <c r="C819" s="61"/>
    </row>
    <row r="820" spans="2:3" x14ac:dyDescent="0.25">
      <c r="B820" s="61"/>
      <c r="C820" s="61"/>
    </row>
    <row r="821" spans="2:3" x14ac:dyDescent="0.25">
      <c r="B821" s="61"/>
      <c r="C821" s="61"/>
    </row>
    <row r="822" spans="2:3" x14ac:dyDescent="0.25">
      <c r="B822" s="61"/>
      <c r="C822" s="61"/>
    </row>
    <row r="823" spans="2:3" x14ac:dyDescent="0.25">
      <c r="B823" s="61"/>
      <c r="C823" s="61"/>
    </row>
    <row r="824" spans="2:3" x14ac:dyDescent="0.25">
      <c r="B824" s="61"/>
      <c r="C824" s="61"/>
    </row>
    <row r="825" spans="2:3" x14ac:dyDescent="0.25">
      <c r="B825" s="61"/>
      <c r="C825" s="61"/>
    </row>
    <row r="826" spans="2:3" x14ac:dyDescent="0.25">
      <c r="B826" s="61"/>
      <c r="C826" s="61"/>
    </row>
    <row r="827" spans="2:3" x14ac:dyDescent="0.25">
      <c r="B827" s="61"/>
      <c r="C827" s="61"/>
    </row>
    <row r="828" spans="2:3" x14ac:dyDescent="0.25">
      <c r="B828" s="61"/>
      <c r="C828" s="61"/>
    </row>
    <row r="829" spans="2:3" x14ac:dyDescent="0.25">
      <c r="B829" s="61"/>
      <c r="C829" s="61"/>
    </row>
    <row r="830" spans="2:3" x14ac:dyDescent="0.25">
      <c r="B830" s="61"/>
      <c r="C830" s="61"/>
    </row>
    <row r="831" spans="2:3" x14ac:dyDescent="0.25">
      <c r="B831" s="61"/>
      <c r="C831" s="61"/>
    </row>
    <row r="832" spans="2:3" x14ac:dyDescent="0.25">
      <c r="B832" s="61"/>
      <c r="C832" s="61"/>
    </row>
    <row r="833" spans="2:3" x14ac:dyDescent="0.25">
      <c r="B833" s="61"/>
      <c r="C833" s="61"/>
    </row>
    <row r="834" spans="2:3" x14ac:dyDescent="0.25">
      <c r="B834" s="61"/>
      <c r="C834" s="61"/>
    </row>
    <row r="835" spans="2:3" x14ac:dyDescent="0.25">
      <c r="B835" s="61"/>
      <c r="C835" s="61"/>
    </row>
    <row r="836" spans="2:3" x14ac:dyDescent="0.25">
      <c r="B836" s="61"/>
      <c r="C836" s="61"/>
    </row>
    <row r="837" spans="2:3" x14ac:dyDescent="0.25">
      <c r="B837" s="61"/>
      <c r="C837" s="61"/>
    </row>
    <row r="838" spans="2:3" x14ac:dyDescent="0.25">
      <c r="B838" s="61"/>
      <c r="C838" s="61"/>
    </row>
    <row r="839" spans="2:3" x14ac:dyDescent="0.25">
      <c r="B839" s="61"/>
      <c r="C839" s="61"/>
    </row>
    <row r="840" spans="2:3" x14ac:dyDescent="0.25">
      <c r="B840" s="61"/>
      <c r="C840" s="61"/>
    </row>
    <row r="841" spans="2:3" x14ac:dyDescent="0.25">
      <c r="B841" s="61"/>
      <c r="C841" s="61"/>
    </row>
    <row r="842" spans="2:3" x14ac:dyDescent="0.25">
      <c r="B842" s="61"/>
      <c r="C842" s="61"/>
    </row>
    <row r="843" spans="2:3" x14ac:dyDescent="0.25">
      <c r="B843" s="61"/>
      <c r="C843" s="61"/>
    </row>
    <row r="844" spans="2:3" x14ac:dyDescent="0.25">
      <c r="B844" s="61"/>
      <c r="C844" s="61"/>
    </row>
    <row r="845" spans="2:3" x14ac:dyDescent="0.25">
      <c r="B845" s="61"/>
      <c r="C845" s="61"/>
    </row>
    <row r="846" spans="2:3" x14ac:dyDescent="0.25">
      <c r="B846" s="61"/>
      <c r="C846" s="61"/>
    </row>
    <row r="847" spans="2:3" x14ac:dyDescent="0.25">
      <c r="B847" s="61"/>
      <c r="C847" s="61"/>
    </row>
    <row r="848" spans="2:3" x14ac:dyDescent="0.25">
      <c r="B848" s="61"/>
      <c r="C848" s="61"/>
    </row>
    <row r="849" spans="2:3" x14ac:dyDescent="0.25">
      <c r="B849" s="61"/>
      <c r="C849" s="61"/>
    </row>
    <row r="850" spans="2:3" x14ac:dyDescent="0.25">
      <c r="B850" s="61"/>
      <c r="C850" s="61"/>
    </row>
    <row r="851" spans="2:3" x14ac:dyDescent="0.25">
      <c r="B851" s="61"/>
      <c r="C851" s="61"/>
    </row>
    <row r="852" spans="2:3" x14ac:dyDescent="0.25">
      <c r="B852" s="61"/>
      <c r="C852" s="61"/>
    </row>
    <row r="853" spans="2:3" x14ac:dyDescent="0.25">
      <c r="B853" s="61"/>
      <c r="C853" s="61"/>
    </row>
    <row r="854" spans="2:3" x14ac:dyDescent="0.25">
      <c r="B854" s="61"/>
      <c r="C854" s="61"/>
    </row>
    <row r="855" spans="2:3" x14ac:dyDescent="0.25">
      <c r="B855" s="61"/>
      <c r="C855" s="61"/>
    </row>
    <row r="856" spans="2:3" x14ac:dyDescent="0.25">
      <c r="B856" s="61"/>
      <c r="C856" s="61"/>
    </row>
    <row r="857" spans="2:3" x14ac:dyDescent="0.25">
      <c r="B857" s="61"/>
      <c r="C857" s="61"/>
    </row>
    <row r="858" spans="2:3" x14ac:dyDescent="0.25">
      <c r="B858" s="61"/>
      <c r="C858" s="61"/>
    </row>
    <row r="859" spans="2:3" x14ac:dyDescent="0.25">
      <c r="B859" s="61"/>
      <c r="C859" s="61"/>
    </row>
    <row r="860" spans="2:3" x14ac:dyDescent="0.25">
      <c r="B860" s="61"/>
      <c r="C860" s="61"/>
    </row>
    <row r="861" spans="2:3" x14ac:dyDescent="0.25">
      <c r="B861" s="61"/>
      <c r="C861" s="61"/>
    </row>
    <row r="862" spans="2:3" x14ac:dyDescent="0.25">
      <c r="B862" s="61"/>
      <c r="C862" s="61"/>
    </row>
    <row r="863" spans="2:3" x14ac:dyDescent="0.25">
      <c r="B863" s="61"/>
      <c r="C863" s="61"/>
    </row>
    <row r="864" spans="2:3" x14ac:dyDescent="0.25">
      <c r="B864" s="61"/>
      <c r="C864" s="61"/>
    </row>
    <row r="865" spans="2:3" x14ac:dyDescent="0.25">
      <c r="B865" s="61"/>
      <c r="C865" s="61"/>
    </row>
    <row r="866" spans="2:3" x14ac:dyDescent="0.25">
      <c r="B866" s="61"/>
      <c r="C866" s="61"/>
    </row>
    <row r="867" spans="2:3" x14ac:dyDescent="0.25">
      <c r="B867" s="61"/>
      <c r="C867" s="61"/>
    </row>
    <row r="868" spans="2:3" x14ac:dyDescent="0.25">
      <c r="B868" s="61"/>
      <c r="C868" s="61"/>
    </row>
    <row r="869" spans="2:3" x14ac:dyDescent="0.25">
      <c r="B869" s="61"/>
      <c r="C869" s="61"/>
    </row>
    <row r="870" spans="2:3" x14ac:dyDescent="0.25">
      <c r="B870" s="61"/>
      <c r="C870" s="61"/>
    </row>
    <row r="871" spans="2:3" x14ac:dyDescent="0.25">
      <c r="B871" s="61"/>
      <c r="C871" s="61"/>
    </row>
    <row r="872" spans="2:3" x14ac:dyDescent="0.25">
      <c r="B872" s="61"/>
      <c r="C872" s="61"/>
    </row>
    <row r="873" spans="2:3" x14ac:dyDescent="0.25">
      <c r="B873" s="61"/>
      <c r="C873" s="61"/>
    </row>
    <row r="874" spans="2:3" x14ac:dyDescent="0.25">
      <c r="B874" s="61"/>
      <c r="C874" s="61"/>
    </row>
    <row r="875" spans="2:3" x14ac:dyDescent="0.25">
      <c r="B875" s="61"/>
      <c r="C875" s="61"/>
    </row>
    <row r="876" spans="2:3" x14ac:dyDescent="0.25">
      <c r="B876" s="61"/>
      <c r="C876" s="61"/>
    </row>
    <row r="877" spans="2:3" x14ac:dyDescent="0.25">
      <c r="B877" s="61"/>
      <c r="C877" s="61"/>
    </row>
    <row r="878" spans="2:3" x14ac:dyDescent="0.25">
      <c r="B878" s="61"/>
      <c r="C878" s="61"/>
    </row>
    <row r="879" spans="2:3" x14ac:dyDescent="0.25">
      <c r="B879" s="61"/>
      <c r="C879" s="61"/>
    </row>
    <row r="880" spans="2:3" x14ac:dyDescent="0.25">
      <c r="B880" s="61"/>
      <c r="C880" s="61"/>
    </row>
    <row r="881" spans="2:3" x14ac:dyDescent="0.25">
      <c r="B881" s="61"/>
      <c r="C881" s="61"/>
    </row>
    <row r="882" spans="2:3" x14ac:dyDescent="0.25">
      <c r="B882" s="61"/>
      <c r="C882" s="61"/>
    </row>
    <row r="883" spans="2:3" x14ac:dyDescent="0.25">
      <c r="B883" s="61"/>
      <c r="C883" s="61"/>
    </row>
    <row r="884" spans="2:3" x14ac:dyDescent="0.25">
      <c r="B884" s="61"/>
      <c r="C884" s="61"/>
    </row>
    <row r="885" spans="2:3" x14ac:dyDescent="0.25">
      <c r="B885" s="61"/>
      <c r="C885" s="61"/>
    </row>
    <row r="886" spans="2:3" x14ac:dyDescent="0.25">
      <c r="B886" s="61"/>
      <c r="C886" s="61"/>
    </row>
    <row r="887" spans="2:3" x14ac:dyDescent="0.25">
      <c r="B887" s="61"/>
      <c r="C887" s="61"/>
    </row>
    <row r="888" spans="2:3" x14ac:dyDescent="0.25">
      <c r="B888" s="61"/>
      <c r="C888" s="61"/>
    </row>
    <row r="889" spans="2:3" x14ac:dyDescent="0.25">
      <c r="B889" s="61"/>
      <c r="C889" s="61"/>
    </row>
    <row r="890" spans="2:3" x14ac:dyDescent="0.25">
      <c r="B890" s="61"/>
      <c r="C890" s="61"/>
    </row>
    <row r="891" spans="2:3" x14ac:dyDescent="0.25">
      <c r="B891" s="61"/>
      <c r="C891" s="61"/>
    </row>
    <row r="892" spans="2:3" x14ac:dyDescent="0.25">
      <c r="B892" s="61"/>
      <c r="C892" s="61"/>
    </row>
    <row r="893" spans="2:3" x14ac:dyDescent="0.25">
      <c r="B893" s="61"/>
      <c r="C893" s="61"/>
    </row>
    <row r="894" spans="2:3" x14ac:dyDescent="0.25">
      <c r="B894" s="61"/>
      <c r="C894" s="61"/>
    </row>
    <row r="895" spans="2:3" x14ac:dyDescent="0.25">
      <c r="B895" s="61"/>
      <c r="C895" s="61"/>
    </row>
    <row r="896" spans="2:3" x14ac:dyDescent="0.25">
      <c r="B896" s="61"/>
      <c r="C896" s="61"/>
    </row>
    <row r="897" spans="2:3" x14ac:dyDescent="0.25">
      <c r="B897" s="61"/>
      <c r="C897" s="61"/>
    </row>
    <row r="898" spans="2:3" x14ac:dyDescent="0.25">
      <c r="B898" s="61"/>
      <c r="C898" s="61"/>
    </row>
    <row r="899" spans="2:3" x14ac:dyDescent="0.25">
      <c r="B899" s="61"/>
      <c r="C899" s="61"/>
    </row>
    <row r="900" spans="2:3" x14ac:dyDescent="0.25">
      <c r="B900" s="61"/>
      <c r="C900" s="61"/>
    </row>
    <row r="901" spans="2:3" x14ac:dyDescent="0.25">
      <c r="B901" s="61"/>
      <c r="C901" s="61"/>
    </row>
    <row r="902" spans="2:3" x14ac:dyDescent="0.25">
      <c r="B902" s="61"/>
      <c r="C902" s="61"/>
    </row>
    <row r="903" spans="2:3" x14ac:dyDescent="0.25">
      <c r="B903" s="61"/>
      <c r="C903" s="61"/>
    </row>
    <row r="904" spans="2:3" x14ac:dyDescent="0.25">
      <c r="B904" s="61"/>
      <c r="C904" s="61"/>
    </row>
    <row r="905" spans="2:3" x14ac:dyDescent="0.25">
      <c r="B905" s="61"/>
      <c r="C905" s="61"/>
    </row>
    <row r="906" spans="2:3" x14ac:dyDescent="0.25">
      <c r="B906" s="61"/>
      <c r="C906" s="61"/>
    </row>
    <row r="907" spans="2:3" x14ac:dyDescent="0.25">
      <c r="B907" s="61"/>
      <c r="C907" s="61"/>
    </row>
    <row r="908" spans="2:3" x14ac:dyDescent="0.25">
      <c r="B908" s="61"/>
      <c r="C908" s="61"/>
    </row>
    <row r="909" spans="2:3" x14ac:dyDescent="0.25">
      <c r="B909" s="61"/>
      <c r="C909" s="61"/>
    </row>
    <row r="910" spans="2:3" x14ac:dyDescent="0.25">
      <c r="B910" s="61"/>
      <c r="C910" s="61"/>
    </row>
    <row r="911" spans="2:3" x14ac:dyDescent="0.25">
      <c r="B911" s="61"/>
      <c r="C911" s="61"/>
    </row>
    <row r="912" spans="2:3" x14ac:dyDescent="0.25">
      <c r="B912" s="61"/>
      <c r="C912" s="61"/>
    </row>
    <row r="913" spans="2:3" x14ac:dyDescent="0.25">
      <c r="B913" s="61"/>
      <c r="C913" s="61"/>
    </row>
    <row r="914" spans="2:3" x14ac:dyDescent="0.25">
      <c r="B914" s="61"/>
      <c r="C914" s="61"/>
    </row>
    <row r="915" spans="2:3" x14ac:dyDescent="0.25">
      <c r="B915" s="61"/>
      <c r="C915" s="61"/>
    </row>
    <row r="916" spans="2:3" x14ac:dyDescent="0.25">
      <c r="B916" s="61"/>
      <c r="C916" s="61"/>
    </row>
    <row r="917" spans="2:3" x14ac:dyDescent="0.25">
      <c r="B917" s="61"/>
      <c r="C917" s="61"/>
    </row>
    <row r="918" spans="2:3" x14ac:dyDescent="0.25">
      <c r="B918" s="61"/>
      <c r="C918" s="61"/>
    </row>
    <row r="919" spans="2:3" x14ac:dyDescent="0.25">
      <c r="B919" s="61"/>
      <c r="C919" s="61"/>
    </row>
    <row r="920" spans="2:3" x14ac:dyDescent="0.25">
      <c r="B920" s="61"/>
      <c r="C920" s="61"/>
    </row>
    <row r="921" spans="2:3" x14ac:dyDescent="0.25">
      <c r="B921" s="61"/>
      <c r="C921" s="61"/>
    </row>
    <row r="922" spans="2:3" x14ac:dyDescent="0.25">
      <c r="B922" s="61"/>
      <c r="C922" s="61"/>
    </row>
    <row r="923" spans="2:3" x14ac:dyDescent="0.25">
      <c r="B923" s="61"/>
      <c r="C923" s="61"/>
    </row>
    <row r="924" spans="2:3" x14ac:dyDescent="0.25">
      <c r="B924" s="61"/>
      <c r="C924" s="61"/>
    </row>
    <row r="925" spans="2:3" x14ac:dyDescent="0.25">
      <c r="B925" s="61"/>
      <c r="C925" s="61"/>
    </row>
    <row r="926" spans="2:3" x14ac:dyDescent="0.25">
      <c r="B926" s="61"/>
      <c r="C926" s="61"/>
    </row>
    <row r="927" spans="2:3" x14ac:dyDescent="0.25">
      <c r="B927" s="61"/>
      <c r="C927" s="61"/>
    </row>
    <row r="928" spans="2:3" x14ac:dyDescent="0.25">
      <c r="B928" s="61"/>
      <c r="C928" s="61"/>
    </row>
    <row r="929" spans="2:3" x14ac:dyDescent="0.25">
      <c r="B929" s="61"/>
      <c r="C929" s="61"/>
    </row>
    <row r="930" spans="2:3" x14ac:dyDescent="0.25">
      <c r="B930" s="61"/>
      <c r="C930" s="61"/>
    </row>
    <row r="931" spans="2:3" x14ac:dyDescent="0.25">
      <c r="B931" s="61"/>
      <c r="C931" s="61"/>
    </row>
    <row r="932" spans="2:3" x14ac:dyDescent="0.25">
      <c r="B932" s="61"/>
      <c r="C932" s="61"/>
    </row>
    <row r="933" spans="2:3" x14ac:dyDescent="0.25">
      <c r="B933" s="61"/>
      <c r="C933" s="61"/>
    </row>
    <row r="934" spans="2:3" x14ac:dyDescent="0.25">
      <c r="B934" s="61"/>
      <c r="C934" s="61"/>
    </row>
    <row r="935" spans="2:3" x14ac:dyDescent="0.25">
      <c r="B935" s="61"/>
      <c r="C935" s="61"/>
    </row>
    <row r="936" spans="2:3" x14ac:dyDescent="0.25">
      <c r="B936" s="61"/>
      <c r="C936" s="61"/>
    </row>
    <row r="937" spans="2:3" x14ac:dyDescent="0.25">
      <c r="B937" s="61"/>
      <c r="C937" s="61"/>
    </row>
    <row r="938" spans="2:3" x14ac:dyDescent="0.25">
      <c r="B938" s="61"/>
      <c r="C938" s="61"/>
    </row>
    <row r="939" spans="2:3" x14ac:dyDescent="0.25">
      <c r="B939" s="61"/>
      <c r="C939" s="61"/>
    </row>
    <row r="940" spans="2:3" x14ac:dyDescent="0.25">
      <c r="B940" s="61"/>
      <c r="C940" s="61"/>
    </row>
    <row r="941" spans="2:3" x14ac:dyDescent="0.25">
      <c r="B941" s="61"/>
      <c r="C941" s="61"/>
    </row>
    <row r="942" spans="2:3" x14ac:dyDescent="0.25">
      <c r="B942" s="61"/>
      <c r="C942" s="61"/>
    </row>
    <row r="943" spans="2:3" x14ac:dyDescent="0.25">
      <c r="B943" s="61"/>
      <c r="C943" s="61"/>
    </row>
    <row r="944" spans="2:3" x14ac:dyDescent="0.25">
      <c r="B944" s="61"/>
      <c r="C944" s="61"/>
    </row>
    <row r="945" spans="2:3" x14ac:dyDescent="0.25">
      <c r="B945" s="61"/>
      <c r="C945" s="61"/>
    </row>
    <row r="946" spans="2:3" x14ac:dyDescent="0.25">
      <c r="B946" s="61"/>
      <c r="C946" s="61"/>
    </row>
    <row r="947" spans="2:3" x14ac:dyDescent="0.25">
      <c r="B947" s="61"/>
      <c r="C947" s="61"/>
    </row>
    <row r="948" spans="2:3" x14ac:dyDescent="0.25">
      <c r="B948" s="61"/>
      <c r="C948" s="61"/>
    </row>
    <row r="949" spans="2:3" x14ac:dyDescent="0.25">
      <c r="B949" s="61"/>
      <c r="C949" s="61"/>
    </row>
    <row r="950" spans="2:3" x14ac:dyDescent="0.25">
      <c r="B950" s="61"/>
      <c r="C950" s="61"/>
    </row>
    <row r="951" spans="2:3" x14ac:dyDescent="0.25">
      <c r="B951" s="61"/>
      <c r="C951" s="61"/>
    </row>
    <row r="952" spans="2:3" x14ac:dyDescent="0.25">
      <c r="B952" s="61"/>
      <c r="C952" s="61"/>
    </row>
    <row r="953" spans="2:3" x14ac:dyDescent="0.25">
      <c r="B953" s="61"/>
      <c r="C953" s="61"/>
    </row>
    <row r="954" spans="2:3" x14ac:dyDescent="0.25">
      <c r="B954" s="61"/>
      <c r="C954" s="61"/>
    </row>
    <row r="955" spans="2:3" x14ac:dyDescent="0.25">
      <c r="B955" s="61"/>
      <c r="C955" s="61"/>
    </row>
    <row r="956" spans="2:3" x14ac:dyDescent="0.25">
      <c r="B956" s="61"/>
      <c r="C956" s="61"/>
    </row>
    <row r="957" spans="2:3" x14ac:dyDescent="0.25">
      <c r="B957" s="61"/>
      <c r="C957" s="61"/>
    </row>
    <row r="958" spans="2:3" x14ac:dyDescent="0.25">
      <c r="B958" s="61"/>
      <c r="C958" s="61"/>
    </row>
    <row r="959" spans="2:3" x14ac:dyDescent="0.25">
      <c r="B959" s="61"/>
      <c r="C959" s="61"/>
    </row>
    <row r="960" spans="2:3" x14ac:dyDescent="0.25">
      <c r="B960" s="61"/>
      <c r="C960" s="61"/>
    </row>
    <row r="961" spans="2:3" x14ac:dyDescent="0.25">
      <c r="B961" s="61"/>
      <c r="C961" s="61"/>
    </row>
    <row r="962" spans="2:3" x14ac:dyDescent="0.25">
      <c r="B962" s="61"/>
      <c r="C962" s="61"/>
    </row>
    <row r="963" spans="2:3" x14ac:dyDescent="0.25">
      <c r="B963" s="61"/>
      <c r="C963" s="61"/>
    </row>
    <row r="964" spans="2:3" x14ac:dyDescent="0.25">
      <c r="B964" s="61"/>
      <c r="C964" s="61"/>
    </row>
    <row r="965" spans="2:3" x14ac:dyDescent="0.25">
      <c r="B965" s="61"/>
      <c r="C965" s="61"/>
    </row>
    <row r="966" spans="2:3" x14ac:dyDescent="0.25">
      <c r="B966" s="61"/>
      <c r="C966" s="61"/>
    </row>
    <row r="967" spans="2:3" x14ac:dyDescent="0.25">
      <c r="B967" s="61"/>
      <c r="C967" s="61"/>
    </row>
    <row r="968" spans="2:3" x14ac:dyDescent="0.25">
      <c r="B968" s="61"/>
      <c r="C968" s="61"/>
    </row>
    <row r="969" spans="2:3" x14ac:dyDescent="0.25">
      <c r="B969" s="61"/>
      <c r="C969" s="61"/>
    </row>
    <row r="970" spans="2:3" x14ac:dyDescent="0.25">
      <c r="B970" s="61"/>
      <c r="C970" s="61"/>
    </row>
    <row r="971" spans="2:3" x14ac:dyDescent="0.25">
      <c r="B971" s="61"/>
      <c r="C971" s="61"/>
    </row>
    <row r="972" spans="2:3" x14ac:dyDescent="0.25">
      <c r="B972" s="61"/>
      <c r="C972" s="61"/>
    </row>
    <row r="973" spans="2:3" x14ac:dyDescent="0.25">
      <c r="B973" s="61"/>
      <c r="C973" s="61"/>
    </row>
    <row r="974" spans="2:3" x14ac:dyDescent="0.25">
      <c r="B974" s="61"/>
      <c r="C974" s="61"/>
    </row>
    <row r="975" spans="2:3" x14ac:dyDescent="0.25">
      <c r="B975" s="61"/>
      <c r="C975" s="61"/>
    </row>
    <row r="976" spans="2:3" x14ac:dyDescent="0.25">
      <c r="B976" s="61"/>
      <c r="C976" s="61"/>
    </row>
    <row r="977" spans="2:3" x14ac:dyDescent="0.25">
      <c r="B977" s="61"/>
      <c r="C977" s="61"/>
    </row>
    <row r="978" spans="2:3" x14ac:dyDescent="0.25">
      <c r="B978" s="61"/>
      <c r="C978" s="61"/>
    </row>
    <row r="979" spans="2:3" x14ac:dyDescent="0.25">
      <c r="B979" s="61"/>
      <c r="C979" s="61"/>
    </row>
    <row r="980" spans="2:3" x14ac:dyDescent="0.25">
      <c r="B980" s="61"/>
      <c r="C980" s="61"/>
    </row>
    <row r="981" spans="2:3" x14ac:dyDescent="0.25">
      <c r="B981" s="61"/>
      <c r="C981" s="61"/>
    </row>
    <row r="982" spans="2:3" x14ac:dyDescent="0.25">
      <c r="B982" s="61"/>
      <c r="C982" s="61"/>
    </row>
    <row r="983" spans="2:3" x14ac:dyDescent="0.25">
      <c r="B983" s="61"/>
      <c r="C983" s="61"/>
    </row>
    <row r="984" spans="2:3" x14ac:dyDescent="0.25">
      <c r="B984" s="61"/>
      <c r="C984" s="61"/>
    </row>
    <row r="985" spans="2:3" x14ac:dyDescent="0.25">
      <c r="B985" s="61"/>
      <c r="C985" s="61"/>
    </row>
    <row r="986" spans="2:3" x14ac:dyDescent="0.25">
      <c r="B986" s="61"/>
      <c r="C986" s="61"/>
    </row>
    <row r="987" spans="2:3" x14ac:dyDescent="0.25">
      <c r="B987" s="61"/>
      <c r="C987" s="61"/>
    </row>
    <row r="988" spans="2:3" x14ac:dyDescent="0.25">
      <c r="B988" s="61"/>
      <c r="C988" s="61"/>
    </row>
    <row r="989" spans="2:3" x14ac:dyDescent="0.25">
      <c r="B989" s="61"/>
      <c r="C989" s="61"/>
    </row>
    <row r="990" spans="2:3" x14ac:dyDescent="0.25">
      <c r="B990" s="61"/>
      <c r="C990" s="61"/>
    </row>
    <row r="991" spans="2:3" x14ac:dyDescent="0.25">
      <c r="B991" s="61"/>
      <c r="C991" s="61"/>
    </row>
    <row r="992" spans="2:3" x14ac:dyDescent="0.25">
      <c r="B992" s="61"/>
      <c r="C992" s="61"/>
    </row>
    <row r="993" spans="2:3" x14ac:dyDescent="0.25">
      <c r="B993" s="61"/>
      <c r="C993" s="61"/>
    </row>
    <row r="994" spans="2:3" x14ac:dyDescent="0.25">
      <c r="B994" s="61"/>
      <c r="C994" s="61"/>
    </row>
    <row r="995" spans="2:3" x14ac:dyDescent="0.25">
      <c r="B995" s="61"/>
      <c r="C995" s="61"/>
    </row>
    <row r="996" spans="2:3" x14ac:dyDescent="0.25">
      <c r="B996" s="61"/>
      <c r="C996" s="61"/>
    </row>
    <row r="997" spans="2:3" x14ac:dyDescent="0.25">
      <c r="B997" s="61"/>
      <c r="C997" s="61"/>
    </row>
    <row r="998" spans="2:3" x14ac:dyDescent="0.25">
      <c r="B998" s="61"/>
      <c r="C998" s="61"/>
    </row>
    <row r="999" spans="2:3" x14ac:dyDescent="0.25">
      <c r="B999" s="61"/>
      <c r="C999" s="61"/>
    </row>
    <row r="1000" spans="2:3" x14ac:dyDescent="0.25">
      <c r="B1000" s="61"/>
      <c r="C1000" s="61"/>
    </row>
    <row r="1001" spans="2:3" x14ac:dyDescent="0.25">
      <c r="B1001" s="61"/>
      <c r="C1001" s="61"/>
    </row>
    <row r="1002" spans="2:3" x14ac:dyDescent="0.25">
      <c r="B1002" s="61"/>
      <c r="C1002" s="61"/>
    </row>
    <row r="1003" spans="2:3" x14ac:dyDescent="0.25">
      <c r="B1003" s="61"/>
      <c r="C1003" s="61"/>
    </row>
    <row r="1004" spans="2:3" x14ac:dyDescent="0.25">
      <c r="B1004" s="61"/>
      <c r="C1004" s="61"/>
    </row>
    <row r="1005" spans="2:3" x14ac:dyDescent="0.25">
      <c r="B1005" s="61"/>
      <c r="C1005" s="61"/>
    </row>
    <row r="1006" spans="2:3" x14ac:dyDescent="0.25">
      <c r="B1006" s="61"/>
      <c r="C1006" s="61"/>
    </row>
    <row r="1007" spans="2:3" x14ac:dyDescent="0.25">
      <c r="B1007" s="61"/>
      <c r="C1007" s="61"/>
    </row>
    <row r="1008" spans="2:3" x14ac:dyDescent="0.25">
      <c r="B1008" s="61"/>
      <c r="C1008" s="61"/>
    </row>
    <row r="1009" spans="2:3" x14ac:dyDescent="0.25">
      <c r="B1009" s="61"/>
      <c r="C1009" s="61"/>
    </row>
    <row r="1010" spans="2:3" x14ac:dyDescent="0.25">
      <c r="B1010" s="61"/>
      <c r="C1010" s="61"/>
    </row>
    <row r="1011" spans="2:3" x14ac:dyDescent="0.25">
      <c r="B1011" s="61"/>
      <c r="C1011" s="61"/>
    </row>
    <row r="1012" spans="2:3" x14ac:dyDescent="0.25">
      <c r="B1012" s="61"/>
      <c r="C1012" s="61"/>
    </row>
    <row r="1013" spans="2:3" x14ac:dyDescent="0.25">
      <c r="B1013" s="61"/>
      <c r="C1013" s="61"/>
    </row>
    <row r="1014" spans="2:3" x14ac:dyDescent="0.25">
      <c r="B1014" s="61"/>
      <c r="C1014" s="61"/>
    </row>
    <row r="1015" spans="2:3" x14ac:dyDescent="0.25">
      <c r="B1015" s="61"/>
      <c r="C1015" s="61"/>
    </row>
    <row r="1016" spans="2:3" x14ac:dyDescent="0.25">
      <c r="B1016" s="61"/>
      <c r="C1016" s="61"/>
    </row>
    <row r="1017" spans="2:3" x14ac:dyDescent="0.25">
      <c r="B1017" s="61"/>
      <c r="C1017" s="61"/>
    </row>
    <row r="1018" spans="2:3" x14ac:dyDescent="0.25">
      <c r="B1018" s="61"/>
      <c r="C1018" s="61"/>
    </row>
    <row r="1019" spans="2:3" x14ac:dyDescent="0.25">
      <c r="B1019" s="61"/>
      <c r="C1019" s="61"/>
    </row>
    <row r="1020" spans="2:3" x14ac:dyDescent="0.25">
      <c r="B1020" s="61"/>
      <c r="C1020" s="61"/>
    </row>
    <row r="1021" spans="2:3" x14ac:dyDescent="0.25">
      <c r="B1021" s="61"/>
      <c r="C1021" s="61"/>
    </row>
    <row r="1022" spans="2:3" x14ac:dyDescent="0.25">
      <c r="B1022" s="61"/>
      <c r="C1022" s="61"/>
    </row>
    <row r="1023" spans="2:3" x14ac:dyDescent="0.25">
      <c r="B1023" s="61"/>
      <c r="C1023" s="61"/>
    </row>
    <row r="1024" spans="2:3" x14ac:dyDescent="0.25">
      <c r="B1024" s="61"/>
      <c r="C1024" s="61"/>
    </row>
    <row r="1025" spans="2:3" x14ac:dyDescent="0.25">
      <c r="B1025" s="61"/>
      <c r="C1025" s="61"/>
    </row>
    <row r="1026" spans="2:3" x14ac:dyDescent="0.25">
      <c r="B1026" s="61"/>
      <c r="C1026" s="61"/>
    </row>
    <row r="1027" spans="2:3" x14ac:dyDescent="0.25">
      <c r="B1027" s="61"/>
      <c r="C1027" s="61"/>
    </row>
    <row r="1028" spans="2:3" x14ac:dyDescent="0.25">
      <c r="B1028" s="61"/>
      <c r="C1028" s="61"/>
    </row>
    <row r="1029" spans="2:3" x14ac:dyDescent="0.25">
      <c r="B1029" s="61"/>
      <c r="C1029" s="61"/>
    </row>
    <row r="1030" spans="2:3" x14ac:dyDescent="0.25">
      <c r="B1030" s="61"/>
      <c r="C1030" s="61"/>
    </row>
    <row r="1031" spans="2:3" x14ac:dyDescent="0.25">
      <c r="B1031" s="61"/>
      <c r="C1031" s="61"/>
    </row>
    <row r="1032" spans="2:3" x14ac:dyDescent="0.25">
      <c r="B1032" s="61"/>
      <c r="C1032" s="61"/>
    </row>
    <row r="1033" spans="2:3" x14ac:dyDescent="0.25">
      <c r="B1033" s="61"/>
      <c r="C1033" s="61"/>
    </row>
    <row r="1034" spans="2:3" x14ac:dyDescent="0.25">
      <c r="B1034" s="61"/>
      <c r="C1034" s="61"/>
    </row>
    <row r="1035" spans="2:3" x14ac:dyDescent="0.25">
      <c r="B1035" s="61"/>
      <c r="C1035" s="61"/>
    </row>
  </sheetData>
  <mergeCells count="7">
    <mergeCell ref="A46:C46"/>
    <mergeCell ref="A1:C1"/>
    <mergeCell ref="F1:H1"/>
    <mergeCell ref="A17:C17"/>
    <mergeCell ref="F17:H17"/>
    <mergeCell ref="A32:C32"/>
    <mergeCell ref="F32:H32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H1039"/>
  <sheetViews>
    <sheetView topLeftCell="A88" workbookViewId="0">
      <selection activeCell="C35" sqref="C35"/>
    </sheetView>
  </sheetViews>
  <sheetFormatPr defaultRowHeight="15" x14ac:dyDescent="0.25"/>
  <cols>
    <col min="1" max="1" width="34.7109375" customWidth="1"/>
    <col min="2" max="2" width="12.28515625" style="69" customWidth="1"/>
    <col min="3" max="3" width="12.7109375" style="70" customWidth="1"/>
    <col min="6" max="6" width="30.85546875" customWidth="1"/>
    <col min="7" max="7" width="13" customWidth="1"/>
    <col min="8" max="8" width="16.5703125" customWidth="1"/>
  </cols>
  <sheetData>
    <row r="1" spans="1:8" x14ac:dyDescent="0.25">
      <c r="A1" s="173" t="s">
        <v>214</v>
      </c>
      <c r="B1" s="174"/>
      <c r="C1" s="174"/>
      <c r="F1" s="175" t="s">
        <v>267</v>
      </c>
      <c r="G1" s="176"/>
      <c r="H1" s="176"/>
    </row>
    <row r="2" spans="1:8" x14ac:dyDescent="0.25">
      <c r="G2" s="69"/>
      <c r="H2" s="70"/>
    </row>
    <row r="3" spans="1:8" x14ac:dyDescent="0.25">
      <c r="G3" s="69"/>
      <c r="H3" s="70"/>
    </row>
    <row r="4" spans="1:8" ht="24" customHeight="1" x14ac:dyDescent="0.25">
      <c r="A4" t="s">
        <v>107</v>
      </c>
      <c r="C4" s="71">
        <v>199432</v>
      </c>
      <c r="F4" t="s">
        <v>107</v>
      </c>
      <c r="G4" s="69"/>
      <c r="H4" s="71">
        <v>0</v>
      </c>
    </row>
    <row r="5" spans="1:8" x14ac:dyDescent="0.25">
      <c r="A5" s="49" t="s">
        <v>108</v>
      </c>
      <c r="F5" s="49" t="s">
        <v>108</v>
      </c>
      <c r="G5" s="69"/>
      <c r="H5" s="70"/>
    </row>
    <row r="6" spans="1:8" x14ac:dyDescent="0.25">
      <c r="A6" t="s">
        <v>109</v>
      </c>
      <c r="B6" s="69">
        <v>1970</v>
      </c>
      <c r="F6" t="s">
        <v>109</v>
      </c>
      <c r="G6" s="69">
        <v>0</v>
      </c>
      <c r="H6" s="70"/>
    </row>
    <row r="7" spans="1:8" x14ac:dyDescent="0.25">
      <c r="A7" t="s">
        <v>110</v>
      </c>
      <c r="B7" s="69">
        <v>1100</v>
      </c>
      <c r="F7" t="s">
        <v>110</v>
      </c>
      <c r="G7" s="69">
        <v>0</v>
      </c>
      <c r="H7" s="70"/>
    </row>
    <row r="8" spans="1:8" x14ac:dyDescent="0.25">
      <c r="A8" t="s">
        <v>111</v>
      </c>
      <c r="B8" s="69">
        <v>5000</v>
      </c>
      <c r="F8" t="s">
        <v>111</v>
      </c>
      <c r="G8" s="69">
        <v>0</v>
      </c>
      <c r="H8" s="70"/>
    </row>
    <row r="9" spans="1:8" ht="48" customHeight="1" x14ac:dyDescent="0.25">
      <c r="A9" s="72" t="s">
        <v>133</v>
      </c>
      <c r="B9" s="69">
        <v>130213</v>
      </c>
      <c r="C9" s="70">
        <f>-B6-B7-B8-B9</f>
        <v>-138283</v>
      </c>
      <c r="F9" s="72" t="s">
        <v>133</v>
      </c>
      <c r="G9" s="69">
        <v>0</v>
      </c>
      <c r="H9" s="70">
        <f>-G6-G7-G8-G9</f>
        <v>0</v>
      </c>
    </row>
    <row r="10" spans="1:8" x14ac:dyDescent="0.25">
      <c r="G10" s="69"/>
      <c r="H10" s="70"/>
    </row>
    <row r="11" spans="1:8" ht="15.75" thickBot="1" x14ac:dyDescent="0.3">
      <c r="C11" s="73">
        <f>C4+C9</f>
        <v>61149</v>
      </c>
      <c r="D11" s="75"/>
      <c r="G11" s="69"/>
      <c r="H11" s="73">
        <f>H4+H9</f>
        <v>0</v>
      </c>
    </row>
    <row r="12" spans="1:8" x14ac:dyDescent="0.25">
      <c r="G12" s="69"/>
      <c r="H12" s="70"/>
    </row>
    <row r="17" spans="1:8" x14ac:dyDescent="0.25">
      <c r="A17" s="159" t="s">
        <v>220</v>
      </c>
      <c r="B17" s="160"/>
      <c r="C17" s="160"/>
      <c r="F17" s="165" t="s">
        <v>219</v>
      </c>
      <c r="G17" s="166"/>
      <c r="H17" s="166"/>
    </row>
    <row r="18" spans="1:8" x14ac:dyDescent="0.25">
      <c r="G18" s="69"/>
      <c r="H18" s="70"/>
    </row>
    <row r="19" spans="1:8" x14ac:dyDescent="0.25">
      <c r="G19" s="69"/>
      <c r="H19" s="70"/>
    </row>
    <row r="20" spans="1:8" x14ac:dyDescent="0.25">
      <c r="A20" t="s">
        <v>107</v>
      </c>
      <c r="C20" s="71">
        <v>181000</v>
      </c>
      <c r="F20" t="s">
        <v>107</v>
      </c>
      <c r="G20" s="69"/>
      <c r="H20" s="71">
        <v>205252</v>
      </c>
    </row>
    <row r="21" spans="1:8" x14ac:dyDescent="0.25">
      <c r="A21" s="49" t="s">
        <v>108</v>
      </c>
      <c r="F21" s="49" t="s">
        <v>108</v>
      </c>
      <c r="G21" s="69"/>
      <c r="H21" s="70"/>
    </row>
    <row r="22" spans="1:8" x14ac:dyDescent="0.25">
      <c r="A22" t="s">
        <v>109</v>
      </c>
      <c r="B22" s="69">
        <v>2235</v>
      </c>
      <c r="F22" t="s">
        <v>109</v>
      </c>
      <c r="G22" s="69">
        <v>1970</v>
      </c>
      <c r="H22" s="70"/>
    </row>
    <row r="23" spans="1:8" x14ac:dyDescent="0.25">
      <c r="A23" t="s">
        <v>110</v>
      </c>
      <c r="B23" s="69">
        <v>1900</v>
      </c>
      <c r="F23" t="s">
        <v>110</v>
      </c>
      <c r="G23" s="69">
        <v>1100</v>
      </c>
      <c r="H23" s="70"/>
    </row>
    <row r="24" spans="1:8" x14ac:dyDescent="0.25">
      <c r="A24" t="s">
        <v>111</v>
      </c>
      <c r="B24" s="69">
        <v>4000</v>
      </c>
      <c r="F24" t="s">
        <v>111</v>
      </c>
      <c r="G24" s="69">
        <v>4000</v>
      </c>
      <c r="H24" s="70"/>
    </row>
    <row r="25" spans="1:8" ht="45" x14ac:dyDescent="0.25">
      <c r="A25" s="72" t="s">
        <v>133</v>
      </c>
      <c r="B25" s="69">
        <v>146463</v>
      </c>
      <c r="C25" s="70">
        <f>-B22-B23-B24-B25</f>
        <v>-154598</v>
      </c>
      <c r="F25" s="72" t="s">
        <v>133</v>
      </c>
      <c r="G25" s="69">
        <v>131676</v>
      </c>
      <c r="H25" s="70">
        <f>-G22-G23-G24-G25</f>
        <v>-138746</v>
      </c>
    </row>
    <row r="26" spans="1:8" x14ac:dyDescent="0.25">
      <c r="G26" s="69"/>
      <c r="H26" s="70"/>
    </row>
    <row r="27" spans="1:8" ht="15.75" thickBot="1" x14ac:dyDescent="0.3">
      <c r="C27" s="73">
        <f>C20+C25</f>
        <v>26402</v>
      </c>
      <c r="G27" s="69"/>
      <c r="H27" s="73">
        <f>H20+H25</f>
        <v>66506</v>
      </c>
    </row>
    <row r="32" spans="1:8" x14ac:dyDescent="0.25">
      <c r="A32" s="167" t="s">
        <v>218</v>
      </c>
      <c r="B32" s="168"/>
      <c r="C32" s="168"/>
      <c r="F32" s="169" t="s">
        <v>215</v>
      </c>
      <c r="G32" s="170"/>
      <c r="H32" s="170"/>
    </row>
    <row r="33" spans="1:8" x14ac:dyDescent="0.25">
      <c r="G33" s="69"/>
      <c r="H33" s="70"/>
    </row>
    <row r="34" spans="1:8" x14ac:dyDescent="0.25">
      <c r="C34" s="74"/>
      <c r="G34" s="69"/>
      <c r="H34" s="70"/>
    </row>
    <row r="35" spans="1:8" x14ac:dyDescent="0.25">
      <c r="A35" t="s">
        <v>107</v>
      </c>
      <c r="C35" s="71">
        <v>376162</v>
      </c>
      <c r="F35" t="s">
        <v>107</v>
      </c>
      <c r="G35" s="69"/>
      <c r="H35" s="71">
        <v>365284</v>
      </c>
    </row>
    <row r="36" spans="1:8" x14ac:dyDescent="0.25">
      <c r="A36" s="49" t="s">
        <v>108</v>
      </c>
      <c r="F36" s="49" t="s">
        <v>108</v>
      </c>
      <c r="G36" s="69"/>
      <c r="H36" s="70"/>
    </row>
    <row r="37" spans="1:8" x14ac:dyDescent="0.25">
      <c r="A37" t="s">
        <v>109</v>
      </c>
      <c r="B37" s="69">
        <v>5883</v>
      </c>
      <c r="F37" t="s">
        <v>109</v>
      </c>
      <c r="G37" s="69">
        <v>5883</v>
      </c>
      <c r="H37" s="70"/>
    </row>
    <row r="38" spans="1:8" x14ac:dyDescent="0.25">
      <c r="A38" t="s">
        <v>110</v>
      </c>
      <c r="B38" s="69">
        <v>1900</v>
      </c>
      <c r="F38" t="s">
        <v>110</v>
      </c>
      <c r="G38" s="69">
        <f>950+950</f>
        <v>1900</v>
      </c>
      <c r="H38" s="70"/>
    </row>
    <row r="39" spans="1:8" x14ac:dyDescent="0.25">
      <c r="A39" t="s">
        <v>111</v>
      </c>
      <c r="B39" s="69">
        <v>4000</v>
      </c>
      <c r="F39" t="s">
        <v>111</v>
      </c>
      <c r="G39" s="69">
        <v>4500</v>
      </c>
      <c r="H39" s="70"/>
    </row>
    <row r="40" spans="1:8" ht="45" x14ac:dyDescent="0.25">
      <c r="A40" s="72" t="s">
        <v>133</v>
      </c>
      <c r="B40" s="69">
        <v>276900</v>
      </c>
      <c r="C40" s="70">
        <f>-B37-B38-B39-B40</f>
        <v>-288683</v>
      </c>
      <c r="F40" s="72" t="s">
        <v>133</v>
      </c>
      <c r="G40" s="69">
        <v>285743</v>
      </c>
      <c r="H40" s="70">
        <f>-G37-G38-G39-G40</f>
        <v>-298026</v>
      </c>
    </row>
    <row r="41" spans="1:8" x14ac:dyDescent="0.25">
      <c r="G41" s="69"/>
      <c r="H41" s="70"/>
    </row>
    <row r="42" spans="1:8" ht="15.75" thickBot="1" x14ac:dyDescent="0.3">
      <c r="C42" s="73">
        <f>C35+C40</f>
        <v>87479</v>
      </c>
      <c r="G42" s="69"/>
      <c r="H42" s="73">
        <f>H35+H40</f>
        <v>67258</v>
      </c>
    </row>
    <row r="46" spans="1:8" x14ac:dyDescent="0.25">
      <c r="A46" s="171" t="s">
        <v>217</v>
      </c>
      <c r="B46" s="172"/>
      <c r="C46" s="172"/>
    </row>
    <row r="49" spans="1:4" x14ac:dyDescent="0.25">
      <c r="A49" t="s">
        <v>107</v>
      </c>
      <c r="C49" s="71">
        <v>271420</v>
      </c>
    </row>
    <row r="50" spans="1:4" x14ac:dyDescent="0.25">
      <c r="A50" s="49" t="s">
        <v>108</v>
      </c>
    </row>
    <row r="51" spans="1:4" x14ac:dyDescent="0.25">
      <c r="A51" t="s">
        <v>109</v>
      </c>
      <c r="B51" s="69">
        <v>13500</v>
      </c>
    </row>
    <row r="52" spans="1:4" x14ac:dyDescent="0.25">
      <c r="A52" t="s">
        <v>110</v>
      </c>
      <c r="B52" s="69">
        <v>2000</v>
      </c>
    </row>
    <row r="53" spans="1:4" x14ac:dyDescent="0.25">
      <c r="A53" t="s">
        <v>111</v>
      </c>
      <c r="B53" s="69">
        <v>6000</v>
      </c>
    </row>
    <row r="54" spans="1:4" x14ac:dyDescent="0.25">
      <c r="A54" t="s">
        <v>216</v>
      </c>
      <c r="B54" s="69">
        <v>30000</v>
      </c>
    </row>
    <row r="55" spans="1:4" ht="45" x14ac:dyDescent="0.25">
      <c r="A55" s="72" t="s">
        <v>133</v>
      </c>
      <c r="B55" s="69">
        <v>198700</v>
      </c>
      <c r="C55" s="70">
        <f>-B51-B52-B53-B54-B55</f>
        <v>-250200</v>
      </c>
    </row>
    <row r="57" spans="1:4" ht="15.75" thickBot="1" x14ac:dyDescent="0.3">
      <c r="C57" s="73">
        <f>C49+C55</f>
        <v>21220</v>
      </c>
      <c r="D57" s="75"/>
    </row>
    <row r="60" spans="1:4" x14ac:dyDescent="0.25">
      <c r="B60" s="61"/>
      <c r="C60" s="61"/>
    </row>
    <row r="61" spans="1:4" x14ac:dyDescent="0.25">
      <c r="B61" s="61"/>
      <c r="C61" s="61"/>
    </row>
    <row r="62" spans="1:4" x14ac:dyDescent="0.25">
      <c r="B62" s="61"/>
      <c r="C62" s="61"/>
    </row>
    <row r="63" spans="1:4" x14ac:dyDescent="0.25">
      <c r="A63" t="s">
        <v>221</v>
      </c>
      <c r="B63" s="61">
        <f>+C11+C27+H27+C42+H42+C57</f>
        <v>330014</v>
      </c>
      <c r="C63" s="61"/>
    </row>
    <row r="64" spans="1:4" x14ac:dyDescent="0.25">
      <c r="B64" s="61"/>
      <c r="C64" s="61"/>
    </row>
    <row r="65" spans="1:3" x14ac:dyDescent="0.25">
      <c r="A65" t="s">
        <v>222</v>
      </c>
      <c r="B65" s="61">
        <v>-14000</v>
      </c>
      <c r="C65" s="61"/>
    </row>
    <row r="66" spans="1:3" ht="30" x14ac:dyDescent="0.25">
      <c r="A66" s="72" t="s">
        <v>223</v>
      </c>
      <c r="B66" s="61">
        <v>-559.05999998416701</v>
      </c>
      <c r="C66" s="61"/>
    </row>
    <row r="67" spans="1:3" x14ac:dyDescent="0.25">
      <c r="A67" t="s">
        <v>224</v>
      </c>
      <c r="B67" s="61">
        <v>-1842.9399996315001</v>
      </c>
      <c r="C67" s="61"/>
    </row>
    <row r="68" spans="1:3" ht="30" x14ac:dyDescent="0.25">
      <c r="A68" s="72" t="s">
        <v>225</v>
      </c>
      <c r="B68" s="61">
        <v>-636.73999999249997</v>
      </c>
      <c r="C68" s="61"/>
    </row>
    <row r="69" spans="1:3" ht="30" x14ac:dyDescent="0.25">
      <c r="A69" s="72" t="s">
        <v>226</v>
      </c>
      <c r="B69" s="61">
        <v>-2033.559999825</v>
      </c>
      <c r="C69" s="61"/>
    </row>
    <row r="70" spans="1:3" ht="30" x14ac:dyDescent="0.25">
      <c r="A70" s="72" t="s">
        <v>226</v>
      </c>
      <c r="B70" s="61">
        <v>-2033.56</v>
      </c>
      <c r="C70" s="61"/>
    </row>
    <row r="71" spans="1:3" ht="30" x14ac:dyDescent="0.25">
      <c r="A71" s="72" t="s">
        <v>227</v>
      </c>
      <c r="B71" s="61">
        <v>-710</v>
      </c>
      <c r="C71" s="61"/>
    </row>
    <row r="72" spans="1:3" ht="29.25" x14ac:dyDescent="0.25">
      <c r="A72" s="80" t="s">
        <v>228</v>
      </c>
      <c r="B72" s="61">
        <v>-7190.9</v>
      </c>
      <c r="C72" s="61"/>
    </row>
    <row r="73" spans="1:3" ht="29.25" x14ac:dyDescent="0.25">
      <c r="A73" s="80" t="s">
        <v>229</v>
      </c>
      <c r="B73" s="61">
        <v>-17276.18</v>
      </c>
      <c r="C73" s="61"/>
    </row>
    <row r="74" spans="1:3" x14ac:dyDescent="0.25">
      <c r="A74" s="82" t="s">
        <v>230</v>
      </c>
      <c r="B74" s="61">
        <v>-6368</v>
      </c>
      <c r="C74" s="61"/>
    </row>
    <row r="75" spans="1:3" x14ac:dyDescent="0.25">
      <c r="A75" s="82" t="s">
        <v>231</v>
      </c>
      <c r="B75" s="61">
        <v>-9176.25</v>
      </c>
      <c r="C75" s="61"/>
    </row>
    <row r="76" spans="1:3" x14ac:dyDescent="0.25">
      <c r="A76" s="82" t="s">
        <v>231</v>
      </c>
      <c r="B76" s="61">
        <v>-9176.25</v>
      </c>
      <c r="C76" s="61"/>
    </row>
    <row r="77" spans="1:3" x14ac:dyDescent="0.25">
      <c r="A77" s="82" t="s">
        <v>232</v>
      </c>
      <c r="B77" s="61">
        <v>-11346.96</v>
      </c>
      <c r="C77" s="61"/>
    </row>
    <row r="78" spans="1:3" x14ac:dyDescent="0.25">
      <c r="A78" s="81" t="s">
        <v>233</v>
      </c>
      <c r="B78" s="61">
        <v>-11674</v>
      </c>
      <c r="C78" s="61"/>
    </row>
    <row r="79" spans="1:3" x14ac:dyDescent="0.25">
      <c r="A79" s="81" t="s">
        <v>234</v>
      </c>
      <c r="B79" s="61">
        <v>-10287</v>
      </c>
      <c r="C79" s="61"/>
    </row>
    <row r="80" spans="1:3" x14ac:dyDescent="0.25">
      <c r="A80" s="81" t="s">
        <v>235</v>
      </c>
      <c r="B80" s="61">
        <v>-1500</v>
      </c>
      <c r="C80" s="61"/>
    </row>
    <row r="81" spans="1:3" x14ac:dyDescent="0.25">
      <c r="A81" s="81" t="s">
        <v>236</v>
      </c>
      <c r="B81" s="61">
        <v>-15000</v>
      </c>
      <c r="C81" s="61"/>
    </row>
    <row r="82" spans="1:3" x14ac:dyDescent="0.25">
      <c r="A82" s="81" t="s">
        <v>237</v>
      </c>
      <c r="B82" s="61">
        <v>-190</v>
      </c>
      <c r="C82" s="61"/>
    </row>
    <row r="83" spans="1:3" x14ac:dyDescent="0.25">
      <c r="A83" s="81" t="s">
        <v>238</v>
      </c>
      <c r="B83" s="61">
        <v>-30000</v>
      </c>
      <c r="C83" s="61"/>
    </row>
    <row r="84" spans="1:3" x14ac:dyDescent="0.25">
      <c r="A84" s="81" t="s">
        <v>239</v>
      </c>
      <c r="B84" s="61">
        <v>-5322</v>
      </c>
      <c r="C84" s="61"/>
    </row>
    <row r="85" spans="1:3" x14ac:dyDescent="0.25">
      <c r="A85" s="81" t="s">
        <v>240</v>
      </c>
      <c r="B85" s="61">
        <v>-1668</v>
      </c>
      <c r="C85" s="61"/>
    </row>
    <row r="86" spans="1:3" x14ac:dyDescent="0.25">
      <c r="A86" s="81" t="s">
        <v>241</v>
      </c>
      <c r="B86" s="61">
        <v>-3652</v>
      </c>
      <c r="C86" s="61"/>
    </row>
    <row r="87" spans="1:3" x14ac:dyDescent="0.25">
      <c r="A87" s="81" t="s">
        <v>242</v>
      </c>
      <c r="B87" s="61">
        <v>-10000</v>
      </c>
      <c r="C87" s="61">
        <v>170000</v>
      </c>
    </row>
    <row r="88" spans="1:3" x14ac:dyDescent="0.25">
      <c r="B88" s="61"/>
      <c r="C88" s="61"/>
    </row>
    <row r="89" spans="1:3" ht="17.25" x14ac:dyDescent="0.4">
      <c r="B89" s="83">
        <f>SUM(B63:B88)</f>
        <v>158370.60000056683</v>
      </c>
      <c r="C89" s="61"/>
    </row>
    <row r="90" spans="1:3" ht="17.25" x14ac:dyDescent="0.4">
      <c r="B90" s="83"/>
      <c r="C90" s="61"/>
    </row>
    <row r="91" spans="1:3" x14ac:dyDescent="0.25">
      <c r="B91" s="61">
        <v>158370</v>
      </c>
      <c r="C91" s="61"/>
    </row>
    <row r="92" spans="1:3" x14ac:dyDescent="0.25">
      <c r="A92" s="81" t="s">
        <v>243</v>
      </c>
      <c r="B92" s="61">
        <v>-20000</v>
      </c>
      <c r="C92" s="61"/>
    </row>
    <row r="93" spans="1:3" x14ac:dyDescent="0.25">
      <c r="A93" s="81" t="s">
        <v>244</v>
      </c>
      <c r="B93" s="61">
        <v>-8500</v>
      </c>
      <c r="C93" s="61"/>
    </row>
    <row r="94" spans="1:3" x14ac:dyDescent="0.25">
      <c r="A94" s="81" t="s">
        <v>245</v>
      </c>
      <c r="B94" s="61">
        <v>-16000</v>
      </c>
      <c r="C94" s="61"/>
    </row>
    <row r="95" spans="1:3" x14ac:dyDescent="0.25">
      <c r="A95" s="81" t="s">
        <v>246</v>
      </c>
      <c r="B95" s="61">
        <v>-16000</v>
      </c>
      <c r="C95" s="61"/>
    </row>
    <row r="96" spans="1:3" x14ac:dyDescent="0.25">
      <c r="A96" s="81" t="s">
        <v>247</v>
      </c>
      <c r="B96" s="61">
        <v>-5000</v>
      </c>
      <c r="C96" s="61"/>
    </row>
    <row r="97" spans="1:3" x14ac:dyDescent="0.25">
      <c r="A97" s="81" t="s">
        <v>248</v>
      </c>
      <c r="B97" s="61">
        <v>-3000</v>
      </c>
      <c r="C97" s="61"/>
    </row>
    <row r="98" spans="1:3" x14ac:dyDescent="0.25">
      <c r="A98" s="81" t="s">
        <v>249</v>
      </c>
      <c r="B98" s="61">
        <v>-3000</v>
      </c>
      <c r="C98" s="61"/>
    </row>
    <row r="99" spans="1:3" x14ac:dyDescent="0.25">
      <c r="A99" s="81" t="s">
        <v>250</v>
      </c>
      <c r="B99" s="61">
        <v>-3500</v>
      </c>
      <c r="C99" s="61"/>
    </row>
    <row r="100" spans="1:3" x14ac:dyDescent="0.25">
      <c r="A100" s="81" t="s">
        <v>251</v>
      </c>
      <c r="B100" s="61">
        <v>-6000</v>
      </c>
      <c r="C100" s="61"/>
    </row>
    <row r="101" spans="1:3" x14ac:dyDescent="0.25">
      <c r="A101" s="81" t="s">
        <v>252</v>
      </c>
      <c r="B101" s="61">
        <v>-3500</v>
      </c>
      <c r="C101" s="61"/>
    </row>
    <row r="102" spans="1:3" x14ac:dyDescent="0.25">
      <c r="A102" s="81" t="s">
        <v>253</v>
      </c>
      <c r="B102" s="61">
        <v>-3000</v>
      </c>
      <c r="C102" s="61"/>
    </row>
    <row r="103" spans="1:3" x14ac:dyDescent="0.25">
      <c r="A103" s="81" t="s">
        <v>254</v>
      </c>
      <c r="B103" s="61">
        <v>-2800</v>
      </c>
      <c r="C103" s="61"/>
    </row>
    <row r="104" spans="1:3" x14ac:dyDescent="0.25">
      <c r="A104" s="81" t="s">
        <v>255</v>
      </c>
      <c r="B104" s="61">
        <v>-2800</v>
      </c>
      <c r="C104" s="61"/>
    </row>
    <row r="105" spans="1:3" x14ac:dyDescent="0.25">
      <c r="A105" s="81" t="s">
        <v>266</v>
      </c>
      <c r="B105" s="61">
        <v>-20000</v>
      </c>
      <c r="C105" s="61"/>
    </row>
    <row r="106" spans="1:3" x14ac:dyDescent="0.25">
      <c r="B106" s="61"/>
      <c r="C106" s="61"/>
    </row>
    <row r="107" spans="1:3" x14ac:dyDescent="0.25">
      <c r="B107" s="61">
        <f>SUM(B91:B106)</f>
        <v>45270</v>
      </c>
      <c r="C107" s="61" t="s">
        <v>256</v>
      </c>
    </row>
    <row r="108" spans="1:3" x14ac:dyDescent="0.25">
      <c r="B108" s="61"/>
      <c r="C108" s="61"/>
    </row>
    <row r="109" spans="1:3" x14ac:dyDescent="0.25">
      <c r="B109" s="61"/>
      <c r="C109" s="61"/>
    </row>
    <row r="110" spans="1:3" x14ac:dyDescent="0.25">
      <c r="B110" s="61"/>
      <c r="C110" s="61"/>
    </row>
    <row r="111" spans="1:3" x14ac:dyDescent="0.25">
      <c r="B111" s="61"/>
      <c r="C111" s="61"/>
    </row>
    <row r="112" spans="1:3" x14ac:dyDescent="0.25">
      <c r="B112" s="61"/>
      <c r="C112" s="61"/>
    </row>
    <row r="113" spans="2:3" x14ac:dyDescent="0.25">
      <c r="B113" s="61"/>
      <c r="C113" s="61"/>
    </row>
    <row r="114" spans="2:3" x14ac:dyDescent="0.25">
      <c r="B114" s="61"/>
      <c r="C114" s="61"/>
    </row>
    <row r="115" spans="2:3" x14ac:dyDescent="0.25">
      <c r="B115" s="61"/>
      <c r="C115" s="61"/>
    </row>
    <row r="116" spans="2:3" x14ac:dyDescent="0.25">
      <c r="B116" s="61"/>
      <c r="C116" s="61"/>
    </row>
    <row r="117" spans="2:3" x14ac:dyDescent="0.25">
      <c r="B117" s="61"/>
      <c r="C117" s="61"/>
    </row>
    <row r="118" spans="2:3" x14ac:dyDescent="0.25">
      <c r="B118" s="61"/>
      <c r="C118" s="61"/>
    </row>
    <row r="119" spans="2:3" x14ac:dyDescent="0.25">
      <c r="B119" s="61"/>
      <c r="C119" s="61"/>
    </row>
    <row r="120" spans="2:3" x14ac:dyDescent="0.25">
      <c r="B120" s="61"/>
      <c r="C120" s="61"/>
    </row>
    <row r="121" spans="2:3" x14ac:dyDescent="0.25">
      <c r="B121" s="61"/>
      <c r="C121" s="61"/>
    </row>
    <row r="122" spans="2:3" x14ac:dyDescent="0.25">
      <c r="B122" s="61"/>
      <c r="C122" s="61"/>
    </row>
    <row r="123" spans="2:3" x14ac:dyDescent="0.25">
      <c r="B123" s="61"/>
      <c r="C123" s="61"/>
    </row>
    <row r="124" spans="2:3" x14ac:dyDescent="0.25">
      <c r="B124" s="61"/>
      <c r="C124" s="61"/>
    </row>
    <row r="125" spans="2:3" x14ac:dyDescent="0.25">
      <c r="B125" s="61"/>
      <c r="C125" s="61"/>
    </row>
    <row r="126" spans="2:3" x14ac:dyDescent="0.25">
      <c r="B126" s="61"/>
      <c r="C126" s="61"/>
    </row>
    <row r="127" spans="2:3" x14ac:dyDescent="0.25">
      <c r="B127" s="61"/>
      <c r="C127" s="61"/>
    </row>
    <row r="128" spans="2:3" x14ac:dyDescent="0.25">
      <c r="B128" s="61"/>
      <c r="C128" s="61"/>
    </row>
    <row r="129" spans="2:3" x14ac:dyDescent="0.25">
      <c r="B129" s="61"/>
      <c r="C129" s="61"/>
    </row>
    <row r="130" spans="2:3" x14ac:dyDescent="0.25">
      <c r="B130" s="61"/>
      <c r="C130" s="61"/>
    </row>
    <row r="131" spans="2:3" x14ac:dyDescent="0.25">
      <c r="B131" s="61"/>
      <c r="C131" s="61"/>
    </row>
    <row r="132" spans="2:3" x14ac:dyDescent="0.25">
      <c r="B132" s="61"/>
      <c r="C132" s="61"/>
    </row>
    <row r="133" spans="2:3" x14ac:dyDescent="0.25">
      <c r="B133" s="61"/>
      <c r="C133" s="61"/>
    </row>
    <row r="134" spans="2:3" x14ac:dyDescent="0.25">
      <c r="B134" s="61"/>
      <c r="C134" s="61"/>
    </row>
    <row r="135" spans="2:3" x14ac:dyDescent="0.25">
      <c r="B135" s="61"/>
      <c r="C135" s="61"/>
    </row>
    <row r="136" spans="2:3" x14ac:dyDescent="0.25">
      <c r="B136" s="61"/>
      <c r="C136" s="61"/>
    </row>
    <row r="137" spans="2:3" x14ac:dyDescent="0.25">
      <c r="B137" s="61"/>
      <c r="C137" s="61"/>
    </row>
    <row r="138" spans="2:3" x14ac:dyDescent="0.25">
      <c r="B138" s="61"/>
      <c r="C138" s="61"/>
    </row>
    <row r="139" spans="2:3" x14ac:dyDescent="0.25">
      <c r="B139" s="61"/>
      <c r="C139" s="61"/>
    </row>
    <row r="140" spans="2:3" x14ac:dyDescent="0.25">
      <c r="B140" s="61"/>
      <c r="C140" s="61"/>
    </row>
    <row r="141" spans="2:3" x14ac:dyDescent="0.25">
      <c r="B141" s="61"/>
      <c r="C141" s="61"/>
    </row>
    <row r="142" spans="2:3" x14ac:dyDescent="0.25">
      <c r="B142" s="61"/>
      <c r="C142" s="61"/>
    </row>
    <row r="143" spans="2:3" x14ac:dyDescent="0.25">
      <c r="B143" s="61"/>
      <c r="C143" s="61"/>
    </row>
    <row r="144" spans="2:3" x14ac:dyDescent="0.25">
      <c r="B144" s="61"/>
      <c r="C144" s="61"/>
    </row>
    <row r="145" spans="2:3" x14ac:dyDescent="0.25">
      <c r="B145" s="61"/>
      <c r="C145" s="61"/>
    </row>
    <row r="146" spans="2:3" x14ac:dyDescent="0.25">
      <c r="B146" s="61"/>
      <c r="C146" s="61"/>
    </row>
    <row r="147" spans="2:3" x14ac:dyDescent="0.25">
      <c r="B147" s="61"/>
      <c r="C147" s="61"/>
    </row>
    <row r="148" spans="2:3" x14ac:dyDescent="0.25">
      <c r="B148" s="61"/>
      <c r="C148" s="61"/>
    </row>
    <row r="149" spans="2:3" x14ac:dyDescent="0.25">
      <c r="B149" s="61"/>
      <c r="C149" s="61"/>
    </row>
    <row r="150" spans="2:3" x14ac:dyDescent="0.25">
      <c r="B150" s="61"/>
      <c r="C150" s="61"/>
    </row>
    <row r="151" spans="2:3" x14ac:dyDescent="0.25">
      <c r="B151" s="61"/>
      <c r="C151" s="61"/>
    </row>
    <row r="152" spans="2:3" x14ac:dyDescent="0.25">
      <c r="B152" s="61"/>
      <c r="C152" s="61"/>
    </row>
    <row r="153" spans="2:3" x14ac:dyDescent="0.25">
      <c r="B153" s="61"/>
      <c r="C153" s="61"/>
    </row>
    <row r="154" spans="2:3" x14ac:dyDescent="0.25">
      <c r="B154" s="61"/>
      <c r="C154" s="61"/>
    </row>
    <row r="155" spans="2:3" x14ac:dyDescent="0.25">
      <c r="B155" s="61"/>
      <c r="C155" s="61"/>
    </row>
    <row r="156" spans="2:3" x14ac:dyDescent="0.25">
      <c r="B156" s="61"/>
      <c r="C156" s="61"/>
    </row>
    <row r="157" spans="2:3" x14ac:dyDescent="0.25">
      <c r="B157" s="61"/>
      <c r="C157" s="61"/>
    </row>
    <row r="158" spans="2:3" x14ac:dyDescent="0.25">
      <c r="B158" s="61"/>
      <c r="C158" s="61"/>
    </row>
    <row r="159" spans="2:3" x14ac:dyDescent="0.25">
      <c r="B159" s="61"/>
      <c r="C159" s="61"/>
    </row>
    <row r="160" spans="2:3" x14ac:dyDescent="0.25">
      <c r="B160" s="61"/>
      <c r="C160" s="61"/>
    </row>
    <row r="161" spans="2:3" x14ac:dyDescent="0.25">
      <c r="B161" s="61"/>
      <c r="C161" s="61"/>
    </row>
    <row r="162" spans="2:3" x14ac:dyDescent="0.25">
      <c r="B162" s="61"/>
      <c r="C162" s="61"/>
    </row>
    <row r="163" spans="2:3" x14ac:dyDescent="0.25">
      <c r="B163" s="61"/>
      <c r="C163" s="61"/>
    </row>
    <row r="164" spans="2:3" x14ac:dyDescent="0.25">
      <c r="B164" s="61"/>
      <c r="C164" s="61"/>
    </row>
    <row r="165" spans="2:3" x14ac:dyDescent="0.25">
      <c r="B165" s="61"/>
      <c r="C165" s="61"/>
    </row>
    <row r="166" spans="2:3" x14ac:dyDescent="0.25">
      <c r="B166" s="61"/>
      <c r="C166" s="61"/>
    </row>
    <row r="167" spans="2:3" x14ac:dyDescent="0.25">
      <c r="B167" s="61"/>
      <c r="C167" s="61"/>
    </row>
    <row r="168" spans="2:3" x14ac:dyDescent="0.25">
      <c r="B168" s="61"/>
      <c r="C168" s="61"/>
    </row>
    <row r="169" spans="2:3" x14ac:dyDescent="0.25">
      <c r="B169" s="61"/>
      <c r="C169" s="61"/>
    </row>
    <row r="170" spans="2:3" x14ac:dyDescent="0.25">
      <c r="B170" s="61"/>
      <c r="C170" s="61"/>
    </row>
    <row r="171" spans="2:3" x14ac:dyDescent="0.25">
      <c r="B171" s="61"/>
      <c r="C171" s="61"/>
    </row>
    <row r="172" spans="2:3" x14ac:dyDescent="0.25">
      <c r="B172" s="61"/>
      <c r="C172" s="61"/>
    </row>
    <row r="173" spans="2:3" x14ac:dyDescent="0.25">
      <c r="B173" s="61"/>
      <c r="C173" s="61"/>
    </row>
    <row r="174" spans="2:3" x14ac:dyDescent="0.25">
      <c r="B174" s="61"/>
      <c r="C174" s="61"/>
    </row>
    <row r="175" spans="2:3" x14ac:dyDescent="0.25">
      <c r="B175" s="61"/>
      <c r="C175" s="61"/>
    </row>
    <row r="176" spans="2:3" x14ac:dyDescent="0.25">
      <c r="B176" s="61"/>
      <c r="C176" s="61"/>
    </row>
    <row r="177" spans="2:3" x14ac:dyDescent="0.25">
      <c r="B177" s="61"/>
      <c r="C177" s="61"/>
    </row>
    <row r="178" spans="2:3" x14ac:dyDescent="0.25">
      <c r="B178" s="61"/>
      <c r="C178" s="61"/>
    </row>
    <row r="179" spans="2:3" x14ac:dyDescent="0.25">
      <c r="B179" s="61"/>
      <c r="C179" s="61"/>
    </row>
    <row r="180" spans="2:3" x14ac:dyDescent="0.25">
      <c r="B180" s="61"/>
      <c r="C180" s="61"/>
    </row>
    <row r="181" spans="2:3" x14ac:dyDescent="0.25">
      <c r="B181" s="61"/>
      <c r="C181" s="61"/>
    </row>
    <row r="182" spans="2:3" x14ac:dyDescent="0.25">
      <c r="B182" s="61"/>
      <c r="C182" s="61"/>
    </row>
    <row r="183" spans="2:3" x14ac:dyDescent="0.25">
      <c r="B183" s="61"/>
      <c r="C183" s="61"/>
    </row>
    <row r="184" spans="2:3" x14ac:dyDescent="0.25">
      <c r="B184" s="61"/>
      <c r="C184" s="61"/>
    </row>
    <row r="185" spans="2:3" x14ac:dyDescent="0.25">
      <c r="B185" s="61"/>
      <c r="C185" s="61"/>
    </row>
    <row r="186" spans="2:3" x14ac:dyDescent="0.25">
      <c r="B186" s="61"/>
      <c r="C186" s="61"/>
    </row>
    <row r="187" spans="2:3" x14ac:dyDescent="0.25">
      <c r="B187" s="61"/>
      <c r="C187" s="61"/>
    </row>
    <row r="188" spans="2:3" x14ac:dyDescent="0.25">
      <c r="B188" s="61"/>
      <c r="C188" s="61"/>
    </row>
    <row r="189" spans="2:3" x14ac:dyDescent="0.25">
      <c r="B189" s="61"/>
      <c r="C189" s="61"/>
    </row>
    <row r="190" spans="2:3" x14ac:dyDescent="0.25">
      <c r="B190" s="61"/>
      <c r="C190" s="61"/>
    </row>
    <row r="191" spans="2:3" x14ac:dyDescent="0.25">
      <c r="B191" s="61"/>
      <c r="C191" s="61"/>
    </row>
    <row r="192" spans="2:3" x14ac:dyDescent="0.25">
      <c r="B192" s="61"/>
      <c r="C192" s="61"/>
    </row>
    <row r="193" spans="2:3" x14ac:dyDescent="0.25">
      <c r="B193" s="61"/>
      <c r="C193" s="61"/>
    </row>
    <row r="194" spans="2:3" x14ac:dyDescent="0.25">
      <c r="B194" s="61"/>
      <c r="C194" s="61"/>
    </row>
    <row r="195" spans="2:3" x14ac:dyDescent="0.25">
      <c r="B195" s="61"/>
      <c r="C195" s="61"/>
    </row>
    <row r="196" spans="2:3" x14ac:dyDescent="0.25">
      <c r="B196" s="61"/>
      <c r="C196" s="61"/>
    </row>
    <row r="197" spans="2:3" x14ac:dyDescent="0.25">
      <c r="B197" s="61"/>
      <c r="C197" s="61"/>
    </row>
    <row r="198" spans="2:3" x14ac:dyDescent="0.25">
      <c r="B198" s="61"/>
      <c r="C198" s="61"/>
    </row>
    <row r="199" spans="2:3" x14ac:dyDescent="0.25">
      <c r="B199" s="61"/>
      <c r="C199" s="61"/>
    </row>
    <row r="200" spans="2:3" x14ac:dyDescent="0.25">
      <c r="B200" s="61"/>
      <c r="C200" s="61"/>
    </row>
    <row r="201" spans="2:3" x14ac:dyDescent="0.25">
      <c r="B201" s="61"/>
      <c r="C201" s="61"/>
    </row>
    <row r="202" spans="2:3" x14ac:dyDescent="0.25">
      <c r="B202" s="61"/>
      <c r="C202" s="61"/>
    </row>
    <row r="203" spans="2:3" x14ac:dyDescent="0.25">
      <c r="B203" s="61"/>
      <c r="C203" s="61"/>
    </row>
    <row r="204" spans="2:3" x14ac:dyDescent="0.25">
      <c r="B204" s="61"/>
      <c r="C204" s="61"/>
    </row>
    <row r="205" spans="2:3" x14ac:dyDescent="0.25">
      <c r="B205" s="61"/>
      <c r="C205" s="61"/>
    </row>
    <row r="206" spans="2:3" x14ac:dyDescent="0.25">
      <c r="B206" s="61"/>
      <c r="C206" s="61"/>
    </row>
    <row r="207" spans="2:3" x14ac:dyDescent="0.25">
      <c r="B207" s="61"/>
      <c r="C207" s="61"/>
    </row>
    <row r="208" spans="2:3" x14ac:dyDescent="0.25">
      <c r="B208" s="61"/>
      <c r="C208" s="61"/>
    </row>
    <row r="209" spans="2:3" x14ac:dyDescent="0.25">
      <c r="B209" s="61"/>
      <c r="C209" s="61"/>
    </row>
    <row r="210" spans="2:3" x14ac:dyDescent="0.25">
      <c r="B210" s="61"/>
      <c r="C210" s="61"/>
    </row>
    <row r="211" spans="2:3" x14ac:dyDescent="0.25">
      <c r="B211" s="61"/>
      <c r="C211" s="61"/>
    </row>
    <row r="212" spans="2:3" x14ac:dyDescent="0.25">
      <c r="B212" s="61"/>
      <c r="C212" s="61"/>
    </row>
    <row r="213" spans="2:3" x14ac:dyDescent="0.25">
      <c r="B213" s="61"/>
      <c r="C213" s="61"/>
    </row>
    <row r="214" spans="2:3" x14ac:dyDescent="0.25">
      <c r="B214" s="61"/>
      <c r="C214" s="61"/>
    </row>
    <row r="215" spans="2:3" x14ac:dyDescent="0.25">
      <c r="B215" s="61"/>
      <c r="C215" s="61"/>
    </row>
    <row r="216" spans="2:3" x14ac:dyDescent="0.25">
      <c r="B216" s="61"/>
      <c r="C216" s="61"/>
    </row>
    <row r="217" spans="2:3" x14ac:dyDescent="0.25">
      <c r="B217" s="61"/>
      <c r="C217" s="61"/>
    </row>
    <row r="218" spans="2:3" x14ac:dyDescent="0.25">
      <c r="B218" s="61"/>
      <c r="C218" s="61"/>
    </row>
    <row r="219" spans="2:3" x14ac:dyDescent="0.25">
      <c r="B219" s="61"/>
      <c r="C219" s="61"/>
    </row>
    <row r="220" spans="2:3" x14ac:dyDescent="0.25">
      <c r="B220" s="61"/>
      <c r="C220" s="61"/>
    </row>
    <row r="221" spans="2:3" x14ac:dyDescent="0.25">
      <c r="B221" s="61"/>
      <c r="C221" s="61"/>
    </row>
    <row r="222" spans="2:3" x14ac:dyDescent="0.25">
      <c r="B222" s="61"/>
      <c r="C222" s="61"/>
    </row>
    <row r="223" spans="2:3" x14ac:dyDescent="0.25">
      <c r="B223" s="61"/>
      <c r="C223" s="61"/>
    </row>
    <row r="224" spans="2:3" x14ac:dyDescent="0.25">
      <c r="B224" s="61"/>
      <c r="C224" s="61"/>
    </row>
    <row r="225" spans="2:3" x14ac:dyDescent="0.25">
      <c r="B225" s="61"/>
      <c r="C225" s="61"/>
    </row>
    <row r="226" spans="2:3" x14ac:dyDescent="0.25">
      <c r="B226" s="61"/>
      <c r="C226" s="61"/>
    </row>
    <row r="227" spans="2:3" x14ac:dyDescent="0.25">
      <c r="B227" s="61"/>
      <c r="C227" s="61"/>
    </row>
    <row r="228" spans="2:3" x14ac:dyDescent="0.25">
      <c r="B228" s="61"/>
      <c r="C228" s="61"/>
    </row>
    <row r="229" spans="2:3" x14ac:dyDescent="0.25">
      <c r="B229" s="61"/>
      <c r="C229" s="61"/>
    </row>
    <row r="230" spans="2:3" x14ac:dyDescent="0.25">
      <c r="B230" s="61"/>
      <c r="C230" s="61"/>
    </row>
    <row r="231" spans="2:3" x14ac:dyDescent="0.25">
      <c r="B231" s="61"/>
      <c r="C231" s="61"/>
    </row>
    <row r="232" spans="2:3" x14ac:dyDescent="0.25">
      <c r="B232" s="61"/>
      <c r="C232" s="61"/>
    </row>
    <row r="233" spans="2:3" x14ac:dyDescent="0.25">
      <c r="B233" s="61"/>
      <c r="C233" s="61"/>
    </row>
    <row r="234" spans="2:3" x14ac:dyDescent="0.25">
      <c r="B234" s="61"/>
      <c r="C234" s="61"/>
    </row>
    <row r="235" spans="2:3" x14ac:dyDescent="0.25">
      <c r="B235" s="61"/>
      <c r="C235" s="61"/>
    </row>
    <row r="236" spans="2:3" x14ac:dyDescent="0.25">
      <c r="B236" s="61"/>
      <c r="C236" s="61"/>
    </row>
    <row r="237" spans="2:3" x14ac:dyDescent="0.25">
      <c r="B237" s="61"/>
      <c r="C237" s="61"/>
    </row>
    <row r="238" spans="2:3" x14ac:dyDescent="0.25">
      <c r="B238" s="61"/>
      <c r="C238" s="61"/>
    </row>
    <row r="239" spans="2:3" x14ac:dyDescent="0.25">
      <c r="B239" s="61"/>
      <c r="C239" s="61"/>
    </row>
    <row r="240" spans="2:3" x14ac:dyDescent="0.25">
      <c r="B240" s="61"/>
      <c r="C240" s="61"/>
    </row>
    <row r="241" spans="2:3" x14ac:dyDescent="0.25">
      <c r="B241" s="61"/>
      <c r="C241" s="61"/>
    </row>
    <row r="242" spans="2:3" x14ac:dyDescent="0.25">
      <c r="B242" s="61"/>
      <c r="C242" s="61"/>
    </row>
    <row r="243" spans="2:3" x14ac:dyDescent="0.25">
      <c r="B243" s="61"/>
      <c r="C243" s="61"/>
    </row>
    <row r="244" spans="2:3" x14ac:dyDescent="0.25">
      <c r="B244" s="61"/>
      <c r="C244" s="61"/>
    </row>
    <row r="245" spans="2:3" x14ac:dyDescent="0.25">
      <c r="B245" s="61"/>
      <c r="C245" s="61"/>
    </row>
    <row r="246" spans="2:3" x14ac:dyDescent="0.25">
      <c r="B246" s="61"/>
      <c r="C246" s="61"/>
    </row>
    <row r="247" spans="2:3" x14ac:dyDescent="0.25">
      <c r="B247" s="61"/>
      <c r="C247" s="61"/>
    </row>
    <row r="248" spans="2:3" x14ac:dyDescent="0.25">
      <c r="B248" s="61"/>
      <c r="C248" s="61"/>
    </row>
    <row r="249" spans="2:3" x14ac:dyDescent="0.25">
      <c r="B249" s="61"/>
      <c r="C249" s="61"/>
    </row>
    <row r="250" spans="2:3" x14ac:dyDescent="0.25">
      <c r="B250" s="61"/>
      <c r="C250" s="61"/>
    </row>
    <row r="251" spans="2:3" x14ac:dyDescent="0.25">
      <c r="B251" s="61"/>
      <c r="C251" s="61"/>
    </row>
    <row r="252" spans="2:3" x14ac:dyDescent="0.25">
      <c r="B252" s="61"/>
      <c r="C252" s="61"/>
    </row>
    <row r="253" spans="2:3" x14ac:dyDescent="0.25">
      <c r="B253" s="61"/>
      <c r="C253" s="61"/>
    </row>
    <row r="254" spans="2:3" x14ac:dyDescent="0.25">
      <c r="B254" s="61"/>
      <c r="C254" s="61"/>
    </row>
    <row r="255" spans="2:3" x14ac:dyDescent="0.25">
      <c r="B255" s="61"/>
      <c r="C255" s="61"/>
    </row>
    <row r="256" spans="2:3" x14ac:dyDescent="0.25">
      <c r="B256" s="61"/>
      <c r="C256" s="61"/>
    </row>
    <row r="257" spans="2:3" x14ac:dyDescent="0.25">
      <c r="B257" s="61"/>
      <c r="C257" s="61"/>
    </row>
    <row r="258" spans="2:3" x14ac:dyDescent="0.25">
      <c r="B258" s="61"/>
      <c r="C258" s="61"/>
    </row>
    <row r="259" spans="2:3" x14ac:dyDescent="0.25">
      <c r="B259" s="61"/>
      <c r="C259" s="61"/>
    </row>
    <row r="260" spans="2:3" x14ac:dyDescent="0.25">
      <c r="B260" s="61"/>
      <c r="C260" s="61"/>
    </row>
    <row r="261" spans="2:3" x14ac:dyDescent="0.25">
      <c r="B261" s="61"/>
      <c r="C261" s="61"/>
    </row>
    <row r="262" spans="2:3" x14ac:dyDescent="0.25">
      <c r="B262" s="61"/>
      <c r="C262" s="61"/>
    </row>
    <row r="263" spans="2:3" x14ac:dyDescent="0.25">
      <c r="B263" s="61"/>
      <c r="C263" s="61"/>
    </row>
    <row r="264" spans="2:3" x14ac:dyDescent="0.25">
      <c r="B264" s="61"/>
      <c r="C264" s="61"/>
    </row>
    <row r="265" spans="2:3" x14ac:dyDescent="0.25">
      <c r="B265" s="61"/>
      <c r="C265" s="61"/>
    </row>
    <row r="266" spans="2:3" x14ac:dyDescent="0.25">
      <c r="B266" s="61"/>
      <c r="C266" s="61"/>
    </row>
    <row r="267" spans="2:3" x14ac:dyDescent="0.25">
      <c r="B267" s="61"/>
      <c r="C267" s="61"/>
    </row>
    <row r="268" spans="2:3" x14ac:dyDescent="0.25">
      <c r="B268" s="61"/>
      <c r="C268" s="61"/>
    </row>
    <row r="269" spans="2:3" x14ac:dyDescent="0.25">
      <c r="B269" s="61"/>
      <c r="C269" s="61"/>
    </row>
    <row r="270" spans="2:3" x14ac:dyDescent="0.25">
      <c r="B270" s="61"/>
      <c r="C270" s="61"/>
    </row>
    <row r="271" spans="2:3" x14ac:dyDescent="0.25">
      <c r="B271" s="61"/>
      <c r="C271" s="61"/>
    </row>
    <row r="272" spans="2:3" x14ac:dyDescent="0.25">
      <c r="B272" s="61"/>
      <c r="C272" s="61"/>
    </row>
    <row r="273" spans="2:3" x14ac:dyDescent="0.25">
      <c r="B273" s="61"/>
      <c r="C273" s="61"/>
    </row>
    <row r="274" spans="2:3" x14ac:dyDescent="0.25">
      <c r="B274" s="61"/>
      <c r="C274" s="61"/>
    </row>
    <row r="275" spans="2:3" x14ac:dyDescent="0.25">
      <c r="B275" s="61"/>
      <c r="C275" s="61"/>
    </row>
    <row r="276" spans="2:3" x14ac:dyDescent="0.25">
      <c r="B276" s="61"/>
      <c r="C276" s="61"/>
    </row>
    <row r="277" spans="2:3" x14ac:dyDescent="0.25">
      <c r="B277" s="61"/>
      <c r="C277" s="61"/>
    </row>
    <row r="278" spans="2:3" x14ac:dyDescent="0.25">
      <c r="B278" s="61"/>
      <c r="C278" s="61"/>
    </row>
    <row r="279" spans="2:3" x14ac:dyDescent="0.25">
      <c r="B279" s="61"/>
      <c r="C279" s="61"/>
    </row>
    <row r="280" spans="2:3" x14ac:dyDescent="0.25">
      <c r="B280" s="61"/>
      <c r="C280" s="61"/>
    </row>
    <row r="281" spans="2:3" x14ac:dyDescent="0.25">
      <c r="B281" s="61"/>
      <c r="C281" s="61"/>
    </row>
    <row r="282" spans="2:3" x14ac:dyDescent="0.25">
      <c r="B282" s="61"/>
      <c r="C282" s="61"/>
    </row>
    <row r="283" spans="2:3" x14ac:dyDescent="0.25">
      <c r="B283" s="61"/>
      <c r="C283" s="61"/>
    </row>
    <row r="284" spans="2:3" x14ac:dyDescent="0.25">
      <c r="B284" s="61"/>
      <c r="C284" s="61"/>
    </row>
    <row r="285" spans="2:3" x14ac:dyDescent="0.25">
      <c r="B285" s="61"/>
      <c r="C285" s="61"/>
    </row>
    <row r="286" spans="2:3" x14ac:dyDescent="0.25">
      <c r="B286" s="61"/>
      <c r="C286" s="61"/>
    </row>
    <row r="287" spans="2:3" x14ac:dyDescent="0.25">
      <c r="B287" s="61"/>
      <c r="C287" s="61"/>
    </row>
    <row r="288" spans="2:3" x14ac:dyDescent="0.25">
      <c r="B288" s="61"/>
      <c r="C288" s="61"/>
    </row>
    <row r="289" spans="2:3" x14ac:dyDescent="0.25">
      <c r="B289" s="61"/>
      <c r="C289" s="61"/>
    </row>
    <row r="290" spans="2:3" x14ac:dyDescent="0.25">
      <c r="B290" s="61"/>
      <c r="C290" s="61"/>
    </row>
    <row r="291" spans="2:3" x14ac:dyDescent="0.25">
      <c r="B291" s="61"/>
      <c r="C291" s="61"/>
    </row>
    <row r="292" spans="2:3" x14ac:dyDescent="0.25">
      <c r="B292" s="61"/>
      <c r="C292" s="61"/>
    </row>
    <row r="293" spans="2:3" x14ac:dyDescent="0.25">
      <c r="B293" s="61"/>
      <c r="C293" s="61"/>
    </row>
    <row r="294" spans="2:3" x14ac:dyDescent="0.25">
      <c r="B294" s="61"/>
      <c r="C294" s="61"/>
    </row>
    <row r="295" spans="2:3" x14ac:dyDescent="0.25">
      <c r="B295" s="61"/>
      <c r="C295" s="61"/>
    </row>
    <row r="296" spans="2:3" x14ac:dyDescent="0.25">
      <c r="B296" s="61"/>
      <c r="C296" s="61"/>
    </row>
    <row r="297" spans="2:3" x14ac:dyDescent="0.25">
      <c r="B297" s="61"/>
      <c r="C297" s="61"/>
    </row>
    <row r="298" spans="2:3" x14ac:dyDescent="0.25">
      <c r="B298" s="61"/>
      <c r="C298" s="61"/>
    </row>
    <row r="299" spans="2:3" x14ac:dyDescent="0.25">
      <c r="B299" s="61"/>
      <c r="C299" s="61"/>
    </row>
    <row r="300" spans="2:3" x14ac:dyDescent="0.25">
      <c r="B300" s="61"/>
      <c r="C300" s="61"/>
    </row>
    <row r="301" spans="2:3" x14ac:dyDescent="0.25">
      <c r="B301" s="61"/>
      <c r="C301" s="61"/>
    </row>
    <row r="302" spans="2:3" x14ac:dyDescent="0.25">
      <c r="B302" s="61"/>
      <c r="C302" s="61"/>
    </row>
    <row r="303" spans="2:3" x14ac:dyDescent="0.25">
      <c r="B303" s="61"/>
      <c r="C303" s="61"/>
    </row>
    <row r="304" spans="2:3" x14ac:dyDescent="0.25">
      <c r="B304" s="61"/>
      <c r="C304" s="61"/>
    </row>
    <row r="305" spans="2:3" x14ac:dyDescent="0.25">
      <c r="B305" s="61"/>
      <c r="C305" s="61"/>
    </row>
    <row r="306" spans="2:3" x14ac:dyDescent="0.25">
      <c r="B306" s="61"/>
      <c r="C306" s="61"/>
    </row>
    <row r="307" spans="2:3" x14ac:dyDescent="0.25">
      <c r="B307" s="61"/>
      <c r="C307" s="61"/>
    </row>
    <row r="308" spans="2:3" x14ac:dyDescent="0.25">
      <c r="B308" s="61"/>
      <c r="C308" s="61"/>
    </row>
    <row r="309" spans="2:3" x14ac:dyDescent="0.25">
      <c r="B309" s="61"/>
      <c r="C309" s="61"/>
    </row>
    <row r="310" spans="2:3" x14ac:dyDescent="0.25">
      <c r="B310" s="61"/>
      <c r="C310" s="61"/>
    </row>
    <row r="311" spans="2:3" x14ac:dyDescent="0.25">
      <c r="B311" s="61"/>
      <c r="C311" s="61"/>
    </row>
    <row r="312" spans="2:3" x14ac:dyDescent="0.25">
      <c r="B312" s="61"/>
      <c r="C312" s="61"/>
    </row>
    <row r="313" spans="2:3" x14ac:dyDescent="0.25">
      <c r="B313" s="61"/>
      <c r="C313" s="61"/>
    </row>
    <row r="314" spans="2:3" x14ac:dyDescent="0.25">
      <c r="B314" s="61"/>
      <c r="C314" s="61"/>
    </row>
    <row r="315" spans="2:3" x14ac:dyDescent="0.25">
      <c r="B315" s="61"/>
      <c r="C315" s="61"/>
    </row>
    <row r="316" spans="2:3" x14ac:dyDescent="0.25">
      <c r="B316" s="61"/>
      <c r="C316" s="61"/>
    </row>
    <row r="317" spans="2:3" x14ac:dyDescent="0.25">
      <c r="B317" s="61"/>
      <c r="C317" s="61"/>
    </row>
    <row r="318" spans="2:3" x14ac:dyDescent="0.25">
      <c r="B318" s="61"/>
      <c r="C318" s="61"/>
    </row>
    <row r="319" spans="2:3" x14ac:dyDescent="0.25">
      <c r="B319" s="61"/>
      <c r="C319" s="61"/>
    </row>
    <row r="320" spans="2:3" x14ac:dyDescent="0.25">
      <c r="B320" s="61"/>
      <c r="C320" s="61"/>
    </row>
    <row r="321" spans="2:3" x14ac:dyDescent="0.25">
      <c r="B321" s="61"/>
      <c r="C321" s="61"/>
    </row>
    <row r="322" spans="2:3" x14ac:dyDescent="0.25">
      <c r="B322" s="61"/>
      <c r="C322" s="61"/>
    </row>
    <row r="323" spans="2:3" x14ac:dyDescent="0.25">
      <c r="B323" s="61"/>
      <c r="C323" s="61"/>
    </row>
    <row r="324" spans="2:3" x14ac:dyDescent="0.25">
      <c r="B324" s="61"/>
      <c r="C324" s="61"/>
    </row>
    <row r="325" spans="2:3" x14ac:dyDescent="0.25">
      <c r="B325" s="61"/>
      <c r="C325" s="61"/>
    </row>
    <row r="326" spans="2:3" x14ac:dyDescent="0.25">
      <c r="B326" s="61"/>
      <c r="C326" s="61"/>
    </row>
    <row r="327" spans="2:3" x14ac:dyDescent="0.25">
      <c r="B327" s="61"/>
      <c r="C327" s="61"/>
    </row>
    <row r="328" spans="2:3" x14ac:dyDescent="0.25">
      <c r="B328" s="61"/>
      <c r="C328" s="61"/>
    </row>
    <row r="329" spans="2:3" x14ac:dyDescent="0.25">
      <c r="B329" s="61"/>
      <c r="C329" s="61"/>
    </row>
    <row r="330" spans="2:3" x14ac:dyDescent="0.25">
      <c r="B330" s="61"/>
      <c r="C330" s="61"/>
    </row>
    <row r="331" spans="2:3" x14ac:dyDescent="0.25">
      <c r="B331" s="61"/>
      <c r="C331" s="61"/>
    </row>
    <row r="332" spans="2:3" x14ac:dyDescent="0.25">
      <c r="B332" s="61"/>
      <c r="C332" s="61"/>
    </row>
    <row r="333" spans="2:3" x14ac:dyDescent="0.25">
      <c r="B333" s="61"/>
      <c r="C333" s="61"/>
    </row>
    <row r="334" spans="2:3" x14ac:dyDescent="0.25">
      <c r="B334" s="61"/>
      <c r="C334" s="61"/>
    </row>
    <row r="335" spans="2:3" x14ac:dyDescent="0.25">
      <c r="B335" s="61"/>
      <c r="C335" s="61"/>
    </row>
    <row r="336" spans="2:3" x14ac:dyDescent="0.25">
      <c r="B336" s="61"/>
      <c r="C336" s="61"/>
    </row>
    <row r="337" spans="2:3" x14ac:dyDescent="0.25">
      <c r="B337" s="61"/>
      <c r="C337" s="61"/>
    </row>
    <row r="338" spans="2:3" x14ac:dyDescent="0.25">
      <c r="B338" s="61"/>
      <c r="C338" s="61"/>
    </row>
    <row r="339" spans="2:3" x14ac:dyDescent="0.25">
      <c r="B339" s="61"/>
      <c r="C339" s="61"/>
    </row>
    <row r="340" spans="2:3" x14ac:dyDescent="0.25">
      <c r="B340" s="61"/>
      <c r="C340" s="61"/>
    </row>
    <row r="341" spans="2:3" x14ac:dyDescent="0.25">
      <c r="B341" s="61"/>
      <c r="C341" s="61"/>
    </row>
    <row r="342" spans="2:3" x14ac:dyDescent="0.25">
      <c r="B342" s="61"/>
      <c r="C342" s="61"/>
    </row>
    <row r="343" spans="2:3" x14ac:dyDescent="0.25">
      <c r="B343" s="61"/>
      <c r="C343" s="61"/>
    </row>
    <row r="344" spans="2:3" x14ac:dyDescent="0.25">
      <c r="B344" s="61"/>
      <c r="C344" s="61"/>
    </row>
    <row r="345" spans="2:3" x14ac:dyDescent="0.25">
      <c r="B345" s="61"/>
      <c r="C345" s="61"/>
    </row>
    <row r="346" spans="2:3" x14ac:dyDescent="0.25">
      <c r="B346" s="61"/>
      <c r="C346" s="61"/>
    </row>
    <row r="347" spans="2:3" x14ac:dyDescent="0.25">
      <c r="B347" s="61"/>
      <c r="C347" s="61"/>
    </row>
    <row r="348" spans="2:3" x14ac:dyDescent="0.25">
      <c r="B348" s="61"/>
      <c r="C348" s="61"/>
    </row>
    <row r="349" spans="2:3" x14ac:dyDescent="0.25">
      <c r="B349" s="61"/>
      <c r="C349" s="61"/>
    </row>
    <row r="350" spans="2:3" x14ac:dyDescent="0.25">
      <c r="B350" s="61"/>
      <c r="C350" s="61"/>
    </row>
    <row r="351" spans="2:3" x14ac:dyDescent="0.25">
      <c r="B351" s="61"/>
      <c r="C351" s="61"/>
    </row>
    <row r="352" spans="2:3" x14ac:dyDescent="0.25">
      <c r="B352" s="61"/>
      <c r="C352" s="61"/>
    </row>
    <row r="353" spans="2:3" x14ac:dyDescent="0.25">
      <c r="B353" s="61"/>
      <c r="C353" s="61"/>
    </row>
    <row r="354" spans="2:3" x14ac:dyDescent="0.25">
      <c r="B354" s="61"/>
      <c r="C354" s="61"/>
    </row>
    <row r="355" spans="2:3" x14ac:dyDescent="0.25">
      <c r="B355" s="61"/>
      <c r="C355" s="61"/>
    </row>
    <row r="356" spans="2:3" x14ac:dyDescent="0.25">
      <c r="B356" s="61"/>
      <c r="C356" s="61"/>
    </row>
    <row r="357" spans="2:3" x14ac:dyDescent="0.25">
      <c r="B357" s="61"/>
      <c r="C357" s="61"/>
    </row>
    <row r="358" spans="2:3" x14ac:dyDescent="0.25">
      <c r="B358" s="61"/>
      <c r="C358" s="61"/>
    </row>
    <row r="359" spans="2:3" x14ac:dyDescent="0.25">
      <c r="B359" s="61"/>
      <c r="C359" s="61"/>
    </row>
    <row r="360" spans="2:3" x14ac:dyDescent="0.25">
      <c r="B360" s="61"/>
      <c r="C360" s="61"/>
    </row>
    <row r="361" spans="2:3" x14ac:dyDescent="0.25">
      <c r="B361" s="61"/>
      <c r="C361" s="61"/>
    </row>
    <row r="362" spans="2:3" x14ac:dyDescent="0.25">
      <c r="B362" s="61"/>
      <c r="C362" s="61"/>
    </row>
    <row r="363" spans="2:3" x14ac:dyDescent="0.25">
      <c r="B363" s="61"/>
      <c r="C363" s="61"/>
    </row>
    <row r="364" spans="2:3" x14ac:dyDescent="0.25">
      <c r="B364" s="61"/>
      <c r="C364" s="61"/>
    </row>
    <row r="365" spans="2:3" x14ac:dyDescent="0.25">
      <c r="B365" s="61"/>
      <c r="C365" s="61"/>
    </row>
    <row r="366" spans="2:3" x14ac:dyDescent="0.25">
      <c r="B366" s="61"/>
      <c r="C366" s="61"/>
    </row>
    <row r="367" spans="2:3" x14ac:dyDescent="0.25">
      <c r="B367" s="61"/>
      <c r="C367" s="61"/>
    </row>
    <row r="368" spans="2:3" x14ac:dyDescent="0.25">
      <c r="B368" s="61"/>
      <c r="C368" s="61"/>
    </row>
    <row r="369" spans="2:3" x14ac:dyDescent="0.25">
      <c r="B369" s="61"/>
      <c r="C369" s="61"/>
    </row>
    <row r="370" spans="2:3" x14ac:dyDescent="0.25">
      <c r="B370" s="61"/>
      <c r="C370" s="61"/>
    </row>
    <row r="371" spans="2:3" x14ac:dyDescent="0.25">
      <c r="B371" s="61"/>
      <c r="C371" s="61"/>
    </row>
    <row r="372" spans="2:3" x14ac:dyDescent="0.25">
      <c r="B372" s="61"/>
      <c r="C372" s="61"/>
    </row>
    <row r="373" spans="2:3" x14ac:dyDescent="0.25">
      <c r="B373" s="61"/>
      <c r="C373" s="61"/>
    </row>
    <row r="374" spans="2:3" x14ac:dyDescent="0.25">
      <c r="B374" s="61"/>
      <c r="C374" s="61"/>
    </row>
    <row r="375" spans="2:3" x14ac:dyDescent="0.25">
      <c r="B375" s="61"/>
      <c r="C375" s="61"/>
    </row>
    <row r="376" spans="2:3" x14ac:dyDescent="0.25">
      <c r="B376" s="61"/>
      <c r="C376" s="61"/>
    </row>
    <row r="377" spans="2:3" x14ac:dyDescent="0.25">
      <c r="B377" s="61"/>
      <c r="C377" s="61"/>
    </row>
    <row r="378" spans="2:3" x14ac:dyDescent="0.25">
      <c r="B378" s="61"/>
      <c r="C378" s="61"/>
    </row>
    <row r="379" spans="2:3" x14ac:dyDescent="0.25">
      <c r="B379" s="61"/>
      <c r="C379" s="61"/>
    </row>
    <row r="380" spans="2:3" x14ac:dyDescent="0.25">
      <c r="B380" s="61"/>
      <c r="C380" s="61"/>
    </row>
    <row r="381" spans="2:3" x14ac:dyDescent="0.25">
      <c r="B381" s="61"/>
      <c r="C381" s="61"/>
    </row>
    <row r="382" spans="2:3" x14ac:dyDescent="0.25">
      <c r="B382" s="61"/>
      <c r="C382" s="61"/>
    </row>
    <row r="383" spans="2:3" x14ac:dyDescent="0.25">
      <c r="B383" s="61"/>
      <c r="C383" s="61"/>
    </row>
    <row r="384" spans="2:3" x14ac:dyDescent="0.25">
      <c r="B384" s="61"/>
      <c r="C384" s="61"/>
    </row>
    <row r="385" spans="2:3" x14ac:dyDescent="0.25">
      <c r="B385" s="61"/>
      <c r="C385" s="61"/>
    </row>
    <row r="386" spans="2:3" x14ac:dyDescent="0.25">
      <c r="B386" s="61"/>
      <c r="C386" s="61"/>
    </row>
    <row r="387" spans="2:3" x14ac:dyDescent="0.25">
      <c r="B387" s="61"/>
      <c r="C387" s="61"/>
    </row>
    <row r="388" spans="2:3" x14ac:dyDescent="0.25">
      <c r="B388" s="61"/>
      <c r="C388" s="61"/>
    </row>
    <row r="389" spans="2:3" x14ac:dyDescent="0.25">
      <c r="B389" s="61"/>
      <c r="C389" s="61"/>
    </row>
    <row r="390" spans="2:3" x14ac:dyDescent="0.25">
      <c r="B390" s="61"/>
      <c r="C390" s="61"/>
    </row>
    <row r="391" spans="2:3" x14ac:dyDescent="0.25">
      <c r="B391" s="61"/>
      <c r="C391" s="61"/>
    </row>
    <row r="392" spans="2:3" x14ac:dyDescent="0.25">
      <c r="B392" s="61"/>
      <c r="C392" s="61"/>
    </row>
    <row r="393" spans="2:3" x14ac:dyDescent="0.25">
      <c r="B393" s="61"/>
      <c r="C393" s="61"/>
    </row>
    <row r="394" spans="2:3" x14ac:dyDescent="0.25">
      <c r="B394" s="61"/>
      <c r="C394" s="61"/>
    </row>
    <row r="395" spans="2:3" x14ac:dyDescent="0.25">
      <c r="B395" s="61"/>
      <c r="C395" s="61"/>
    </row>
    <row r="396" spans="2:3" x14ac:dyDescent="0.25">
      <c r="B396" s="61"/>
      <c r="C396" s="61"/>
    </row>
    <row r="397" spans="2:3" x14ac:dyDescent="0.25">
      <c r="B397" s="61"/>
      <c r="C397" s="61"/>
    </row>
    <row r="398" spans="2:3" x14ac:dyDescent="0.25">
      <c r="B398" s="61"/>
      <c r="C398" s="61"/>
    </row>
    <row r="399" spans="2:3" x14ac:dyDescent="0.25">
      <c r="B399" s="61"/>
      <c r="C399" s="61"/>
    </row>
    <row r="400" spans="2:3" x14ac:dyDescent="0.25">
      <c r="B400" s="61"/>
      <c r="C400" s="61"/>
    </row>
    <row r="401" spans="2:3" x14ac:dyDescent="0.25">
      <c r="B401" s="61"/>
      <c r="C401" s="61"/>
    </row>
    <row r="402" spans="2:3" x14ac:dyDescent="0.25">
      <c r="B402" s="61"/>
      <c r="C402" s="61"/>
    </row>
    <row r="403" spans="2:3" x14ac:dyDescent="0.25">
      <c r="B403" s="61"/>
      <c r="C403" s="61"/>
    </row>
    <row r="404" spans="2:3" x14ac:dyDescent="0.25">
      <c r="B404" s="61"/>
      <c r="C404" s="61"/>
    </row>
    <row r="405" spans="2:3" x14ac:dyDescent="0.25">
      <c r="B405" s="61"/>
      <c r="C405" s="61"/>
    </row>
    <row r="406" spans="2:3" x14ac:dyDescent="0.25">
      <c r="B406" s="61"/>
      <c r="C406" s="61"/>
    </row>
    <row r="407" spans="2:3" x14ac:dyDescent="0.25">
      <c r="B407" s="61"/>
      <c r="C407" s="61"/>
    </row>
    <row r="408" spans="2:3" x14ac:dyDescent="0.25">
      <c r="B408" s="61"/>
      <c r="C408" s="61"/>
    </row>
    <row r="409" spans="2:3" x14ac:dyDescent="0.25">
      <c r="B409" s="61"/>
      <c r="C409" s="61"/>
    </row>
    <row r="410" spans="2:3" x14ac:dyDescent="0.25">
      <c r="B410" s="61"/>
      <c r="C410" s="61"/>
    </row>
    <row r="411" spans="2:3" x14ac:dyDescent="0.25">
      <c r="B411" s="61"/>
      <c r="C411" s="61"/>
    </row>
    <row r="412" spans="2:3" x14ac:dyDescent="0.25">
      <c r="B412" s="61"/>
      <c r="C412" s="61"/>
    </row>
    <row r="413" spans="2:3" x14ac:dyDescent="0.25">
      <c r="B413" s="61"/>
      <c r="C413" s="61"/>
    </row>
    <row r="414" spans="2:3" x14ac:dyDescent="0.25">
      <c r="B414" s="61"/>
      <c r="C414" s="61"/>
    </row>
    <row r="415" spans="2:3" x14ac:dyDescent="0.25">
      <c r="B415" s="61"/>
      <c r="C415" s="61"/>
    </row>
    <row r="416" spans="2:3" x14ac:dyDescent="0.25">
      <c r="B416" s="61"/>
      <c r="C416" s="61"/>
    </row>
    <row r="417" spans="2:3" x14ac:dyDescent="0.25">
      <c r="B417" s="61"/>
      <c r="C417" s="61"/>
    </row>
    <row r="418" spans="2:3" x14ac:dyDescent="0.25">
      <c r="B418" s="61"/>
      <c r="C418" s="61"/>
    </row>
    <row r="419" spans="2:3" x14ac:dyDescent="0.25">
      <c r="B419" s="61"/>
      <c r="C419" s="61"/>
    </row>
    <row r="420" spans="2:3" x14ac:dyDescent="0.25">
      <c r="B420" s="61"/>
      <c r="C420" s="61"/>
    </row>
    <row r="421" spans="2:3" x14ac:dyDescent="0.25">
      <c r="B421" s="61"/>
      <c r="C421" s="61"/>
    </row>
    <row r="422" spans="2:3" x14ac:dyDescent="0.25">
      <c r="B422" s="61"/>
      <c r="C422" s="61"/>
    </row>
    <row r="423" spans="2:3" x14ac:dyDescent="0.25">
      <c r="B423" s="61"/>
      <c r="C423" s="61"/>
    </row>
    <row r="424" spans="2:3" x14ac:dyDescent="0.25">
      <c r="B424" s="61"/>
      <c r="C424" s="61"/>
    </row>
    <row r="425" spans="2:3" x14ac:dyDescent="0.25">
      <c r="B425" s="61"/>
      <c r="C425" s="61"/>
    </row>
    <row r="426" spans="2:3" x14ac:dyDescent="0.25">
      <c r="B426" s="61"/>
      <c r="C426" s="61"/>
    </row>
    <row r="427" spans="2:3" x14ac:dyDescent="0.25">
      <c r="B427" s="61"/>
      <c r="C427" s="61"/>
    </row>
    <row r="428" spans="2:3" x14ac:dyDescent="0.25">
      <c r="B428" s="61"/>
      <c r="C428" s="61"/>
    </row>
    <row r="429" spans="2:3" x14ac:dyDescent="0.25">
      <c r="B429" s="61"/>
      <c r="C429" s="61"/>
    </row>
    <row r="430" spans="2:3" x14ac:dyDescent="0.25">
      <c r="B430" s="61"/>
      <c r="C430" s="61"/>
    </row>
    <row r="431" spans="2:3" x14ac:dyDescent="0.25">
      <c r="B431" s="61"/>
      <c r="C431" s="61"/>
    </row>
    <row r="432" spans="2:3" x14ac:dyDescent="0.25">
      <c r="B432" s="61"/>
      <c r="C432" s="61"/>
    </row>
    <row r="433" spans="2:3" x14ac:dyDescent="0.25">
      <c r="B433" s="61"/>
      <c r="C433" s="61"/>
    </row>
    <row r="434" spans="2:3" x14ac:dyDescent="0.25">
      <c r="B434" s="61"/>
      <c r="C434" s="61"/>
    </row>
    <row r="435" spans="2:3" x14ac:dyDescent="0.25">
      <c r="B435" s="61"/>
      <c r="C435" s="61"/>
    </row>
    <row r="436" spans="2:3" x14ac:dyDescent="0.25">
      <c r="B436" s="61"/>
      <c r="C436" s="61"/>
    </row>
    <row r="437" spans="2:3" x14ac:dyDescent="0.25">
      <c r="B437" s="61"/>
      <c r="C437" s="61"/>
    </row>
    <row r="438" spans="2:3" x14ac:dyDescent="0.25">
      <c r="B438" s="61"/>
      <c r="C438" s="61"/>
    </row>
    <row r="439" spans="2:3" x14ac:dyDescent="0.25">
      <c r="B439" s="61"/>
      <c r="C439" s="61"/>
    </row>
    <row r="440" spans="2:3" x14ac:dyDescent="0.25">
      <c r="B440" s="61"/>
      <c r="C440" s="61"/>
    </row>
    <row r="441" spans="2:3" x14ac:dyDescent="0.25">
      <c r="B441" s="61"/>
      <c r="C441" s="61"/>
    </row>
    <row r="442" spans="2:3" x14ac:dyDescent="0.25">
      <c r="B442" s="61"/>
      <c r="C442" s="61"/>
    </row>
    <row r="443" spans="2:3" x14ac:dyDescent="0.25">
      <c r="B443" s="61"/>
      <c r="C443" s="61"/>
    </row>
    <row r="444" spans="2:3" x14ac:dyDescent="0.25">
      <c r="B444" s="61"/>
      <c r="C444" s="61"/>
    </row>
    <row r="445" spans="2:3" x14ac:dyDescent="0.25">
      <c r="B445" s="61"/>
      <c r="C445" s="61"/>
    </row>
    <row r="446" spans="2:3" x14ac:dyDescent="0.25">
      <c r="B446" s="61"/>
      <c r="C446" s="61"/>
    </row>
    <row r="447" spans="2:3" x14ac:dyDescent="0.25">
      <c r="B447" s="61"/>
      <c r="C447" s="61"/>
    </row>
    <row r="448" spans="2:3" x14ac:dyDescent="0.25">
      <c r="B448" s="61"/>
      <c r="C448" s="61"/>
    </row>
    <row r="449" spans="2:3" x14ac:dyDescent="0.25">
      <c r="B449" s="61"/>
      <c r="C449" s="61"/>
    </row>
    <row r="450" spans="2:3" x14ac:dyDescent="0.25">
      <c r="B450" s="61"/>
      <c r="C450" s="61"/>
    </row>
    <row r="451" spans="2:3" x14ac:dyDescent="0.25">
      <c r="B451" s="61"/>
      <c r="C451" s="61"/>
    </row>
    <row r="452" spans="2:3" x14ac:dyDescent="0.25">
      <c r="B452" s="61"/>
      <c r="C452" s="61"/>
    </row>
    <row r="453" spans="2:3" x14ac:dyDescent="0.25">
      <c r="B453" s="61"/>
      <c r="C453" s="61"/>
    </row>
    <row r="454" spans="2:3" x14ac:dyDescent="0.25">
      <c r="B454" s="61"/>
      <c r="C454" s="61"/>
    </row>
    <row r="455" spans="2:3" x14ac:dyDescent="0.25">
      <c r="B455" s="61"/>
      <c r="C455" s="61"/>
    </row>
    <row r="456" spans="2:3" x14ac:dyDescent="0.25">
      <c r="B456" s="61"/>
      <c r="C456" s="61"/>
    </row>
    <row r="457" spans="2:3" x14ac:dyDescent="0.25">
      <c r="B457" s="61"/>
      <c r="C457" s="61"/>
    </row>
    <row r="458" spans="2:3" x14ac:dyDescent="0.25">
      <c r="B458" s="61"/>
      <c r="C458" s="61"/>
    </row>
    <row r="459" spans="2:3" x14ac:dyDescent="0.25">
      <c r="B459" s="61"/>
      <c r="C459" s="61"/>
    </row>
    <row r="460" spans="2:3" x14ac:dyDescent="0.25">
      <c r="B460" s="61"/>
      <c r="C460" s="61"/>
    </row>
    <row r="461" spans="2:3" x14ac:dyDescent="0.25">
      <c r="B461" s="61"/>
      <c r="C461" s="61"/>
    </row>
    <row r="462" spans="2:3" x14ac:dyDescent="0.25">
      <c r="B462" s="61"/>
      <c r="C462" s="61"/>
    </row>
    <row r="463" spans="2:3" x14ac:dyDescent="0.25">
      <c r="B463" s="61"/>
      <c r="C463" s="61"/>
    </row>
    <row r="464" spans="2:3" x14ac:dyDescent="0.25">
      <c r="B464" s="61"/>
      <c r="C464" s="61"/>
    </row>
    <row r="465" spans="2:3" x14ac:dyDescent="0.25">
      <c r="B465" s="61"/>
      <c r="C465" s="61"/>
    </row>
    <row r="466" spans="2:3" x14ac:dyDescent="0.25">
      <c r="B466" s="61"/>
      <c r="C466" s="61"/>
    </row>
    <row r="467" spans="2:3" x14ac:dyDescent="0.25">
      <c r="B467" s="61"/>
      <c r="C467" s="61"/>
    </row>
    <row r="468" spans="2:3" x14ac:dyDescent="0.25">
      <c r="B468" s="61"/>
      <c r="C468" s="61"/>
    </row>
    <row r="469" spans="2:3" x14ac:dyDescent="0.25">
      <c r="B469" s="61"/>
      <c r="C469" s="61"/>
    </row>
    <row r="470" spans="2:3" x14ac:dyDescent="0.25">
      <c r="B470" s="61"/>
      <c r="C470" s="61"/>
    </row>
    <row r="471" spans="2:3" x14ac:dyDescent="0.25">
      <c r="B471" s="61"/>
      <c r="C471" s="61"/>
    </row>
    <row r="472" spans="2:3" x14ac:dyDescent="0.25">
      <c r="B472" s="61"/>
      <c r="C472" s="61"/>
    </row>
    <row r="473" spans="2:3" x14ac:dyDescent="0.25">
      <c r="B473" s="61"/>
      <c r="C473" s="61"/>
    </row>
    <row r="474" spans="2:3" x14ac:dyDescent="0.25">
      <c r="B474" s="61"/>
      <c r="C474" s="61"/>
    </row>
    <row r="475" spans="2:3" x14ac:dyDescent="0.25">
      <c r="B475" s="61"/>
      <c r="C475" s="61"/>
    </row>
    <row r="476" spans="2:3" x14ac:dyDescent="0.25">
      <c r="B476" s="61"/>
      <c r="C476" s="61"/>
    </row>
    <row r="477" spans="2:3" x14ac:dyDescent="0.25">
      <c r="B477" s="61"/>
      <c r="C477" s="61"/>
    </row>
    <row r="478" spans="2:3" x14ac:dyDescent="0.25">
      <c r="B478" s="61"/>
      <c r="C478" s="61"/>
    </row>
    <row r="479" spans="2:3" x14ac:dyDescent="0.25">
      <c r="B479" s="61"/>
      <c r="C479" s="61"/>
    </row>
    <row r="480" spans="2:3" x14ac:dyDescent="0.25">
      <c r="B480" s="61"/>
      <c r="C480" s="61"/>
    </row>
    <row r="481" spans="2:3" x14ac:dyDescent="0.25">
      <c r="B481" s="61"/>
      <c r="C481" s="61"/>
    </row>
    <row r="482" spans="2:3" x14ac:dyDescent="0.25">
      <c r="B482" s="61"/>
      <c r="C482" s="61"/>
    </row>
    <row r="483" spans="2:3" x14ac:dyDescent="0.25">
      <c r="B483" s="61"/>
      <c r="C483" s="61"/>
    </row>
    <row r="484" spans="2:3" x14ac:dyDescent="0.25">
      <c r="B484" s="61"/>
      <c r="C484" s="61"/>
    </row>
    <row r="485" spans="2:3" x14ac:dyDescent="0.25">
      <c r="B485" s="61"/>
      <c r="C485" s="61"/>
    </row>
    <row r="486" spans="2:3" x14ac:dyDescent="0.25">
      <c r="B486" s="61"/>
      <c r="C486" s="61"/>
    </row>
    <row r="487" spans="2:3" x14ac:dyDescent="0.25">
      <c r="B487" s="61"/>
      <c r="C487" s="61"/>
    </row>
    <row r="488" spans="2:3" x14ac:dyDescent="0.25">
      <c r="B488" s="61"/>
      <c r="C488" s="61"/>
    </row>
    <row r="489" spans="2:3" x14ac:dyDescent="0.25">
      <c r="B489" s="61"/>
      <c r="C489" s="61"/>
    </row>
    <row r="490" spans="2:3" x14ac:dyDescent="0.25">
      <c r="B490" s="61"/>
      <c r="C490" s="61"/>
    </row>
    <row r="491" spans="2:3" x14ac:dyDescent="0.25">
      <c r="B491" s="61"/>
      <c r="C491" s="61"/>
    </row>
    <row r="492" spans="2:3" x14ac:dyDescent="0.25">
      <c r="B492" s="61"/>
      <c r="C492" s="61"/>
    </row>
    <row r="493" spans="2:3" x14ac:dyDescent="0.25">
      <c r="B493" s="61"/>
      <c r="C493" s="61"/>
    </row>
    <row r="494" spans="2:3" x14ac:dyDescent="0.25">
      <c r="B494" s="61"/>
      <c r="C494" s="61"/>
    </row>
    <row r="495" spans="2:3" x14ac:dyDescent="0.25">
      <c r="B495" s="61"/>
      <c r="C495" s="61"/>
    </row>
    <row r="496" spans="2:3" x14ac:dyDescent="0.25">
      <c r="B496" s="61"/>
      <c r="C496" s="61"/>
    </row>
    <row r="497" spans="2:3" x14ac:dyDescent="0.25">
      <c r="B497" s="61"/>
      <c r="C497" s="61"/>
    </row>
    <row r="498" spans="2:3" x14ac:dyDescent="0.25">
      <c r="B498" s="61"/>
      <c r="C498" s="61"/>
    </row>
    <row r="499" spans="2:3" x14ac:dyDescent="0.25">
      <c r="B499" s="61"/>
      <c r="C499" s="61"/>
    </row>
    <row r="500" spans="2:3" x14ac:dyDescent="0.25">
      <c r="B500" s="61"/>
      <c r="C500" s="61"/>
    </row>
    <row r="501" spans="2:3" x14ac:dyDescent="0.25">
      <c r="B501" s="61"/>
      <c r="C501" s="61"/>
    </row>
    <row r="502" spans="2:3" x14ac:dyDescent="0.25">
      <c r="B502" s="61"/>
      <c r="C502" s="61"/>
    </row>
    <row r="503" spans="2:3" x14ac:dyDescent="0.25">
      <c r="B503" s="61"/>
      <c r="C503" s="61"/>
    </row>
    <row r="504" spans="2:3" x14ac:dyDescent="0.25">
      <c r="B504" s="61"/>
      <c r="C504" s="61"/>
    </row>
    <row r="505" spans="2:3" x14ac:dyDescent="0.25">
      <c r="B505" s="61"/>
      <c r="C505" s="61"/>
    </row>
    <row r="506" spans="2:3" x14ac:dyDescent="0.25">
      <c r="B506" s="61"/>
      <c r="C506" s="61"/>
    </row>
    <row r="507" spans="2:3" x14ac:dyDescent="0.25">
      <c r="B507" s="61"/>
      <c r="C507" s="61"/>
    </row>
    <row r="508" spans="2:3" x14ac:dyDescent="0.25">
      <c r="B508" s="61"/>
      <c r="C508" s="61"/>
    </row>
    <row r="509" spans="2:3" x14ac:dyDescent="0.25">
      <c r="B509" s="61"/>
      <c r="C509" s="61"/>
    </row>
    <row r="510" spans="2:3" x14ac:dyDescent="0.25">
      <c r="B510" s="61"/>
      <c r="C510" s="61"/>
    </row>
    <row r="511" spans="2:3" x14ac:dyDescent="0.25">
      <c r="B511" s="61"/>
      <c r="C511" s="61"/>
    </row>
    <row r="512" spans="2:3" x14ac:dyDescent="0.25">
      <c r="B512" s="61"/>
      <c r="C512" s="61"/>
    </row>
    <row r="513" spans="2:3" x14ac:dyDescent="0.25">
      <c r="B513" s="61"/>
      <c r="C513" s="61"/>
    </row>
    <row r="514" spans="2:3" x14ac:dyDescent="0.25">
      <c r="B514" s="61"/>
      <c r="C514" s="61"/>
    </row>
    <row r="515" spans="2:3" x14ac:dyDescent="0.25">
      <c r="B515" s="61"/>
      <c r="C515" s="61"/>
    </row>
    <row r="516" spans="2:3" x14ac:dyDescent="0.25">
      <c r="B516" s="61"/>
      <c r="C516" s="61"/>
    </row>
    <row r="517" spans="2:3" x14ac:dyDescent="0.25">
      <c r="B517" s="61"/>
      <c r="C517" s="61"/>
    </row>
    <row r="518" spans="2:3" x14ac:dyDescent="0.25">
      <c r="B518" s="61"/>
      <c r="C518" s="61"/>
    </row>
    <row r="519" spans="2:3" x14ac:dyDescent="0.25">
      <c r="B519" s="61"/>
      <c r="C519" s="61"/>
    </row>
    <row r="520" spans="2:3" x14ac:dyDescent="0.25">
      <c r="B520" s="61"/>
      <c r="C520" s="61"/>
    </row>
    <row r="521" spans="2:3" x14ac:dyDescent="0.25">
      <c r="B521" s="61"/>
      <c r="C521" s="61"/>
    </row>
    <row r="522" spans="2:3" x14ac:dyDescent="0.25">
      <c r="B522" s="61"/>
      <c r="C522" s="61"/>
    </row>
    <row r="523" spans="2:3" x14ac:dyDescent="0.25">
      <c r="B523" s="61"/>
      <c r="C523" s="61"/>
    </row>
    <row r="524" spans="2:3" x14ac:dyDescent="0.25">
      <c r="B524" s="61"/>
      <c r="C524" s="61"/>
    </row>
    <row r="525" spans="2:3" x14ac:dyDescent="0.25">
      <c r="B525" s="61"/>
      <c r="C525" s="61"/>
    </row>
    <row r="526" spans="2:3" x14ac:dyDescent="0.25">
      <c r="B526" s="61"/>
      <c r="C526" s="61"/>
    </row>
    <row r="527" spans="2:3" x14ac:dyDescent="0.25">
      <c r="B527" s="61"/>
      <c r="C527" s="61"/>
    </row>
    <row r="528" spans="2:3" x14ac:dyDescent="0.25">
      <c r="B528" s="61"/>
      <c r="C528" s="61"/>
    </row>
    <row r="529" spans="2:3" x14ac:dyDescent="0.25">
      <c r="B529" s="61"/>
      <c r="C529" s="61"/>
    </row>
    <row r="530" spans="2:3" x14ac:dyDescent="0.25">
      <c r="B530" s="61"/>
      <c r="C530" s="61"/>
    </row>
    <row r="531" spans="2:3" x14ac:dyDescent="0.25">
      <c r="B531" s="61"/>
      <c r="C531" s="61"/>
    </row>
    <row r="532" spans="2:3" x14ac:dyDescent="0.25">
      <c r="B532" s="61"/>
      <c r="C532" s="61"/>
    </row>
    <row r="533" spans="2:3" x14ac:dyDescent="0.25">
      <c r="B533" s="61"/>
      <c r="C533" s="61"/>
    </row>
    <row r="534" spans="2:3" x14ac:dyDescent="0.25">
      <c r="B534" s="61"/>
      <c r="C534" s="61"/>
    </row>
    <row r="535" spans="2:3" x14ac:dyDescent="0.25">
      <c r="B535" s="61"/>
      <c r="C535" s="61"/>
    </row>
    <row r="536" spans="2:3" x14ac:dyDescent="0.25">
      <c r="B536" s="61"/>
      <c r="C536" s="61"/>
    </row>
    <row r="537" spans="2:3" x14ac:dyDescent="0.25">
      <c r="B537" s="61"/>
      <c r="C537" s="61"/>
    </row>
    <row r="538" spans="2:3" x14ac:dyDescent="0.25">
      <c r="B538" s="61"/>
      <c r="C538" s="61"/>
    </row>
    <row r="539" spans="2:3" x14ac:dyDescent="0.25">
      <c r="B539" s="61"/>
      <c r="C539" s="61"/>
    </row>
    <row r="540" spans="2:3" x14ac:dyDescent="0.25">
      <c r="B540" s="61"/>
      <c r="C540" s="61"/>
    </row>
    <row r="541" spans="2:3" x14ac:dyDescent="0.25">
      <c r="B541" s="61"/>
      <c r="C541" s="61"/>
    </row>
    <row r="542" spans="2:3" x14ac:dyDescent="0.25">
      <c r="B542" s="61"/>
      <c r="C542" s="61"/>
    </row>
    <row r="543" spans="2:3" x14ac:dyDescent="0.25">
      <c r="B543" s="61"/>
      <c r="C543" s="61"/>
    </row>
    <row r="544" spans="2:3" x14ac:dyDescent="0.25">
      <c r="B544" s="61"/>
      <c r="C544" s="61"/>
    </row>
    <row r="545" spans="2:3" x14ac:dyDescent="0.25">
      <c r="B545" s="61"/>
      <c r="C545" s="61"/>
    </row>
    <row r="546" spans="2:3" x14ac:dyDescent="0.25">
      <c r="B546" s="61"/>
      <c r="C546" s="61"/>
    </row>
    <row r="547" spans="2:3" x14ac:dyDescent="0.25">
      <c r="B547" s="61"/>
      <c r="C547" s="61"/>
    </row>
    <row r="548" spans="2:3" x14ac:dyDescent="0.25">
      <c r="B548" s="61"/>
      <c r="C548" s="61"/>
    </row>
    <row r="549" spans="2:3" x14ac:dyDescent="0.25">
      <c r="B549" s="61"/>
      <c r="C549" s="61"/>
    </row>
    <row r="550" spans="2:3" x14ac:dyDescent="0.25">
      <c r="B550" s="61"/>
      <c r="C550" s="61"/>
    </row>
    <row r="551" spans="2:3" x14ac:dyDescent="0.25">
      <c r="B551" s="61"/>
      <c r="C551" s="61"/>
    </row>
    <row r="552" spans="2:3" x14ac:dyDescent="0.25">
      <c r="B552" s="61"/>
      <c r="C552" s="61"/>
    </row>
    <row r="553" spans="2:3" x14ac:dyDescent="0.25">
      <c r="B553" s="61"/>
      <c r="C553" s="61"/>
    </row>
    <row r="554" spans="2:3" x14ac:dyDescent="0.25">
      <c r="B554" s="61"/>
      <c r="C554" s="61"/>
    </row>
    <row r="555" spans="2:3" x14ac:dyDescent="0.25">
      <c r="B555" s="61"/>
      <c r="C555" s="61"/>
    </row>
    <row r="556" spans="2:3" x14ac:dyDescent="0.25">
      <c r="B556" s="61"/>
      <c r="C556" s="61"/>
    </row>
    <row r="557" spans="2:3" x14ac:dyDescent="0.25">
      <c r="B557" s="61"/>
      <c r="C557" s="61"/>
    </row>
    <row r="558" spans="2:3" x14ac:dyDescent="0.25">
      <c r="B558" s="61"/>
      <c r="C558" s="61"/>
    </row>
    <row r="559" spans="2:3" x14ac:dyDescent="0.25">
      <c r="B559" s="61"/>
      <c r="C559" s="61"/>
    </row>
    <row r="560" spans="2:3" x14ac:dyDescent="0.25">
      <c r="B560" s="61"/>
      <c r="C560" s="61"/>
    </row>
    <row r="561" spans="2:3" x14ac:dyDescent="0.25">
      <c r="B561" s="61"/>
      <c r="C561" s="61"/>
    </row>
    <row r="562" spans="2:3" x14ac:dyDescent="0.25">
      <c r="B562" s="61"/>
      <c r="C562" s="61"/>
    </row>
    <row r="563" spans="2:3" x14ac:dyDescent="0.25">
      <c r="B563" s="61"/>
      <c r="C563" s="61"/>
    </row>
    <row r="564" spans="2:3" x14ac:dyDescent="0.25">
      <c r="B564" s="61"/>
      <c r="C564" s="61"/>
    </row>
    <row r="565" spans="2:3" x14ac:dyDescent="0.25">
      <c r="B565" s="61"/>
      <c r="C565" s="61"/>
    </row>
    <row r="566" spans="2:3" x14ac:dyDescent="0.25">
      <c r="B566" s="61"/>
      <c r="C566" s="61"/>
    </row>
    <row r="567" spans="2:3" x14ac:dyDescent="0.25">
      <c r="B567" s="61"/>
      <c r="C567" s="61"/>
    </row>
    <row r="568" spans="2:3" x14ac:dyDescent="0.25">
      <c r="B568" s="61"/>
      <c r="C568" s="61"/>
    </row>
    <row r="569" spans="2:3" x14ac:dyDescent="0.25">
      <c r="B569" s="61"/>
      <c r="C569" s="61"/>
    </row>
    <row r="570" spans="2:3" x14ac:dyDescent="0.25">
      <c r="B570" s="61"/>
      <c r="C570" s="61"/>
    </row>
    <row r="571" spans="2:3" x14ac:dyDescent="0.25">
      <c r="B571" s="61"/>
      <c r="C571" s="61"/>
    </row>
    <row r="572" spans="2:3" x14ac:dyDescent="0.25">
      <c r="B572" s="61"/>
      <c r="C572" s="61"/>
    </row>
    <row r="573" spans="2:3" x14ac:dyDescent="0.25">
      <c r="B573" s="61"/>
      <c r="C573" s="61"/>
    </row>
    <row r="574" spans="2:3" x14ac:dyDescent="0.25">
      <c r="B574" s="61"/>
      <c r="C574" s="61"/>
    </row>
    <row r="575" spans="2:3" x14ac:dyDescent="0.25">
      <c r="B575" s="61"/>
      <c r="C575" s="61"/>
    </row>
    <row r="576" spans="2:3" x14ac:dyDescent="0.25">
      <c r="B576" s="61"/>
      <c r="C576" s="61"/>
    </row>
    <row r="577" spans="2:3" x14ac:dyDescent="0.25">
      <c r="B577" s="61"/>
      <c r="C577" s="61"/>
    </row>
    <row r="578" spans="2:3" x14ac:dyDescent="0.25">
      <c r="B578" s="61"/>
      <c r="C578" s="61"/>
    </row>
    <row r="579" spans="2:3" x14ac:dyDescent="0.25">
      <c r="B579" s="61"/>
      <c r="C579" s="61"/>
    </row>
    <row r="580" spans="2:3" x14ac:dyDescent="0.25">
      <c r="B580" s="61"/>
      <c r="C580" s="61"/>
    </row>
    <row r="581" spans="2:3" x14ac:dyDescent="0.25">
      <c r="B581" s="61"/>
      <c r="C581" s="61"/>
    </row>
    <row r="582" spans="2:3" x14ac:dyDescent="0.25">
      <c r="B582" s="61"/>
      <c r="C582" s="61"/>
    </row>
    <row r="583" spans="2:3" x14ac:dyDescent="0.25">
      <c r="B583" s="61"/>
      <c r="C583" s="61"/>
    </row>
    <row r="584" spans="2:3" x14ac:dyDescent="0.25">
      <c r="B584" s="61"/>
      <c r="C584" s="61"/>
    </row>
    <row r="585" spans="2:3" x14ac:dyDescent="0.25">
      <c r="B585" s="61"/>
      <c r="C585" s="61"/>
    </row>
    <row r="586" spans="2:3" x14ac:dyDescent="0.25">
      <c r="B586" s="61"/>
      <c r="C586" s="61"/>
    </row>
    <row r="587" spans="2:3" x14ac:dyDescent="0.25">
      <c r="B587" s="61"/>
      <c r="C587" s="61"/>
    </row>
    <row r="588" spans="2:3" x14ac:dyDescent="0.25">
      <c r="B588" s="61"/>
      <c r="C588" s="61"/>
    </row>
    <row r="589" spans="2:3" x14ac:dyDescent="0.25">
      <c r="B589" s="61"/>
      <c r="C589" s="61"/>
    </row>
    <row r="590" spans="2:3" x14ac:dyDescent="0.25">
      <c r="B590" s="61"/>
      <c r="C590" s="61"/>
    </row>
    <row r="591" spans="2:3" x14ac:dyDescent="0.25">
      <c r="B591" s="61"/>
      <c r="C591" s="61"/>
    </row>
    <row r="592" spans="2:3" x14ac:dyDescent="0.25">
      <c r="B592" s="61"/>
      <c r="C592" s="61"/>
    </row>
    <row r="593" spans="2:3" x14ac:dyDescent="0.25">
      <c r="B593" s="61"/>
      <c r="C593" s="61"/>
    </row>
    <row r="594" spans="2:3" x14ac:dyDescent="0.25">
      <c r="B594" s="61"/>
      <c r="C594" s="61"/>
    </row>
    <row r="595" spans="2:3" x14ac:dyDescent="0.25">
      <c r="B595" s="61"/>
      <c r="C595" s="61"/>
    </row>
    <row r="596" spans="2:3" x14ac:dyDescent="0.25">
      <c r="B596" s="61"/>
      <c r="C596" s="61"/>
    </row>
    <row r="597" spans="2:3" x14ac:dyDescent="0.25">
      <c r="B597" s="61"/>
      <c r="C597" s="61"/>
    </row>
    <row r="598" spans="2:3" x14ac:dyDescent="0.25">
      <c r="B598" s="61"/>
      <c r="C598" s="61"/>
    </row>
    <row r="599" spans="2:3" x14ac:dyDescent="0.25">
      <c r="B599" s="61"/>
      <c r="C599" s="61"/>
    </row>
    <row r="600" spans="2:3" x14ac:dyDescent="0.25">
      <c r="B600" s="61"/>
      <c r="C600" s="61"/>
    </row>
    <row r="601" spans="2:3" x14ac:dyDescent="0.25">
      <c r="B601" s="61"/>
      <c r="C601" s="61"/>
    </row>
    <row r="602" spans="2:3" x14ac:dyDescent="0.25">
      <c r="B602" s="61"/>
      <c r="C602" s="61"/>
    </row>
    <row r="603" spans="2:3" x14ac:dyDescent="0.25">
      <c r="B603" s="61"/>
      <c r="C603" s="61"/>
    </row>
    <row r="604" spans="2:3" x14ac:dyDescent="0.25">
      <c r="B604" s="61"/>
      <c r="C604" s="61"/>
    </row>
    <row r="605" spans="2:3" x14ac:dyDescent="0.25">
      <c r="B605" s="61"/>
      <c r="C605" s="61"/>
    </row>
    <row r="606" spans="2:3" x14ac:dyDescent="0.25">
      <c r="B606" s="61"/>
      <c r="C606" s="61"/>
    </row>
    <row r="607" spans="2:3" x14ac:dyDescent="0.25">
      <c r="B607" s="61"/>
      <c r="C607" s="61"/>
    </row>
    <row r="608" spans="2:3" x14ac:dyDescent="0.25">
      <c r="B608" s="61"/>
      <c r="C608" s="61"/>
    </row>
    <row r="609" spans="2:3" x14ac:dyDescent="0.25">
      <c r="B609" s="61"/>
      <c r="C609" s="61"/>
    </row>
    <row r="610" spans="2:3" x14ac:dyDescent="0.25">
      <c r="B610" s="61"/>
      <c r="C610" s="61"/>
    </row>
    <row r="611" spans="2:3" x14ac:dyDescent="0.25">
      <c r="B611" s="61"/>
      <c r="C611" s="61"/>
    </row>
    <row r="612" spans="2:3" x14ac:dyDescent="0.25">
      <c r="B612" s="61"/>
      <c r="C612" s="61"/>
    </row>
    <row r="613" spans="2:3" x14ac:dyDescent="0.25">
      <c r="B613" s="61"/>
      <c r="C613" s="61"/>
    </row>
    <row r="614" spans="2:3" x14ac:dyDescent="0.25">
      <c r="B614" s="61"/>
      <c r="C614" s="61"/>
    </row>
    <row r="615" spans="2:3" x14ac:dyDescent="0.25">
      <c r="B615" s="61"/>
      <c r="C615" s="61"/>
    </row>
    <row r="616" spans="2:3" x14ac:dyDescent="0.25">
      <c r="B616" s="61"/>
      <c r="C616" s="61"/>
    </row>
    <row r="617" spans="2:3" x14ac:dyDescent="0.25">
      <c r="B617" s="61"/>
      <c r="C617" s="61"/>
    </row>
    <row r="618" spans="2:3" x14ac:dyDescent="0.25">
      <c r="B618" s="61"/>
      <c r="C618" s="61"/>
    </row>
    <row r="619" spans="2:3" x14ac:dyDescent="0.25">
      <c r="B619" s="61"/>
      <c r="C619" s="61"/>
    </row>
    <row r="620" spans="2:3" x14ac:dyDescent="0.25">
      <c r="B620" s="61"/>
      <c r="C620" s="61"/>
    </row>
    <row r="621" spans="2:3" x14ac:dyDescent="0.25">
      <c r="B621" s="61"/>
      <c r="C621" s="61"/>
    </row>
    <row r="622" spans="2:3" x14ac:dyDescent="0.25">
      <c r="B622" s="61"/>
      <c r="C622" s="61"/>
    </row>
    <row r="623" spans="2:3" x14ac:dyDescent="0.25">
      <c r="B623" s="61"/>
      <c r="C623" s="61"/>
    </row>
    <row r="624" spans="2:3" x14ac:dyDescent="0.25">
      <c r="B624" s="61"/>
      <c r="C624" s="61"/>
    </row>
    <row r="625" spans="2:3" x14ac:dyDescent="0.25">
      <c r="B625" s="61"/>
      <c r="C625" s="61"/>
    </row>
    <row r="626" spans="2:3" x14ac:dyDescent="0.25">
      <c r="B626" s="61"/>
      <c r="C626" s="61"/>
    </row>
    <row r="627" spans="2:3" x14ac:dyDescent="0.25">
      <c r="B627" s="61"/>
      <c r="C627" s="61"/>
    </row>
    <row r="628" spans="2:3" x14ac:dyDescent="0.25">
      <c r="B628" s="61"/>
      <c r="C628" s="61"/>
    </row>
    <row r="629" spans="2:3" x14ac:dyDescent="0.25">
      <c r="B629" s="61"/>
      <c r="C629" s="61"/>
    </row>
    <row r="630" spans="2:3" x14ac:dyDescent="0.25">
      <c r="B630" s="61"/>
      <c r="C630" s="61"/>
    </row>
    <row r="631" spans="2:3" x14ac:dyDescent="0.25">
      <c r="B631" s="61"/>
      <c r="C631" s="61"/>
    </row>
    <row r="632" spans="2:3" x14ac:dyDescent="0.25">
      <c r="B632" s="61"/>
      <c r="C632" s="61"/>
    </row>
    <row r="633" spans="2:3" x14ac:dyDescent="0.25">
      <c r="B633" s="61"/>
      <c r="C633" s="61"/>
    </row>
    <row r="634" spans="2:3" x14ac:dyDescent="0.25">
      <c r="B634" s="61"/>
      <c r="C634" s="61"/>
    </row>
    <row r="635" spans="2:3" x14ac:dyDescent="0.25">
      <c r="B635" s="61"/>
      <c r="C635" s="61"/>
    </row>
    <row r="636" spans="2:3" x14ac:dyDescent="0.25">
      <c r="B636" s="61"/>
      <c r="C636" s="61"/>
    </row>
    <row r="637" spans="2:3" x14ac:dyDescent="0.25">
      <c r="B637" s="61"/>
      <c r="C637" s="61"/>
    </row>
    <row r="638" spans="2:3" x14ac:dyDescent="0.25">
      <c r="B638" s="61"/>
      <c r="C638" s="61"/>
    </row>
    <row r="639" spans="2:3" x14ac:dyDescent="0.25">
      <c r="B639" s="61"/>
      <c r="C639" s="61"/>
    </row>
    <row r="640" spans="2:3" x14ac:dyDescent="0.25">
      <c r="B640" s="61"/>
      <c r="C640" s="61"/>
    </row>
    <row r="641" spans="2:3" x14ac:dyDescent="0.25">
      <c r="B641" s="61"/>
      <c r="C641" s="61"/>
    </row>
    <row r="642" spans="2:3" x14ac:dyDescent="0.25">
      <c r="B642" s="61"/>
      <c r="C642" s="61"/>
    </row>
    <row r="643" spans="2:3" x14ac:dyDescent="0.25">
      <c r="B643" s="61"/>
      <c r="C643" s="61"/>
    </row>
    <row r="644" spans="2:3" x14ac:dyDescent="0.25">
      <c r="B644" s="61"/>
      <c r="C644" s="61"/>
    </row>
    <row r="645" spans="2:3" x14ac:dyDescent="0.25">
      <c r="B645" s="61"/>
      <c r="C645" s="61"/>
    </row>
    <row r="646" spans="2:3" x14ac:dyDescent="0.25">
      <c r="B646" s="61"/>
      <c r="C646" s="61"/>
    </row>
    <row r="647" spans="2:3" x14ac:dyDescent="0.25">
      <c r="B647" s="61"/>
      <c r="C647" s="61"/>
    </row>
    <row r="648" spans="2:3" x14ac:dyDescent="0.25">
      <c r="B648" s="61"/>
      <c r="C648" s="61"/>
    </row>
    <row r="649" spans="2:3" x14ac:dyDescent="0.25">
      <c r="B649" s="61"/>
      <c r="C649" s="61"/>
    </row>
    <row r="650" spans="2:3" x14ac:dyDescent="0.25">
      <c r="B650" s="61"/>
      <c r="C650" s="61"/>
    </row>
    <row r="651" spans="2:3" x14ac:dyDescent="0.25">
      <c r="B651" s="61"/>
      <c r="C651" s="61"/>
    </row>
    <row r="652" spans="2:3" x14ac:dyDescent="0.25">
      <c r="B652" s="61"/>
      <c r="C652" s="61"/>
    </row>
    <row r="653" spans="2:3" x14ac:dyDescent="0.25">
      <c r="B653" s="61"/>
      <c r="C653" s="61"/>
    </row>
    <row r="654" spans="2:3" x14ac:dyDescent="0.25">
      <c r="B654" s="61"/>
      <c r="C654" s="61"/>
    </row>
    <row r="655" spans="2:3" x14ac:dyDescent="0.25">
      <c r="B655" s="61"/>
      <c r="C655" s="61"/>
    </row>
    <row r="656" spans="2:3" x14ac:dyDescent="0.25">
      <c r="B656" s="61"/>
      <c r="C656" s="61"/>
    </row>
    <row r="657" spans="2:3" x14ac:dyDescent="0.25">
      <c r="B657" s="61"/>
      <c r="C657" s="61"/>
    </row>
    <row r="658" spans="2:3" x14ac:dyDescent="0.25">
      <c r="B658" s="61"/>
      <c r="C658" s="61"/>
    </row>
    <row r="659" spans="2:3" x14ac:dyDescent="0.25">
      <c r="B659" s="61"/>
      <c r="C659" s="61"/>
    </row>
    <row r="660" spans="2:3" x14ac:dyDescent="0.25">
      <c r="B660" s="61"/>
      <c r="C660" s="61"/>
    </row>
    <row r="661" spans="2:3" x14ac:dyDescent="0.25">
      <c r="B661" s="61"/>
      <c r="C661" s="61"/>
    </row>
    <row r="662" spans="2:3" x14ac:dyDescent="0.25">
      <c r="B662" s="61"/>
      <c r="C662" s="61"/>
    </row>
    <row r="663" spans="2:3" x14ac:dyDescent="0.25">
      <c r="B663" s="61"/>
      <c r="C663" s="61"/>
    </row>
    <row r="664" spans="2:3" x14ac:dyDescent="0.25">
      <c r="B664" s="61"/>
      <c r="C664" s="61"/>
    </row>
    <row r="665" spans="2:3" x14ac:dyDescent="0.25">
      <c r="B665" s="61"/>
      <c r="C665" s="61"/>
    </row>
    <row r="666" spans="2:3" x14ac:dyDescent="0.25">
      <c r="B666" s="61"/>
      <c r="C666" s="61"/>
    </row>
    <row r="667" spans="2:3" x14ac:dyDescent="0.25">
      <c r="B667" s="61"/>
      <c r="C667" s="61"/>
    </row>
    <row r="668" spans="2:3" x14ac:dyDescent="0.25">
      <c r="B668" s="61"/>
      <c r="C668" s="61"/>
    </row>
    <row r="669" spans="2:3" x14ac:dyDescent="0.25">
      <c r="B669" s="61"/>
      <c r="C669" s="61"/>
    </row>
    <row r="670" spans="2:3" x14ac:dyDescent="0.25">
      <c r="B670" s="61"/>
      <c r="C670" s="61"/>
    </row>
    <row r="671" spans="2:3" x14ac:dyDescent="0.25">
      <c r="B671" s="61"/>
      <c r="C671" s="61"/>
    </row>
    <row r="672" spans="2:3" x14ac:dyDescent="0.25">
      <c r="B672" s="61"/>
      <c r="C672" s="61"/>
    </row>
    <row r="673" spans="2:3" x14ac:dyDescent="0.25">
      <c r="B673" s="61"/>
      <c r="C673" s="61"/>
    </row>
    <row r="674" spans="2:3" x14ac:dyDescent="0.25">
      <c r="B674" s="61"/>
      <c r="C674" s="61"/>
    </row>
    <row r="675" spans="2:3" x14ac:dyDescent="0.25">
      <c r="B675" s="61"/>
      <c r="C675" s="61"/>
    </row>
    <row r="676" spans="2:3" x14ac:dyDescent="0.25">
      <c r="B676" s="61"/>
      <c r="C676" s="61"/>
    </row>
    <row r="677" spans="2:3" x14ac:dyDescent="0.25">
      <c r="B677" s="61"/>
      <c r="C677" s="61"/>
    </row>
    <row r="678" spans="2:3" x14ac:dyDescent="0.25">
      <c r="B678" s="61"/>
      <c r="C678" s="61"/>
    </row>
    <row r="679" spans="2:3" x14ac:dyDescent="0.25">
      <c r="B679" s="61"/>
      <c r="C679" s="61"/>
    </row>
    <row r="680" spans="2:3" x14ac:dyDescent="0.25">
      <c r="B680" s="61"/>
      <c r="C680" s="61"/>
    </row>
    <row r="681" spans="2:3" x14ac:dyDescent="0.25">
      <c r="B681" s="61"/>
      <c r="C681" s="61"/>
    </row>
    <row r="682" spans="2:3" x14ac:dyDescent="0.25">
      <c r="B682" s="61"/>
      <c r="C682" s="61"/>
    </row>
    <row r="683" spans="2:3" x14ac:dyDescent="0.25">
      <c r="B683" s="61"/>
      <c r="C683" s="61"/>
    </row>
    <row r="684" spans="2:3" x14ac:dyDescent="0.25">
      <c r="B684" s="61"/>
      <c r="C684" s="61"/>
    </row>
    <row r="685" spans="2:3" x14ac:dyDescent="0.25">
      <c r="B685" s="61"/>
      <c r="C685" s="61"/>
    </row>
    <row r="686" spans="2:3" x14ac:dyDescent="0.25">
      <c r="B686" s="61"/>
      <c r="C686" s="61"/>
    </row>
    <row r="687" spans="2:3" x14ac:dyDescent="0.25">
      <c r="B687" s="61"/>
      <c r="C687" s="61"/>
    </row>
    <row r="688" spans="2:3" x14ac:dyDescent="0.25">
      <c r="B688" s="61"/>
      <c r="C688" s="61"/>
    </row>
    <row r="689" spans="2:3" x14ac:dyDescent="0.25">
      <c r="B689" s="61"/>
      <c r="C689" s="61"/>
    </row>
    <row r="690" spans="2:3" x14ac:dyDescent="0.25">
      <c r="B690" s="61"/>
      <c r="C690" s="61"/>
    </row>
    <row r="691" spans="2:3" x14ac:dyDescent="0.25">
      <c r="B691" s="61"/>
      <c r="C691" s="61"/>
    </row>
    <row r="692" spans="2:3" x14ac:dyDescent="0.25">
      <c r="B692" s="61"/>
      <c r="C692" s="61"/>
    </row>
    <row r="693" spans="2:3" x14ac:dyDescent="0.25">
      <c r="B693" s="61"/>
      <c r="C693" s="61"/>
    </row>
    <row r="694" spans="2:3" x14ac:dyDescent="0.25">
      <c r="B694" s="61"/>
      <c r="C694" s="61"/>
    </row>
    <row r="695" spans="2:3" x14ac:dyDescent="0.25">
      <c r="B695" s="61"/>
      <c r="C695" s="61"/>
    </row>
    <row r="696" spans="2:3" x14ac:dyDescent="0.25">
      <c r="B696" s="61"/>
      <c r="C696" s="61"/>
    </row>
    <row r="697" spans="2:3" x14ac:dyDescent="0.25">
      <c r="B697" s="61"/>
      <c r="C697" s="61"/>
    </row>
    <row r="698" spans="2:3" x14ac:dyDescent="0.25">
      <c r="B698" s="61"/>
      <c r="C698" s="61"/>
    </row>
    <row r="699" spans="2:3" x14ac:dyDescent="0.25">
      <c r="B699" s="61"/>
      <c r="C699" s="61"/>
    </row>
    <row r="700" spans="2:3" x14ac:dyDescent="0.25">
      <c r="B700" s="61"/>
      <c r="C700" s="61"/>
    </row>
    <row r="701" spans="2:3" x14ac:dyDescent="0.25">
      <c r="B701" s="61"/>
      <c r="C701" s="61"/>
    </row>
    <row r="702" spans="2:3" x14ac:dyDescent="0.25">
      <c r="B702" s="61"/>
      <c r="C702" s="61"/>
    </row>
    <row r="703" spans="2:3" x14ac:dyDescent="0.25">
      <c r="B703" s="61"/>
      <c r="C703" s="61"/>
    </row>
    <row r="704" spans="2:3" x14ac:dyDescent="0.25">
      <c r="B704" s="61"/>
      <c r="C704" s="61"/>
    </row>
    <row r="705" spans="2:3" x14ac:dyDescent="0.25">
      <c r="B705" s="61"/>
      <c r="C705" s="61"/>
    </row>
    <row r="706" spans="2:3" x14ac:dyDescent="0.25">
      <c r="B706" s="61"/>
      <c r="C706" s="61"/>
    </row>
    <row r="707" spans="2:3" x14ac:dyDescent="0.25">
      <c r="B707" s="61"/>
      <c r="C707" s="61"/>
    </row>
    <row r="708" spans="2:3" x14ac:dyDescent="0.25">
      <c r="B708" s="61"/>
      <c r="C708" s="61"/>
    </row>
    <row r="709" spans="2:3" x14ac:dyDescent="0.25">
      <c r="B709" s="61"/>
      <c r="C709" s="61"/>
    </row>
    <row r="710" spans="2:3" x14ac:dyDescent="0.25">
      <c r="B710" s="61"/>
      <c r="C710" s="61"/>
    </row>
    <row r="711" spans="2:3" x14ac:dyDescent="0.25">
      <c r="B711" s="61"/>
      <c r="C711" s="61"/>
    </row>
    <row r="712" spans="2:3" x14ac:dyDescent="0.25">
      <c r="B712" s="61"/>
      <c r="C712" s="61"/>
    </row>
    <row r="713" spans="2:3" x14ac:dyDescent="0.25">
      <c r="B713" s="61"/>
      <c r="C713" s="61"/>
    </row>
    <row r="714" spans="2:3" x14ac:dyDescent="0.25">
      <c r="B714" s="61"/>
      <c r="C714" s="61"/>
    </row>
    <row r="715" spans="2:3" x14ac:dyDescent="0.25">
      <c r="B715" s="61"/>
      <c r="C715" s="61"/>
    </row>
    <row r="716" spans="2:3" x14ac:dyDescent="0.25">
      <c r="B716" s="61"/>
      <c r="C716" s="61"/>
    </row>
    <row r="717" spans="2:3" x14ac:dyDescent="0.25">
      <c r="B717" s="61"/>
      <c r="C717" s="61"/>
    </row>
    <row r="718" spans="2:3" x14ac:dyDescent="0.25">
      <c r="B718" s="61"/>
      <c r="C718" s="61"/>
    </row>
    <row r="719" spans="2:3" x14ac:dyDescent="0.25">
      <c r="B719" s="61"/>
      <c r="C719" s="61"/>
    </row>
    <row r="720" spans="2:3" x14ac:dyDescent="0.25">
      <c r="B720" s="61"/>
      <c r="C720" s="61"/>
    </row>
    <row r="721" spans="2:3" x14ac:dyDescent="0.25">
      <c r="B721" s="61"/>
      <c r="C721" s="61"/>
    </row>
    <row r="722" spans="2:3" x14ac:dyDescent="0.25">
      <c r="B722" s="61"/>
      <c r="C722" s="61"/>
    </row>
    <row r="723" spans="2:3" x14ac:dyDescent="0.25">
      <c r="B723" s="61"/>
      <c r="C723" s="61"/>
    </row>
    <row r="724" spans="2:3" x14ac:dyDescent="0.25">
      <c r="B724" s="61"/>
      <c r="C724" s="61"/>
    </row>
    <row r="725" spans="2:3" x14ac:dyDescent="0.25">
      <c r="B725" s="61"/>
      <c r="C725" s="61"/>
    </row>
    <row r="726" spans="2:3" x14ac:dyDescent="0.25">
      <c r="B726" s="61"/>
      <c r="C726" s="61"/>
    </row>
    <row r="727" spans="2:3" x14ac:dyDescent="0.25">
      <c r="B727" s="61"/>
      <c r="C727" s="61"/>
    </row>
    <row r="728" spans="2:3" x14ac:dyDescent="0.25">
      <c r="B728" s="61"/>
      <c r="C728" s="61"/>
    </row>
    <row r="729" spans="2:3" x14ac:dyDescent="0.25">
      <c r="B729" s="61"/>
      <c r="C729" s="61"/>
    </row>
    <row r="730" spans="2:3" x14ac:dyDescent="0.25">
      <c r="B730" s="61"/>
      <c r="C730" s="61"/>
    </row>
    <row r="731" spans="2:3" x14ac:dyDescent="0.25">
      <c r="B731" s="61"/>
      <c r="C731" s="61"/>
    </row>
    <row r="732" spans="2:3" x14ac:dyDescent="0.25">
      <c r="B732" s="61"/>
      <c r="C732" s="61"/>
    </row>
    <row r="733" spans="2:3" x14ac:dyDescent="0.25">
      <c r="B733" s="61"/>
      <c r="C733" s="61"/>
    </row>
    <row r="734" spans="2:3" x14ac:dyDescent="0.25">
      <c r="B734" s="61"/>
      <c r="C734" s="61"/>
    </row>
    <row r="735" spans="2:3" x14ac:dyDescent="0.25">
      <c r="B735" s="61"/>
      <c r="C735" s="61"/>
    </row>
    <row r="736" spans="2:3" x14ac:dyDescent="0.25">
      <c r="B736" s="61"/>
      <c r="C736" s="61"/>
    </row>
    <row r="737" spans="2:3" x14ac:dyDescent="0.25">
      <c r="B737" s="61"/>
      <c r="C737" s="61"/>
    </row>
    <row r="738" spans="2:3" x14ac:dyDescent="0.25">
      <c r="B738" s="61"/>
      <c r="C738" s="61"/>
    </row>
    <row r="739" spans="2:3" x14ac:dyDescent="0.25">
      <c r="B739" s="61"/>
      <c r="C739" s="61"/>
    </row>
    <row r="740" spans="2:3" x14ac:dyDescent="0.25">
      <c r="B740" s="61"/>
      <c r="C740" s="61"/>
    </row>
    <row r="741" spans="2:3" x14ac:dyDescent="0.25">
      <c r="B741" s="61"/>
      <c r="C741" s="61"/>
    </row>
    <row r="742" spans="2:3" x14ac:dyDescent="0.25">
      <c r="B742" s="61"/>
      <c r="C742" s="61"/>
    </row>
    <row r="743" spans="2:3" x14ac:dyDescent="0.25">
      <c r="B743" s="61"/>
      <c r="C743" s="61"/>
    </row>
    <row r="744" spans="2:3" x14ac:dyDescent="0.25">
      <c r="B744" s="61"/>
      <c r="C744" s="61"/>
    </row>
    <row r="745" spans="2:3" x14ac:dyDescent="0.25">
      <c r="B745" s="61"/>
      <c r="C745" s="61"/>
    </row>
    <row r="746" spans="2:3" x14ac:dyDescent="0.25">
      <c r="B746" s="61"/>
      <c r="C746" s="61"/>
    </row>
    <row r="747" spans="2:3" x14ac:dyDescent="0.25">
      <c r="B747" s="61"/>
      <c r="C747" s="61"/>
    </row>
    <row r="748" spans="2:3" x14ac:dyDescent="0.25">
      <c r="B748" s="61"/>
      <c r="C748" s="61"/>
    </row>
    <row r="749" spans="2:3" x14ac:dyDescent="0.25">
      <c r="B749" s="61"/>
      <c r="C749" s="61"/>
    </row>
    <row r="750" spans="2:3" x14ac:dyDescent="0.25">
      <c r="B750" s="61"/>
      <c r="C750" s="61"/>
    </row>
    <row r="751" spans="2:3" x14ac:dyDescent="0.25">
      <c r="B751" s="61"/>
      <c r="C751" s="61"/>
    </row>
    <row r="752" spans="2:3" x14ac:dyDescent="0.25">
      <c r="B752" s="61"/>
      <c r="C752" s="61"/>
    </row>
    <row r="753" spans="2:3" x14ac:dyDescent="0.25">
      <c r="B753" s="61"/>
      <c r="C753" s="61"/>
    </row>
    <row r="754" spans="2:3" x14ac:dyDescent="0.25">
      <c r="B754" s="61"/>
      <c r="C754" s="61"/>
    </row>
    <row r="755" spans="2:3" x14ac:dyDescent="0.25">
      <c r="B755" s="61"/>
      <c r="C755" s="61"/>
    </row>
    <row r="756" spans="2:3" x14ac:dyDescent="0.25">
      <c r="B756" s="61"/>
      <c r="C756" s="61"/>
    </row>
    <row r="757" spans="2:3" x14ac:dyDescent="0.25">
      <c r="B757" s="61"/>
      <c r="C757" s="61"/>
    </row>
    <row r="758" spans="2:3" x14ac:dyDescent="0.25">
      <c r="B758" s="61"/>
      <c r="C758" s="61"/>
    </row>
    <row r="759" spans="2:3" x14ac:dyDescent="0.25">
      <c r="B759" s="61"/>
      <c r="C759" s="61"/>
    </row>
    <row r="760" spans="2:3" x14ac:dyDescent="0.25">
      <c r="B760" s="61"/>
      <c r="C760" s="61"/>
    </row>
    <row r="761" spans="2:3" x14ac:dyDescent="0.25">
      <c r="B761" s="61"/>
      <c r="C761" s="61"/>
    </row>
    <row r="762" spans="2:3" x14ac:dyDescent="0.25">
      <c r="B762" s="61"/>
      <c r="C762" s="61"/>
    </row>
    <row r="763" spans="2:3" x14ac:dyDescent="0.25">
      <c r="B763" s="61"/>
      <c r="C763" s="61"/>
    </row>
    <row r="764" spans="2:3" x14ac:dyDescent="0.25">
      <c r="B764" s="61"/>
      <c r="C764" s="61"/>
    </row>
    <row r="765" spans="2:3" x14ac:dyDescent="0.25">
      <c r="B765" s="61"/>
      <c r="C765" s="61"/>
    </row>
    <row r="766" spans="2:3" x14ac:dyDescent="0.25">
      <c r="B766" s="61"/>
      <c r="C766" s="61"/>
    </row>
    <row r="767" spans="2:3" x14ac:dyDescent="0.25">
      <c r="B767" s="61"/>
      <c r="C767" s="61"/>
    </row>
    <row r="768" spans="2:3" x14ac:dyDescent="0.25">
      <c r="B768" s="61"/>
      <c r="C768" s="61"/>
    </row>
    <row r="769" spans="2:3" x14ac:dyDescent="0.25">
      <c r="B769" s="61"/>
      <c r="C769" s="61"/>
    </row>
    <row r="770" spans="2:3" x14ac:dyDescent="0.25">
      <c r="B770" s="61"/>
      <c r="C770" s="61"/>
    </row>
    <row r="771" spans="2:3" x14ac:dyDescent="0.25">
      <c r="B771" s="61"/>
      <c r="C771" s="61"/>
    </row>
    <row r="772" spans="2:3" x14ac:dyDescent="0.25">
      <c r="B772" s="61"/>
      <c r="C772" s="61"/>
    </row>
    <row r="773" spans="2:3" x14ac:dyDescent="0.25">
      <c r="B773" s="61"/>
      <c r="C773" s="61"/>
    </row>
    <row r="774" spans="2:3" x14ac:dyDescent="0.25">
      <c r="B774" s="61"/>
      <c r="C774" s="61"/>
    </row>
    <row r="775" spans="2:3" x14ac:dyDescent="0.25">
      <c r="B775" s="61"/>
      <c r="C775" s="61"/>
    </row>
    <row r="776" spans="2:3" x14ac:dyDescent="0.25">
      <c r="B776" s="61"/>
      <c r="C776" s="61"/>
    </row>
    <row r="777" spans="2:3" x14ac:dyDescent="0.25">
      <c r="B777" s="61"/>
      <c r="C777" s="61"/>
    </row>
    <row r="778" spans="2:3" x14ac:dyDescent="0.25">
      <c r="B778" s="61"/>
      <c r="C778" s="61"/>
    </row>
    <row r="779" spans="2:3" x14ac:dyDescent="0.25">
      <c r="B779" s="61"/>
      <c r="C779" s="61"/>
    </row>
    <row r="780" spans="2:3" x14ac:dyDescent="0.25">
      <c r="B780" s="61"/>
      <c r="C780" s="61"/>
    </row>
    <row r="781" spans="2:3" x14ac:dyDescent="0.25">
      <c r="B781" s="61"/>
      <c r="C781" s="61"/>
    </row>
    <row r="782" spans="2:3" x14ac:dyDescent="0.25">
      <c r="B782" s="61"/>
      <c r="C782" s="61"/>
    </row>
    <row r="783" spans="2:3" x14ac:dyDescent="0.25">
      <c r="B783" s="61"/>
      <c r="C783" s="61"/>
    </row>
    <row r="784" spans="2:3" x14ac:dyDescent="0.25">
      <c r="B784" s="61"/>
      <c r="C784" s="61"/>
    </row>
    <row r="785" spans="2:3" x14ac:dyDescent="0.25">
      <c r="B785" s="61"/>
      <c r="C785" s="61"/>
    </row>
    <row r="786" spans="2:3" x14ac:dyDescent="0.25">
      <c r="B786" s="61"/>
      <c r="C786" s="61"/>
    </row>
    <row r="787" spans="2:3" x14ac:dyDescent="0.25">
      <c r="B787" s="61"/>
      <c r="C787" s="61"/>
    </row>
    <row r="788" spans="2:3" x14ac:dyDescent="0.25">
      <c r="B788" s="61"/>
      <c r="C788" s="61"/>
    </row>
    <row r="789" spans="2:3" x14ac:dyDescent="0.25">
      <c r="B789" s="61"/>
      <c r="C789" s="61"/>
    </row>
    <row r="790" spans="2:3" x14ac:dyDescent="0.25">
      <c r="B790" s="61"/>
      <c r="C790" s="61"/>
    </row>
    <row r="791" spans="2:3" x14ac:dyDescent="0.25">
      <c r="B791" s="61"/>
      <c r="C791" s="61"/>
    </row>
    <row r="792" spans="2:3" x14ac:dyDescent="0.25">
      <c r="B792" s="61"/>
      <c r="C792" s="61"/>
    </row>
    <row r="793" spans="2:3" x14ac:dyDescent="0.25">
      <c r="B793" s="61"/>
      <c r="C793" s="61"/>
    </row>
    <row r="794" spans="2:3" x14ac:dyDescent="0.25">
      <c r="B794" s="61"/>
      <c r="C794" s="61"/>
    </row>
    <row r="795" spans="2:3" x14ac:dyDescent="0.25">
      <c r="B795" s="61"/>
      <c r="C795" s="61"/>
    </row>
    <row r="796" spans="2:3" x14ac:dyDescent="0.25">
      <c r="B796" s="61"/>
      <c r="C796" s="61"/>
    </row>
    <row r="797" spans="2:3" x14ac:dyDescent="0.25">
      <c r="B797" s="61"/>
      <c r="C797" s="61"/>
    </row>
    <row r="798" spans="2:3" x14ac:dyDescent="0.25">
      <c r="B798" s="61"/>
      <c r="C798" s="61"/>
    </row>
    <row r="799" spans="2:3" x14ac:dyDescent="0.25">
      <c r="B799" s="61"/>
      <c r="C799" s="61"/>
    </row>
    <row r="800" spans="2:3" x14ac:dyDescent="0.25">
      <c r="B800" s="61"/>
      <c r="C800" s="61"/>
    </row>
    <row r="801" spans="2:3" x14ac:dyDescent="0.25">
      <c r="B801" s="61"/>
      <c r="C801" s="61"/>
    </row>
    <row r="802" spans="2:3" x14ac:dyDescent="0.25">
      <c r="B802" s="61"/>
      <c r="C802" s="61"/>
    </row>
    <row r="803" spans="2:3" x14ac:dyDescent="0.25">
      <c r="B803" s="61"/>
      <c r="C803" s="61"/>
    </row>
    <row r="804" spans="2:3" x14ac:dyDescent="0.25">
      <c r="B804" s="61"/>
      <c r="C804" s="61"/>
    </row>
    <row r="805" spans="2:3" x14ac:dyDescent="0.25">
      <c r="B805" s="61"/>
      <c r="C805" s="61"/>
    </row>
    <row r="806" spans="2:3" x14ac:dyDescent="0.25">
      <c r="B806" s="61"/>
      <c r="C806" s="61"/>
    </row>
    <row r="807" spans="2:3" x14ac:dyDescent="0.25">
      <c r="B807" s="61"/>
      <c r="C807" s="61"/>
    </row>
    <row r="808" spans="2:3" x14ac:dyDescent="0.25">
      <c r="B808" s="61"/>
      <c r="C808" s="61"/>
    </row>
    <row r="809" spans="2:3" x14ac:dyDescent="0.25">
      <c r="B809" s="61"/>
      <c r="C809" s="61"/>
    </row>
    <row r="810" spans="2:3" x14ac:dyDescent="0.25">
      <c r="B810" s="61"/>
      <c r="C810" s="61"/>
    </row>
    <row r="811" spans="2:3" x14ac:dyDescent="0.25">
      <c r="B811" s="61"/>
      <c r="C811" s="61"/>
    </row>
    <row r="812" spans="2:3" x14ac:dyDescent="0.25">
      <c r="B812" s="61"/>
      <c r="C812" s="61"/>
    </row>
    <row r="813" spans="2:3" x14ac:dyDescent="0.25">
      <c r="B813" s="61"/>
      <c r="C813" s="61"/>
    </row>
    <row r="814" spans="2:3" x14ac:dyDescent="0.25">
      <c r="B814" s="61"/>
      <c r="C814" s="61"/>
    </row>
    <row r="815" spans="2:3" x14ac:dyDescent="0.25">
      <c r="B815" s="61"/>
      <c r="C815" s="61"/>
    </row>
    <row r="816" spans="2:3" x14ac:dyDescent="0.25">
      <c r="B816" s="61"/>
      <c r="C816" s="61"/>
    </row>
    <row r="817" spans="2:3" x14ac:dyDescent="0.25">
      <c r="B817" s="61"/>
      <c r="C817" s="61"/>
    </row>
    <row r="818" spans="2:3" x14ac:dyDescent="0.25">
      <c r="B818" s="61"/>
      <c r="C818" s="61"/>
    </row>
    <row r="819" spans="2:3" x14ac:dyDescent="0.25">
      <c r="B819" s="61"/>
      <c r="C819" s="61"/>
    </row>
    <row r="820" spans="2:3" x14ac:dyDescent="0.25">
      <c r="B820" s="61"/>
      <c r="C820" s="61"/>
    </row>
    <row r="821" spans="2:3" x14ac:dyDescent="0.25">
      <c r="B821" s="61"/>
      <c r="C821" s="61"/>
    </row>
    <row r="822" spans="2:3" x14ac:dyDescent="0.25">
      <c r="B822" s="61"/>
      <c r="C822" s="61"/>
    </row>
    <row r="823" spans="2:3" x14ac:dyDescent="0.25">
      <c r="B823" s="61"/>
      <c r="C823" s="61"/>
    </row>
    <row r="824" spans="2:3" x14ac:dyDescent="0.25">
      <c r="B824" s="61"/>
      <c r="C824" s="61"/>
    </row>
    <row r="825" spans="2:3" x14ac:dyDescent="0.25">
      <c r="B825" s="61"/>
      <c r="C825" s="61"/>
    </row>
    <row r="826" spans="2:3" x14ac:dyDescent="0.25">
      <c r="B826" s="61"/>
      <c r="C826" s="61"/>
    </row>
    <row r="827" spans="2:3" x14ac:dyDescent="0.25">
      <c r="B827" s="61"/>
      <c r="C827" s="61"/>
    </row>
    <row r="828" spans="2:3" x14ac:dyDescent="0.25">
      <c r="B828" s="61"/>
      <c r="C828" s="61"/>
    </row>
    <row r="829" spans="2:3" x14ac:dyDescent="0.25">
      <c r="B829" s="61"/>
      <c r="C829" s="61"/>
    </row>
    <row r="830" spans="2:3" x14ac:dyDescent="0.25">
      <c r="B830" s="61"/>
      <c r="C830" s="61"/>
    </row>
    <row r="831" spans="2:3" x14ac:dyDescent="0.25">
      <c r="B831" s="61"/>
      <c r="C831" s="61"/>
    </row>
    <row r="832" spans="2:3" x14ac:dyDescent="0.25">
      <c r="B832" s="61"/>
      <c r="C832" s="61"/>
    </row>
    <row r="833" spans="2:3" x14ac:dyDescent="0.25">
      <c r="B833" s="61"/>
      <c r="C833" s="61"/>
    </row>
    <row r="834" spans="2:3" x14ac:dyDescent="0.25">
      <c r="B834" s="61"/>
      <c r="C834" s="61"/>
    </row>
    <row r="835" spans="2:3" x14ac:dyDescent="0.25">
      <c r="B835" s="61"/>
      <c r="C835" s="61"/>
    </row>
    <row r="836" spans="2:3" x14ac:dyDescent="0.25">
      <c r="B836" s="61"/>
      <c r="C836" s="61"/>
    </row>
    <row r="837" spans="2:3" x14ac:dyDescent="0.25">
      <c r="B837" s="61"/>
      <c r="C837" s="61"/>
    </row>
    <row r="838" spans="2:3" x14ac:dyDescent="0.25">
      <c r="B838" s="61"/>
      <c r="C838" s="61"/>
    </row>
    <row r="839" spans="2:3" x14ac:dyDescent="0.25">
      <c r="B839" s="61"/>
      <c r="C839" s="61"/>
    </row>
    <row r="840" spans="2:3" x14ac:dyDescent="0.25">
      <c r="B840" s="61"/>
      <c r="C840" s="61"/>
    </row>
    <row r="841" spans="2:3" x14ac:dyDescent="0.25">
      <c r="B841" s="61"/>
      <c r="C841" s="61"/>
    </row>
    <row r="842" spans="2:3" x14ac:dyDescent="0.25">
      <c r="B842" s="61"/>
      <c r="C842" s="61"/>
    </row>
    <row r="843" spans="2:3" x14ac:dyDescent="0.25">
      <c r="B843" s="61"/>
      <c r="C843" s="61"/>
    </row>
    <row r="844" spans="2:3" x14ac:dyDescent="0.25">
      <c r="B844" s="61"/>
      <c r="C844" s="61"/>
    </row>
    <row r="845" spans="2:3" x14ac:dyDescent="0.25">
      <c r="B845" s="61"/>
      <c r="C845" s="61"/>
    </row>
    <row r="846" spans="2:3" x14ac:dyDescent="0.25">
      <c r="B846" s="61"/>
      <c r="C846" s="61"/>
    </row>
    <row r="847" spans="2:3" x14ac:dyDescent="0.25">
      <c r="B847" s="61"/>
      <c r="C847" s="61"/>
    </row>
    <row r="848" spans="2:3" x14ac:dyDescent="0.25">
      <c r="B848" s="61"/>
      <c r="C848" s="61"/>
    </row>
    <row r="849" spans="2:3" x14ac:dyDescent="0.25">
      <c r="B849" s="61"/>
      <c r="C849" s="61"/>
    </row>
    <row r="850" spans="2:3" x14ac:dyDescent="0.25">
      <c r="B850" s="61"/>
      <c r="C850" s="61"/>
    </row>
    <row r="851" spans="2:3" x14ac:dyDescent="0.25">
      <c r="B851" s="61"/>
      <c r="C851" s="61"/>
    </row>
    <row r="852" spans="2:3" x14ac:dyDescent="0.25">
      <c r="B852" s="61"/>
      <c r="C852" s="61"/>
    </row>
    <row r="853" spans="2:3" x14ac:dyDescent="0.25">
      <c r="B853" s="61"/>
      <c r="C853" s="61"/>
    </row>
    <row r="854" spans="2:3" x14ac:dyDescent="0.25">
      <c r="B854" s="61"/>
      <c r="C854" s="61"/>
    </row>
    <row r="855" spans="2:3" x14ac:dyDescent="0.25">
      <c r="B855" s="61"/>
      <c r="C855" s="61"/>
    </row>
    <row r="856" spans="2:3" x14ac:dyDescent="0.25">
      <c r="B856" s="61"/>
      <c r="C856" s="61"/>
    </row>
    <row r="857" spans="2:3" x14ac:dyDescent="0.25">
      <c r="B857" s="61"/>
      <c r="C857" s="61"/>
    </row>
    <row r="858" spans="2:3" x14ac:dyDescent="0.25">
      <c r="B858" s="61"/>
      <c r="C858" s="61"/>
    </row>
    <row r="859" spans="2:3" x14ac:dyDescent="0.25">
      <c r="B859" s="61"/>
      <c r="C859" s="61"/>
    </row>
    <row r="860" spans="2:3" x14ac:dyDescent="0.25">
      <c r="B860" s="61"/>
      <c r="C860" s="61"/>
    </row>
    <row r="861" spans="2:3" x14ac:dyDescent="0.25">
      <c r="B861" s="61"/>
      <c r="C861" s="61"/>
    </row>
    <row r="862" spans="2:3" x14ac:dyDescent="0.25">
      <c r="B862" s="61"/>
      <c r="C862" s="61"/>
    </row>
    <row r="863" spans="2:3" x14ac:dyDescent="0.25">
      <c r="B863" s="61"/>
      <c r="C863" s="61"/>
    </row>
    <row r="864" spans="2:3" x14ac:dyDescent="0.25">
      <c r="B864" s="61"/>
      <c r="C864" s="61"/>
    </row>
    <row r="865" spans="2:3" x14ac:dyDescent="0.25">
      <c r="B865" s="61"/>
      <c r="C865" s="61"/>
    </row>
    <row r="866" spans="2:3" x14ac:dyDescent="0.25">
      <c r="B866" s="61"/>
      <c r="C866" s="61"/>
    </row>
    <row r="867" spans="2:3" x14ac:dyDescent="0.25">
      <c r="B867" s="61"/>
      <c r="C867" s="61"/>
    </row>
    <row r="868" spans="2:3" x14ac:dyDescent="0.25">
      <c r="B868" s="61"/>
      <c r="C868" s="61"/>
    </row>
    <row r="869" spans="2:3" x14ac:dyDescent="0.25">
      <c r="B869" s="61"/>
      <c r="C869" s="61"/>
    </row>
    <row r="870" spans="2:3" x14ac:dyDescent="0.25">
      <c r="B870" s="61"/>
      <c r="C870" s="61"/>
    </row>
    <row r="871" spans="2:3" x14ac:dyDescent="0.25">
      <c r="B871" s="61"/>
      <c r="C871" s="61"/>
    </row>
    <row r="872" spans="2:3" x14ac:dyDescent="0.25">
      <c r="B872" s="61"/>
      <c r="C872" s="61"/>
    </row>
    <row r="873" spans="2:3" x14ac:dyDescent="0.25">
      <c r="B873" s="61"/>
      <c r="C873" s="61"/>
    </row>
    <row r="874" spans="2:3" x14ac:dyDescent="0.25">
      <c r="B874" s="61"/>
      <c r="C874" s="61"/>
    </row>
    <row r="875" spans="2:3" x14ac:dyDescent="0.25">
      <c r="B875" s="61"/>
      <c r="C875" s="61"/>
    </row>
    <row r="876" spans="2:3" x14ac:dyDescent="0.25">
      <c r="B876" s="61"/>
      <c r="C876" s="61"/>
    </row>
    <row r="877" spans="2:3" x14ac:dyDescent="0.25">
      <c r="B877" s="61"/>
      <c r="C877" s="61"/>
    </row>
    <row r="878" spans="2:3" x14ac:dyDescent="0.25">
      <c r="B878" s="61"/>
      <c r="C878" s="61"/>
    </row>
    <row r="879" spans="2:3" x14ac:dyDescent="0.25">
      <c r="B879" s="61"/>
      <c r="C879" s="61"/>
    </row>
    <row r="880" spans="2:3" x14ac:dyDescent="0.25">
      <c r="B880" s="61"/>
      <c r="C880" s="61"/>
    </row>
    <row r="881" spans="2:3" x14ac:dyDescent="0.25">
      <c r="B881" s="61"/>
      <c r="C881" s="61"/>
    </row>
    <row r="882" spans="2:3" x14ac:dyDescent="0.25">
      <c r="B882" s="61"/>
      <c r="C882" s="61"/>
    </row>
    <row r="883" spans="2:3" x14ac:dyDescent="0.25">
      <c r="B883" s="61"/>
      <c r="C883" s="61"/>
    </row>
    <row r="884" spans="2:3" x14ac:dyDescent="0.25">
      <c r="B884" s="61"/>
      <c r="C884" s="61"/>
    </row>
    <row r="885" spans="2:3" x14ac:dyDescent="0.25">
      <c r="B885" s="61"/>
      <c r="C885" s="61"/>
    </row>
    <row r="886" spans="2:3" x14ac:dyDescent="0.25">
      <c r="B886" s="61"/>
      <c r="C886" s="61"/>
    </row>
    <row r="887" spans="2:3" x14ac:dyDescent="0.25">
      <c r="B887" s="61"/>
      <c r="C887" s="61"/>
    </row>
    <row r="888" spans="2:3" x14ac:dyDescent="0.25">
      <c r="B888" s="61"/>
      <c r="C888" s="61"/>
    </row>
    <row r="889" spans="2:3" x14ac:dyDescent="0.25">
      <c r="B889" s="61"/>
      <c r="C889" s="61"/>
    </row>
    <row r="890" spans="2:3" x14ac:dyDescent="0.25">
      <c r="B890" s="61"/>
      <c r="C890" s="61"/>
    </row>
    <row r="891" spans="2:3" x14ac:dyDescent="0.25">
      <c r="B891" s="61"/>
      <c r="C891" s="61"/>
    </row>
    <row r="892" spans="2:3" x14ac:dyDescent="0.25">
      <c r="B892" s="61"/>
      <c r="C892" s="61"/>
    </row>
    <row r="893" spans="2:3" x14ac:dyDescent="0.25">
      <c r="B893" s="61"/>
      <c r="C893" s="61"/>
    </row>
    <row r="894" spans="2:3" x14ac:dyDescent="0.25">
      <c r="B894" s="61"/>
      <c r="C894" s="61"/>
    </row>
    <row r="895" spans="2:3" x14ac:dyDescent="0.25">
      <c r="B895" s="61"/>
      <c r="C895" s="61"/>
    </row>
    <row r="896" spans="2:3" x14ac:dyDescent="0.25">
      <c r="B896" s="61"/>
      <c r="C896" s="61"/>
    </row>
    <row r="897" spans="2:3" x14ac:dyDescent="0.25">
      <c r="B897" s="61"/>
      <c r="C897" s="61"/>
    </row>
    <row r="898" spans="2:3" x14ac:dyDescent="0.25">
      <c r="B898" s="61"/>
      <c r="C898" s="61"/>
    </row>
    <row r="899" spans="2:3" x14ac:dyDescent="0.25">
      <c r="B899" s="61"/>
      <c r="C899" s="61"/>
    </row>
    <row r="900" spans="2:3" x14ac:dyDescent="0.25">
      <c r="B900" s="61"/>
      <c r="C900" s="61"/>
    </row>
    <row r="901" spans="2:3" x14ac:dyDescent="0.25">
      <c r="B901" s="61"/>
      <c r="C901" s="61"/>
    </row>
    <row r="902" spans="2:3" x14ac:dyDescent="0.25">
      <c r="B902" s="61"/>
      <c r="C902" s="61"/>
    </row>
    <row r="903" spans="2:3" x14ac:dyDescent="0.25">
      <c r="B903" s="61"/>
      <c r="C903" s="61"/>
    </row>
    <row r="904" spans="2:3" x14ac:dyDescent="0.25">
      <c r="B904" s="61"/>
      <c r="C904" s="61"/>
    </row>
    <row r="905" spans="2:3" x14ac:dyDescent="0.25">
      <c r="B905" s="61"/>
      <c r="C905" s="61"/>
    </row>
    <row r="906" spans="2:3" x14ac:dyDescent="0.25">
      <c r="B906" s="61"/>
      <c r="C906" s="61"/>
    </row>
    <row r="907" spans="2:3" x14ac:dyDescent="0.25">
      <c r="B907" s="61"/>
      <c r="C907" s="61"/>
    </row>
    <row r="908" spans="2:3" x14ac:dyDescent="0.25">
      <c r="B908" s="61"/>
      <c r="C908" s="61"/>
    </row>
    <row r="909" spans="2:3" x14ac:dyDescent="0.25">
      <c r="B909" s="61"/>
      <c r="C909" s="61"/>
    </row>
    <row r="910" spans="2:3" x14ac:dyDescent="0.25">
      <c r="B910" s="61"/>
      <c r="C910" s="61"/>
    </row>
    <row r="911" spans="2:3" x14ac:dyDescent="0.25">
      <c r="B911" s="61"/>
      <c r="C911" s="61"/>
    </row>
    <row r="912" spans="2:3" x14ac:dyDescent="0.25">
      <c r="B912" s="61"/>
      <c r="C912" s="61"/>
    </row>
    <row r="913" spans="2:3" x14ac:dyDescent="0.25">
      <c r="B913" s="61"/>
      <c r="C913" s="61"/>
    </row>
    <row r="914" spans="2:3" x14ac:dyDescent="0.25">
      <c r="B914" s="61"/>
      <c r="C914" s="61"/>
    </row>
    <row r="915" spans="2:3" x14ac:dyDescent="0.25">
      <c r="B915" s="61"/>
      <c r="C915" s="61"/>
    </row>
    <row r="916" spans="2:3" x14ac:dyDescent="0.25">
      <c r="B916" s="61"/>
      <c r="C916" s="61"/>
    </row>
    <row r="917" spans="2:3" x14ac:dyDescent="0.25">
      <c r="B917" s="61"/>
      <c r="C917" s="61"/>
    </row>
    <row r="918" spans="2:3" x14ac:dyDescent="0.25">
      <c r="B918" s="61"/>
      <c r="C918" s="61"/>
    </row>
    <row r="919" spans="2:3" x14ac:dyDescent="0.25">
      <c r="B919" s="61"/>
      <c r="C919" s="61"/>
    </row>
    <row r="920" spans="2:3" x14ac:dyDescent="0.25">
      <c r="B920" s="61"/>
      <c r="C920" s="61"/>
    </row>
    <row r="921" spans="2:3" x14ac:dyDescent="0.25">
      <c r="B921" s="61"/>
      <c r="C921" s="61"/>
    </row>
    <row r="922" spans="2:3" x14ac:dyDescent="0.25">
      <c r="B922" s="61"/>
      <c r="C922" s="61"/>
    </row>
    <row r="923" spans="2:3" x14ac:dyDescent="0.25">
      <c r="B923" s="61"/>
      <c r="C923" s="61"/>
    </row>
    <row r="924" spans="2:3" x14ac:dyDescent="0.25">
      <c r="B924" s="61"/>
      <c r="C924" s="61"/>
    </row>
    <row r="925" spans="2:3" x14ac:dyDescent="0.25">
      <c r="B925" s="61"/>
      <c r="C925" s="61"/>
    </row>
    <row r="926" spans="2:3" x14ac:dyDescent="0.25">
      <c r="B926" s="61"/>
      <c r="C926" s="61"/>
    </row>
    <row r="927" spans="2:3" x14ac:dyDescent="0.25">
      <c r="B927" s="61"/>
      <c r="C927" s="61"/>
    </row>
    <row r="928" spans="2:3" x14ac:dyDescent="0.25">
      <c r="B928" s="61"/>
      <c r="C928" s="61"/>
    </row>
    <row r="929" spans="2:3" x14ac:dyDescent="0.25">
      <c r="B929" s="61"/>
      <c r="C929" s="61"/>
    </row>
    <row r="930" spans="2:3" x14ac:dyDescent="0.25">
      <c r="B930" s="61"/>
      <c r="C930" s="61"/>
    </row>
    <row r="931" spans="2:3" x14ac:dyDescent="0.25">
      <c r="B931" s="61"/>
      <c r="C931" s="61"/>
    </row>
    <row r="932" spans="2:3" x14ac:dyDescent="0.25">
      <c r="B932" s="61"/>
      <c r="C932" s="61"/>
    </row>
    <row r="933" spans="2:3" x14ac:dyDescent="0.25">
      <c r="B933" s="61"/>
      <c r="C933" s="61"/>
    </row>
    <row r="934" spans="2:3" x14ac:dyDescent="0.25">
      <c r="B934" s="61"/>
      <c r="C934" s="61"/>
    </row>
    <row r="935" spans="2:3" x14ac:dyDescent="0.25">
      <c r="B935" s="61"/>
      <c r="C935" s="61"/>
    </row>
    <row r="936" spans="2:3" x14ac:dyDescent="0.25">
      <c r="B936" s="61"/>
      <c r="C936" s="61"/>
    </row>
    <row r="937" spans="2:3" x14ac:dyDescent="0.25">
      <c r="B937" s="61"/>
      <c r="C937" s="61"/>
    </row>
    <row r="938" spans="2:3" x14ac:dyDescent="0.25">
      <c r="B938" s="61"/>
      <c r="C938" s="61"/>
    </row>
    <row r="939" spans="2:3" x14ac:dyDescent="0.25">
      <c r="B939" s="61"/>
      <c r="C939" s="61"/>
    </row>
    <row r="940" spans="2:3" x14ac:dyDescent="0.25">
      <c r="B940" s="61"/>
      <c r="C940" s="61"/>
    </row>
    <row r="941" spans="2:3" x14ac:dyDescent="0.25">
      <c r="B941" s="61"/>
      <c r="C941" s="61"/>
    </row>
    <row r="942" spans="2:3" x14ac:dyDescent="0.25">
      <c r="B942" s="61"/>
      <c r="C942" s="61"/>
    </row>
    <row r="943" spans="2:3" x14ac:dyDescent="0.25">
      <c r="B943" s="61"/>
      <c r="C943" s="61"/>
    </row>
    <row r="944" spans="2:3" x14ac:dyDescent="0.25">
      <c r="B944" s="61"/>
      <c r="C944" s="61"/>
    </row>
    <row r="945" spans="2:3" x14ac:dyDescent="0.25">
      <c r="B945" s="61"/>
      <c r="C945" s="61"/>
    </row>
    <row r="946" spans="2:3" x14ac:dyDescent="0.25">
      <c r="B946" s="61"/>
      <c r="C946" s="61"/>
    </row>
    <row r="947" spans="2:3" x14ac:dyDescent="0.25">
      <c r="B947" s="61"/>
      <c r="C947" s="61"/>
    </row>
    <row r="948" spans="2:3" x14ac:dyDescent="0.25">
      <c r="B948" s="61"/>
      <c r="C948" s="61"/>
    </row>
    <row r="949" spans="2:3" x14ac:dyDescent="0.25">
      <c r="B949" s="61"/>
      <c r="C949" s="61"/>
    </row>
    <row r="950" spans="2:3" x14ac:dyDescent="0.25">
      <c r="B950" s="61"/>
      <c r="C950" s="61"/>
    </row>
    <row r="951" spans="2:3" x14ac:dyDescent="0.25">
      <c r="B951" s="61"/>
      <c r="C951" s="61"/>
    </row>
    <row r="952" spans="2:3" x14ac:dyDescent="0.25">
      <c r="B952" s="61"/>
      <c r="C952" s="61"/>
    </row>
    <row r="953" spans="2:3" x14ac:dyDescent="0.25">
      <c r="B953" s="61"/>
      <c r="C953" s="61"/>
    </row>
    <row r="954" spans="2:3" x14ac:dyDescent="0.25">
      <c r="B954" s="61"/>
      <c r="C954" s="61"/>
    </row>
    <row r="955" spans="2:3" x14ac:dyDescent="0.25">
      <c r="B955" s="61"/>
      <c r="C955" s="61"/>
    </row>
    <row r="956" spans="2:3" x14ac:dyDescent="0.25">
      <c r="B956" s="61"/>
      <c r="C956" s="61"/>
    </row>
    <row r="957" spans="2:3" x14ac:dyDescent="0.25">
      <c r="B957" s="61"/>
      <c r="C957" s="61"/>
    </row>
    <row r="958" spans="2:3" x14ac:dyDescent="0.25">
      <c r="B958" s="61"/>
      <c r="C958" s="61"/>
    </row>
    <row r="959" spans="2:3" x14ac:dyDescent="0.25">
      <c r="B959" s="61"/>
      <c r="C959" s="61"/>
    </row>
    <row r="960" spans="2:3" x14ac:dyDescent="0.25">
      <c r="B960" s="61"/>
      <c r="C960" s="61"/>
    </row>
    <row r="961" spans="2:3" x14ac:dyDescent="0.25">
      <c r="B961" s="61"/>
      <c r="C961" s="61"/>
    </row>
    <row r="962" spans="2:3" x14ac:dyDescent="0.25">
      <c r="B962" s="61"/>
      <c r="C962" s="61"/>
    </row>
    <row r="963" spans="2:3" x14ac:dyDescent="0.25">
      <c r="B963" s="61"/>
      <c r="C963" s="61"/>
    </row>
    <row r="964" spans="2:3" x14ac:dyDescent="0.25">
      <c r="B964" s="61"/>
      <c r="C964" s="61"/>
    </row>
    <row r="965" spans="2:3" x14ac:dyDescent="0.25">
      <c r="B965" s="61"/>
      <c r="C965" s="61"/>
    </row>
    <row r="966" spans="2:3" x14ac:dyDescent="0.25">
      <c r="B966" s="61"/>
      <c r="C966" s="61"/>
    </row>
    <row r="967" spans="2:3" x14ac:dyDescent="0.25">
      <c r="B967" s="61"/>
      <c r="C967" s="61"/>
    </row>
    <row r="968" spans="2:3" x14ac:dyDescent="0.25">
      <c r="B968" s="61"/>
      <c r="C968" s="61"/>
    </row>
    <row r="969" spans="2:3" x14ac:dyDescent="0.25">
      <c r="B969" s="61"/>
      <c r="C969" s="61"/>
    </row>
    <row r="970" spans="2:3" x14ac:dyDescent="0.25">
      <c r="B970" s="61"/>
      <c r="C970" s="61"/>
    </row>
    <row r="971" spans="2:3" x14ac:dyDescent="0.25">
      <c r="B971" s="61"/>
      <c r="C971" s="61"/>
    </row>
    <row r="972" spans="2:3" x14ac:dyDescent="0.25">
      <c r="B972" s="61"/>
      <c r="C972" s="61"/>
    </row>
    <row r="973" spans="2:3" x14ac:dyDescent="0.25">
      <c r="B973" s="61"/>
      <c r="C973" s="61"/>
    </row>
    <row r="974" spans="2:3" x14ac:dyDescent="0.25">
      <c r="B974" s="61"/>
      <c r="C974" s="61"/>
    </row>
    <row r="975" spans="2:3" x14ac:dyDescent="0.25">
      <c r="B975" s="61"/>
      <c r="C975" s="61"/>
    </row>
    <row r="976" spans="2:3" x14ac:dyDescent="0.25">
      <c r="B976" s="61"/>
      <c r="C976" s="61"/>
    </row>
    <row r="977" spans="2:3" x14ac:dyDescent="0.25">
      <c r="B977" s="61"/>
      <c r="C977" s="61"/>
    </row>
    <row r="978" spans="2:3" x14ac:dyDescent="0.25">
      <c r="B978" s="61"/>
      <c r="C978" s="61"/>
    </row>
    <row r="979" spans="2:3" x14ac:dyDescent="0.25">
      <c r="B979" s="61"/>
      <c r="C979" s="61"/>
    </row>
    <row r="980" spans="2:3" x14ac:dyDescent="0.25">
      <c r="B980" s="61"/>
      <c r="C980" s="61"/>
    </row>
    <row r="981" spans="2:3" x14ac:dyDescent="0.25">
      <c r="B981" s="61"/>
      <c r="C981" s="61"/>
    </row>
    <row r="982" spans="2:3" x14ac:dyDescent="0.25">
      <c r="B982" s="61"/>
      <c r="C982" s="61"/>
    </row>
    <row r="983" spans="2:3" x14ac:dyDescent="0.25">
      <c r="B983" s="61"/>
      <c r="C983" s="61"/>
    </row>
    <row r="984" spans="2:3" x14ac:dyDescent="0.25">
      <c r="B984" s="61"/>
      <c r="C984" s="61"/>
    </row>
    <row r="985" spans="2:3" x14ac:dyDescent="0.25">
      <c r="B985" s="61"/>
      <c r="C985" s="61"/>
    </row>
    <row r="986" spans="2:3" x14ac:dyDescent="0.25">
      <c r="B986" s="61"/>
      <c r="C986" s="61"/>
    </row>
    <row r="987" spans="2:3" x14ac:dyDescent="0.25">
      <c r="B987" s="61"/>
      <c r="C987" s="61"/>
    </row>
    <row r="988" spans="2:3" x14ac:dyDescent="0.25">
      <c r="B988" s="61"/>
      <c r="C988" s="61"/>
    </row>
    <row r="989" spans="2:3" x14ac:dyDescent="0.25">
      <c r="B989" s="61"/>
      <c r="C989" s="61"/>
    </row>
    <row r="990" spans="2:3" x14ac:dyDescent="0.25">
      <c r="B990" s="61"/>
      <c r="C990" s="61"/>
    </row>
    <row r="991" spans="2:3" x14ac:dyDescent="0.25">
      <c r="B991" s="61"/>
      <c r="C991" s="61"/>
    </row>
    <row r="992" spans="2:3" x14ac:dyDescent="0.25">
      <c r="B992" s="61"/>
      <c r="C992" s="61"/>
    </row>
    <row r="993" spans="2:3" x14ac:dyDescent="0.25">
      <c r="B993" s="61"/>
      <c r="C993" s="61"/>
    </row>
    <row r="994" spans="2:3" x14ac:dyDescent="0.25">
      <c r="B994" s="61"/>
      <c r="C994" s="61"/>
    </row>
    <row r="995" spans="2:3" x14ac:dyDescent="0.25">
      <c r="B995" s="61"/>
      <c r="C995" s="61"/>
    </row>
    <row r="996" spans="2:3" x14ac:dyDescent="0.25">
      <c r="B996" s="61"/>
      <c r="C996" s="61"/>
    </row>
    <row r="997" spans="2:3" x14ac:dyDescent="0.25">
      <c r="B997" s="61"/>
      <c r="C997" s="61"/>
    </row>
    <row r="998" spans="2:3" x14ac:dyDescent="0.25">
      <c r="B998" s="61"/>
      <c r="C998" s="61"/>
    </row>
    <row r="999" spans="2:3" x14ac:dyDescent="0.25">
      <c r="B999" s="61"/>
      <c r="C999" s="61"/>
    </row>
    <row r="1000" spans="2:3" x14ac:dyDescent="0.25">
      <c r="B1000" s="61"/>
      <c r="C1000" s="61"/>
    </row>
    <row r="1001" spans="2:3" x14ac:dyDescent="0.25">
      <c r="B1001" s="61"/>
      <c r="C1001" s="61"/>
    </row>
    <row r="1002" spans="2:3" x14ac:dyDescent="0.25">
      <c r="B1002" s="61"/>
      <c r="C1002" s="61"/>
    </row>
    <row r="1003" spans="2:3" x14ac:dyDescent="0.25">
      <c r="B1003" s="61"/>
      <c r="C1003" s="61"/>
    </row>
    <row r="1004" spans="2:3" x14ac:dyDescent="0.25">
      <c r="B1004" s="61"/>
      <c r="C1004" s="61"/>
    </row>
    <row r="1005" spans="2:3" x14ac:dyDescent="0.25">
      <c r="B1005" s="61"/>
      <c r="C1005" s="61"/>
    </row>
    <row r="1006" spans="2:3" x14ac:dyDescent="0.25">
      <c r="B1006" s="61"/>
      <c r="C1006" s="61"/>
    </row>
    <row r="1007" spans="2:3" x14ac:dyDescent="0.25">
      <c r="B1007" s="61"/>
      <c r="C1007" s="61"/>
    </row>
    <row r="1008" spans="2:3" x14ac:dyDescent="0.25">
      <c r="B1008" s="61"/>
      <c r="C1008" s="61"/>
    </row>
    <row r="1009" spans="2:3" x14ac:dyDescent="0.25">
      <c r="B1009" s="61"/>
      <c r="C1009" s="61"/>
    </row>
    <row r="1010" spans="2:3" x14ac:dyDescent="0.25">
      <c r="B1010" s="61"/>
      <c r="C1010" s="61"/>
    </row>
    <row r="1011" spans="2:3" x14ac:dyDescent="0.25">
      <c r="B1011" s="61"/>
      <c r="C1011" s="61"/>
    </row>
    <row r="1012" spans="2:3" x14ac:dyDescent="0.25">
      <c r="B1012" s="61"/>
      <c r="C1012" s="61"/>
    </row>
    <row r="1013" spans="2:3" x14ac:dyDescent="0.25">
      <c r="B1013" s="61"/>
      <c r="C1013" s="61"/>
    </row>
    <row r="1014" spans="2:3" x14ac:dyDescent="0.25">
      <c r="B1014" s="61"/>
      <c r="C1014" s="61"/>
    </row>
    <row r="1015" spans="2:3" x14ac:dyDescent="0.25">
      <c r="B1015" s="61"/>
      <c r="C1015" s="61"/>
    </row>
    <row r="1016" spans="2:3" x14ac:dyDescent="0.25">
      <c r="B1016" s="61"/>
      <c r="C1016" s="61"/>
    </row>
    <row r="1017" spans="2:3" x14ac:dyDescent="0.25">
      <c r="B1017" s="61"/>
      <c r="C1017" s="61"/>
    </row>
    <row r="1018" spans="2:3" x14ac:dyDescent="0.25">
      <c r="B1018" s="61"/>
      <c r="C1018" s="61"/>
    </row>
    <row r="1019" spans="2:3" x14ac:dyDescent="0.25">
      <c r="B1019" s="61"/>
      <c r="C1019" s="61"/>
    </row>
    <row r="1020" spans="2:3" x14ac:dyDescent="0.25">
      <c r="B1020" s="61"/>
      <c r="C1020" s="61"/>
    </row>
    <row r="1021" spans="2:3" x14ac:dyDescent="0.25">
      <c r="B1021" s="61"/>
      <c r="C1021" s="61"/>
    </row>
    <row r="1022" spans="2:3" x14ac:dyDescent="0.25">
      <c r="B1022" s="61"/>
      <c r="C1022" s="61"/>
    </row>
    <row r="1023" spans="2:3" x14ac:dyDescent="0.25">
      <c r="B1023" s="61"/>
      <c r="C1023" s="61"/>
    </row>
    <row r="1024" spans="2:3" x14ac:dyDescent="0.25">
      <c r="B1024" s="61"/>
      <c r="C1024" s="61"/>
    </row>
    <row r="1025" spans="2:3" x14ac:dyDescent="0.25">
      <c r="B1025" s="61"/>
      <c r="C1025" s="61"/>
    </row>
    <row r="1026" spans="2:3" x14ac:dyDescent="0.25">
      <c r="B1026" s="61"/>
      <c r="C1026" s="61"/>
    </row>
    <row r="1027" spans="2:3" x14ac:dyDescent="0.25">
      <c r="B1027" s="61"/>
      <c r="C1027" s="61"/>
    </row>
    <row r="1028" spans="2:3" x14ac:dyDescent="0.25">
      <c r="B1028" s="61"/>
      <c r="C1028" s="61"/>
    </row>
    <row r="1029" spans="2:3" x14ac:dyDescent="0.25">
      <c r="B1029" s="61"/>
      <c r="C1029" s="61"/>
    </row>
    <row r="1030" spans="2:3" x14ac:dyDescent="0.25">
      <c r="B1030" s="61"/>
      <c r="C1030" s="61"/>
    </row>
    <row r="1031" spans="2:3" x14ac:dyDescent="0.25">
      <c r="B1031" s="61"/>
      <c r="C1031" s="61"/>
    </row>
    <row r="1032" spans="2:3" x14ac:dyDescent="0.25">
      <c r="B1032" s="61"/>
      <c r="C1032" s="61"/>
    </row>
    <row r="1033" spans="2:3" x14ac:dyDescent="0.25">
      <c r="B1033" s="61"/>
      <c r="C1033" s="61"/>
    </row>
    <row r="1034" spans="2:3" x14ac:dyDescent="0.25">
      <c r="B1034" s="61"/>
      <c r="C1034" s="61"/>
    </row>
    <row r="1035" spans="2:3" x14ac:dyDescent="0.25">
      <c r="B1035" s="61"/>
      <c r="C1035" s="61"/>
    </row>
    <row r="1036" spans="2:3" x14ac:dyDescent="0.25">
      <c r="B1036" s="61"/>
      <c r="C1036" s="61"/>
    </row>
    <row r="1037" spans="2:3" x14ac:dyDescent="0.25">
      <c r="B1037" s="61"/>
      <c r="C1037" s="61"/>
    </row>
    <row r="1038" spans="2:3" x14ac:dyDescent="0.25">
      <c r="B1038" s="61"/>
      <c r="C1038" s="61"/>
    </row>
    <row r="1039" spans="2:3" x14ac:dyDescent="0.25">
      <c r="B1039" s="61"/>
      <c r="C1039" s="61"/>
    </row>
  </sheetData>
  <mergeCells count="7">
    <mergeCell ref="A46:C46"/>
    <mergeCell ref="A1:C1"/>
    <mergeCell ref="F1:H1"/>
    <mergeCell ref="A17:C17"/>
    <mergeCell ref="F17:H17"/>
    <mergeCell ref="A32:C32"/>
    <mergeCell ref="F32:H32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H1039"/>
  <sheetViews>
    <sheetView workbookViewId="0">
      <selection activeCell="C35" sqref="C35"/>
    </sheetView>
  </sheetViews>
  <sheetFormatPr defaultRowHeight="15" x14ac:dyDescent="0.25"/>
  <cols>
    <col min="1" max="1" width="34.7109375" customWidth="1"/>
    <col min="2" max="2" width="12.28515625" style="69" customWidth="1"/>
    <col min="3" max="3" width="12.7109375" style="70" customWidth="1"/>
    <col min="6" max="6" width="30.85546875" customWidth="1"/>
    <col min="7" max="7" width="13" customWidth="1"/>
    <col min="8" max="8" width="16.5703125" customWidth="1"/>
  </cols>
  <sheetData>
    <row r="1" spans="1:8" x14ac:dyDescent="0.25">
      <c r="A1" s="173" t="s">
        <v>257</v>
      </c>
      <c r="B1" s="174"/>
      <c r="C1" s="174"/>
      <c r="F1" s="175" t="s">
        <v>258</v>
      </c>
      <c r="G1" s="176"/>
      <c r="H1" s="176"/>
    </row>
    <row r="2" spans="1:8" x14ac:dyDescent="0.25">
      <c r="G2" s="69"/>
      <c r="H2" s="70"/>
    </row>
    <row r="3" spans="1:8" x14ac:dyDescent="0.25">
      <c r="G3" s="69"/>
      <c r="H3" s="70"/>
    </row>
    <row r="4" spans="1:8" ht="24" customHeight="1" x14ac:dyDescent="0.25">
      <c r="A4" t="s">
        <v>107</v>
      </c>
      <c r="C4" s="84">
        <v>191839</v>
      </c>
      <c r="F4" t="s">
        <v>107</v>
      </c>
      <c r="G4" s="69"/>
      <c r="H4" s="84">
        <v>259427</v>
      </c>
    </row>
    <row r="5" spans="1:8" x14ac:dyDescent="0.25">
      <c r="A5" s="49" t="s">
        <v>108</v>
      </c>
      <c r="F5" s="49" t="s">
        <v>108</v>
      </c>
      <c r="G5" s="69"/>
      <c r="H5" s="70"/>
    </row>
    <row r="6" spans="1:8" x14ac:dyDescent="0.25">
      <c r="A6" t="s">
        <v>109</v>
      </c>
      <c r="B6" s="69">
        <v>1970</v>
      </c>
      <c r="F6" t="s">
        <v>109</v>
      </c>
      <c r="G6" s="69">
        <v>2221</v>
      </c>
      <c r="H6" s="70"/>
    </row>
    <row r="7" spans="1:8" x14ac:dyDescent="0.25">
      <c r="A7" t="s">
        <v>110</v>
      </c>
      <c r="B7" s="69">
        <v>1100</v>
      </c>
      <c r="F7" t="s">
        <v>110</v>
      </c>
      <c r="G7" s="69">
        <v>1200</v>
      </c>
      <c r="H7" s="70"/>
    </row>
    <row r="8" spans="1:8" x14ac:dyDescent="0.25">
      <c r="A8" t="s">
        <v>111</v>
      </c>
      <c r="B8" s="69">
        <v>5000</v>
      </c>
      <c r="F8" t="s">
        <v>111</v>
      </c>
      <c r="G8" s="69">
        <v>4000</v>
      </c>
      <c r="H8" s="70"/>
    </row>
    <row r="9" spans="1:8" ht="48" customHeight="1" x14ac:dyDescent="0.25">
      <c r="A9" s="72" t="s">
        <v>133</v>
      </c>
      <c r="B9" s="85">
        <v>120302</v>
      </c>
      <c r="C9" s="70">
        <f>-B6-B7-B8-B9</f>
        <v>-128372</v>
      </c>
      <c r="F9" s="72" t="s">
        <v>133</v>
      </c>
      <c r="G9" s="85">
        <v>186308</v>
      </c>
      <c r="H9" s="70">
        <f>-G6-G7-G8-G9</f>
        <v>-193729</v>
      </c>
    </row>
    <row r="10" spans="1:8" x14ac:dyDescent="0.25">
      <c r="G10" s="69"/>
      <c r="H10" s="70"/>
    </row>
    <row r="11" spans="1:8" ht="15.75" thickBot="1" x14ac:dyDescent="0.3">
      <c r="C11" s="73">
        <f>C4+C9</f>
        <v>63467</v>
      </c>
      <c r="D11" s="75"/>
      <c r="G11" s="69"/>
      <c r="H11" s="73">
        <f>H4+H9</f>
        <v>65698</v>
      </c>
    </row>
    <row r="12" spans="1:8" x14ac:dyDescent="0.25">
      <c r="G12" s="69"/>
      <c r="H12" s="70"/>
    </row>
    <row r="17" spans="1:8" x14ac:dyDescent="0.25">
      <c r="A17" s="159" t="s">
        <v>259</v>
      </c>
      <c r="B17" s="160"/>
      <c r="C17" s="160"/>
      <c r="F17" s="165" t="s">
        <v>260</v>
      </c>
      <c r="G17" s="166"/>
      <c r="H17" s="166"/>
    </row>
    <row r="18" spans="1:8" x14ac:dyDescent="0.25">
      <c r="G18" s="69"/>
      <c r="H18" s="70"/>
    </row>
    <row r="19" spans="1:8" x14ac:dyDescent="0.25">
      <c r="G19" s="69"/>
      <c r="H19" s="70"/>
    </row>
    <row r="20" spans="1:8" x14ac:dyDescent="0.25">
      <c r="A20" t="s">
        <v>107</v>
      </c>
      <c r="C20" s="84"/>
      <c r="F20" t="s">
        <v>107</v>
      </c>
      <c r="G20" s="69"/>
      <c r="H20" s="84">
        <v>147268</v>
      </c>
    </row>
    <row r="21" spans="1:8" x14ac:dyDescent="0.25">
      <c r="A21" s="49" t="s">
        <v>108</v>
      </c>
      <c r="C21" s="70">
        <v>240113</v>
      </c>
      <c r="F21" s="49" t="s">
        <v>108</v>
      </c>
      <c r="G21" s="69"/>
      <c r="H21" s="70"/>
    </row>
    <row r="22" spans="1:8" x14ac:dyDescent="0.25">
      <c r="A22" t="s">
        <v>109</v>
      </c>
      <c r="B22" s="69">
        <v>2235</v>
      </c>
      <c r="F22" t="s">
        <v>109</v>
      </c>
      <c r="G22" s="69">
        <v>1970</v>
      </c>
      <c r="H22" s="70"/>
    </row>
    <row r="23" spans="1:8" x14ac:dyDescent="0.25">
      <c r="A23" t="s">
        <v>110</v>
      </c>
      <c r="B23" s="69">
        <v>1900</v>
      </c>
      <c r="F23" t="s">
        <v>110</v>
      </c>
      <c r="G23" s="69">
        <v>1100</v>
      </c>
      <c r="H23" s="70"/>
    </row>
    <row r="24" spans="1:8" x14ac:dyDescent="0.25">
      <c r="A24" t="s">
        <v>111</v>
      </c>
      <c r="B24" s="69">
        <v>4000</v>
      </c>
      <c r="F24" t="s">
        <v>111</v>
      </c>
      <c r="G24" s="69">
        <v>4000</v>
      </c>
      <c r="H24" s="70"/>
    </row>
    <row r="25" spans="1:8" ht="45" x14ac:dyDescent="0.25">
      <c r="A25" s="72" t="s">
        <v>133</v>
      </c>
      <c r="B25" s="85">
        <v>158370</v>
      </c>
      <c r="C25" s="70">
        <f>-B22-B23-B24-B25</f>
        <v>-166505</v>
      </c>
      <c r="F25" s="72" t="s">
        <v>133</v>
      </c>
      <c r="G25" s="85">
        <v>92939</v>
      </c>
      <c r="H25" s="70">
        <f>-G22-G23-G24-G25</f>
        <v>-100009</v>
      </c>
    </row>
    <row r="26" spans="1:8" x14ac:dyDescent="0.25">
      <c r="G26" s="69"/>
      <c r="H26" s="70"/>
    </row>
    <row r="27" spans="1:8" ht="15.75" thickBot="1" x14ac:dyDescent="0.3">
      <c r="C27" s="73">
        <f>C21+C25</f>
        <v>73608</v>
      </c>
      <c r="G27" s="69"/>
      <c r="H27" s="73">
        <f>H20+H25</f>
        <v>47259</v>
      </c>
    </row>
    <row r="32" spans="1:8" x14ac:dyDescent="0.25">
      <c r="A32" s="167" t="s">
        <v>261</v>
      </c>
      <c r="B32" s="168"/>
      <c r="C32" s="168"/>
      <c r="F32" s="169" t="s">
        <v>262</v>
      </c>
      <c r="G32" s="170"/>
      <c r="H32" s="170"/>
    </row>
    <row r="33" spans="1:8" x14ac:dyDescent="0.25">
      <c r="G33" s="69"/>
      <c r="H33" s="70"/>
    </row>
    <row r="34" spans="1:8" x14ac:dyDescent="0.25">
      <c r="C34" s="74"/>
      <c r="G34" s="69"/>
      <c r="H34" s="70"/>
    </row>
    <row r="35" spans="1:8" x14ac:dyDescent="0.25">
      <c r="A35" t="s">
        <v>107</v>
      </c>
      <c r="C35" s="84">
        <v>175455</v>
      </c>
      <c r="F35" t="s">
        <v>107</v>
      </c>
      <c r="G35" s="69"/>
      <c r="H35" s="84">
        <v>228952</v>
      </c>
    </row>
    <row r="36" spans="1:8" x14ac:dyDescent="0.25">
      <c r="A36" s="49" t="s">
        <v>108</v>
      </c>
      <c r="F36" s="49" t="s">
        <v>108</v>
      </c>
      <c r="G36" s="69"/>
      <c r="H36" s="70"/>
    </row>
    <row r="37" spans="1:8" x14ac:dyDescent="0.25">
      <c r="A37" t="s">
        <v>109</v>
      </c>
      <c r="B37" s="69">
        <v>5883</v>
      </c>
      <c r="F37" t="s">
        <v>109</v>
      </c>
      <c r="G37" s="69">
        <v>5883</v>
      </c>
      <c r="H37" s="70"/>
    </row>
    <row r="38" spans="1:8" x14ac:dyDescent="0.25">
      <c r="A38" t="s">
        <v>110</v>
      </c>
      <c r="B38" s="69">
        <v>1900</v>
      </c>
      <c r="F38" t="s">
        <v>110</v>
      </c>
      <c r="G38" s="69">
        <f>950+950</f>
        <v>1900</v>
      </c>
      <c r="H38" s="70"/>
    </row>
    <row r="39" spans="1:8" x14ac:dyDescent="0.25">
      <c r="A39" t="s">
        <v>111</v>
      </c>
      <c r="B39" s="69">
        <v>4000</v>
      </c>
      <c r="F39" t="s">
        <v>111</v>
      </c>
      <c r="G39" s="69">
        <v>4500</v>
      </c>
      <c r="H39" s="70"/>
    </row>
    <row r="40" spans="1:8" ht="45" x14ac:dyDescent="0.25">
      <c r="A40" s="72" t="s">
        <v>133</v>
      </c>
      <c r="B40" s="85">
        <v>111775</v>
      </c>
      <c r="C40" s="70">
        <f>-B37-B38-B39-B40</f>
        <v>-123558</v>
      </c>
      <c r="F40" s="72" t="s">
        <v>133</v>
      </c>
      <c r="G40" s="85">
        <v>143023</v>
      </c>
      <c r="H40" s="70">
        <f>-G37-G38-G39-G40</f>
        <v>-155306</v>
      </c>
    </row>
    <row r="41" spans="1:8" x14ac:dyDescent="0.25">
      <c r="G41" s="69"/>
      <c r="H41" s="70"/>
    </row>
    <row r="42" spans="1:8" ht="15.75" thickBot="1" x14ac:dyDescent="0.3">
      <c r="C42" s="73">
        <f>C35+C40</f>
        <v>51897</v>
      </c>
      <c r="G42" s="69"/>
      <c r="H42" s="73">
        <f>H35+H40</f>
        <v>73646</v>
      </c>
    </row>
    <row r="46" spans="1:8" x14ac:dyDescent="0.25">
      <c r="A46" s="171" t="s">
        <v>263</v>
      </c>
      <c r="B46" s="172"/>
      <c r="C46" s="172"/>
    </row>
    <row r="49" spans="1:4" x14ac:dyDescent="0.25">
      <c r="A49" t="s">
        <v>107</v>
      </c>
      <c r="C49" s="84">
        <v>201785</v>
      </c>
    </row>
    <row r="50" spans="1:4" x14ac:dyDescent="0.25">
      <c r="A50" s="49" t="s">
        <v>108</v>
      </c>
    </row>
    <row r="51" spans="1:4" x14ac:dyDescent="0.25">
      <c r="A51" t="s">
        <v>109</v>
      </c>
      <c r="B51" s="69">
        <v>13500</v>
      </c>
    </row>
    <row r="52" spans="1:4" x14ac:dyDescent="0.25">
      <c r="A52" t="s">
        <v>110</v>
      </c>
      <c r="B52" s="69">
        <v>2000</v>
      </c>
    </row>
    <row r="53" spans="1:4" x14ac:dyDescent="0.25">
      <c r="A53" t="s">
        <v>111</v>
      </c>
      <c r="B53" s="69">
        <v>6000</v>
      </c>
    </row>
    <row r="54" spans="1:4" x14ac:dyDescent="0.25">
      <c r="A54" t="s">
        <v>216</v>
      </c>
      <c r="B54" s="69">
        <v>30000</v>
      </c>
    </row>
    <row r="55" spans="1:4" ht="45" x14ac:dyDescent="0.25">
      <c r="A55" s="72" t="s">
        <v>133</v>
      </c>
      <c r="B55" s="85">
        <v>101583</v>
      </c>
      <c r="C55" s="70">
        <f>-B51-B52-B53-B54-B55</f>
        <v>-153083</v>
      </c>
    </row>
    <row r="57" spans="1:4" ht="15.75" thickBot="1" x14ac:dyDescent="0.3">
      <c r="C57" s="73">
        <f>C49+C55</f>
        <v>48702</v>
      </c>
      <c r="D57" s="75"/>
    </row>
    <row r="60" spans="1:4" x14ac:dyDescent="0.25">
      <c r="B60" s="61"/>
      <c r="C60" s="61"/>
    </row>
    <row r="61" spans="1:4" x14ac:dyDescent="0.25">
      <c r="B61" s="61"/>
      <c r="C61" s="61"/>
    </row>
    <row r="62" spans="1:4" x14ac:dyDescent="0.25">
      <c r="B62" s="61"/>
      <c r="C62" s="61"/>
    </row>
    <row r="63" spans="1:4" x14ac:dyDescent="0.25">
      <c r="A63" t="s">
        <v>264</v>
      </c>
      <c r="B63" s="61">
        <f>+C11+C27+H27+C42+H42+C57+H11</f>
        <v>424277</v>
      </c>
      <c r="C63" s="61"/>
    </row>
    <row r="64" spans="1:4" x14ac:dyDescent="0.25">
      <c r="B64" s="61"/>
      <c r="C64" s="61"/>
    </row>
    <row r="65" spans="1:3" x14ac:dyDescent="0.25">
      <c r="A65" t="s">
        <v>222</v>
      </c>
      <c r="B65" s="61">
        <v>-14000</v>
      </c>
      <c r="C65" s="61"/>
    </row>
    <row r="66" spans="1:3" ht="30" x14ac:dyDescent="0.25">
      <c r="A66" s="72" t="s">
        <v>223</v>
      </c>
      <c r="B66" s="61">
        <v>-559.05999998416701</v>
      </c>
      <c r="C66" s="61"/>
    </row>
    <row r="67" spans="1:3" x14ac:dyDescent="0.25">
      <c r="A67" t="s">
        <v>224</v>
      </c>
      <c r="B67" s="61">
        <v>-1842.9399996315001</v>
      </c>
      <c r="C67" s="61"/>
    </row>
    <row r="68" spans="1:3" ht="30" x14ac:dyDescent="0.25">
      <c r="A68" s="72" t="s">
        <v>225</v>
      </c>
      <c r="B68" s="61">
        <v>-636.73999999249997</v>
      </c>
      <c r="C68" s="61"/>
    </row>
    <row r="69" spans="1:3" ht="30" x14ac:dyDescent="0.25">
      <c r="A69" s="72" t="s">
        <v>226</v>
      </c>
      <c r="B69" s="61">
        <v>-2033.559999825</v>
      </c>
      <c r="C69" s="61"/>
    </row>
    <row r="70" spans="1:3" ht="30" x14ac:dyDescent="0.25">
      <c r="A70" s="72" t="s">
        <v>226</v>
      </c>
      <c r="B70" s="61">
        <v>-2033.56</v>
      </c>
      <c r="C70" s="61"/>
    </row>
    <row r="71" spans="1:3" ht="30" x14ac:dyDescent="0.25">
      <c r="A71" s="72" t="s">
        <v>227</v>
      </c>
      <c r="B71" s="61">
        <v>-710</v>
      </c>
      <c r="C71" s="61"/>
    </row>
    <row r="72" spans="1:3" ht="29.25" x14ac:dyDescent="0.25">
      <c r="A72" s="80" t="s">
        <v>228</v>
      </c>
      <c r="B72" s="61">
        <v>-7190.9</v>
      </c>
      <c r="C72" s="61"/>
    </row>
    <row r="73" spans="1:3" ht="29.25" x14ac:dyDescent="0.25">
      <c r="A73" s="80" t="s">
        <v>229</v>
      </c>
      <c r="B73" s="61">
        <v>-17276.18</v>
      </c>
      <c r="C73" s="61"/>
    </row>
    <row r="74" spans="1:3" x14ac:dyDescent="0.25">
      <c r="A74" s="82" t="s">
        <v>230</v>
      </c>
      <c r="B74" s="61">
        <v>-6368</v>
      </c>
      <c r="C74" s="61"/>
    </row>
    <row r="75" spans="1:3" x14ac:dyDescent="0.25">
      <c r="A75" s="82" t="s">
        <v>231</v>
      </c>
      <c r="B75" s="61">
        <v>-9176.25</v>
      </c>
      <c r="C75" s="61"/>
    </row>
    <row r="76" spans="1:3" x14ac:dyDescent="0.25">
      <c r="A76" s="82" t="s">
        <v>231</v>
      </c>
      <c r="B76" s="61">
        <v>-9176.25</v>
      </c>
      <c r="C76" s="61"/>
    </row>
    <row r="77" spans="1:3" x14ac:dyDescent="0.25">
      <c r="A77" s="82" t="s">
        <v>232</v>
      </c>
      <c r="B77" s="61">
        <v>-11346.96</v>
      </c>
      <c r="C77" s="61"/>
    </row>
    <row r="78" spans="1:3" x14ac:dyDescent="0.25">
      <c r="A78" s="81" t="s">
        <v>233</v>
      </c>
      <c r="B78" s="61">
        <v>-11674</v>
      </c>
      <c r="C78" s="61"/>
    </row>
    <row r="79" spans="1:3" x14ac:dyDescent="0.25">
      <c r="A79" s="81" t="s">
        <v>234</v>
      </c>
      <c r="B79" s="61">
        <v>-10287</v>
      </c>
      <c r="C79" s="61"/>
    </row>
    <row r="80" spans="1:3" x14ac:dyDescent="0.25">
      <c r="A80" s="81" t="s">
        <v>235</v>
      </c>
      <c r="B80" s="61">
        <v>-1500</v>
      </c>
      <c r="C80" s="61"/>
    </row>
    <row r="81" spans="1:3" x14ac:dyDescent="0.25">
      <c r="A81" s="81" t="s">
        <v>236</v>
      </c>
      <c r="B81" s="61">
        <v>-15000</v>
      </c>
      <c r="C81" s="61"/>
    </row>
    <row r="82" spans="1:3" x14ac:dyDescent="0.25">
      <c r="A82" s="81" t="s">
        <v>237</v>
      </c>
      <c r="B82" s="61">
        <v>-190</v>
      </c>
      <c r="C82" s="61"/>
    </row>
    <row r="83" spans="1:3" x14ac:dyDescent="0.25">
      <c r="A83" s="81" t="s">
        <v>238</v>
      </c>
      <c r="B83" s="61">
        <v>-30000</v>
      </c>
      <c r="C83" s="61"/>
    </row>
    <row r="84" spans="1:3" x14ac:dyDescent="0.25">
      <c r="A84" s="81" t="s">
        <v>239</v>
      </c>
      <c r="B84" s="61">
        <v>-5322</v>
      </c>
      <c r="C84" s="61"/>
    </row>
    <row r="85" spans="1:3" x14ac:dyDescent="0.25">
      <c r="A85" s="81" t="s">
        <v>240</v>
      </c>
      <c r="B85" s="61">
        <v>-1668</v>
      </c>
      <c r="C85" s="61"/>
    </row>
    <row r="86" spans="1:3" x14ac:dyDescent="0.25">
      <c r="A86" s="81" t="s">
        <v>241</v>
      </c>
      <c r="B86" s="61">
        <v>-3652</v>
      </c>
      <c r="C86" s="61" t="s">
        <v>265</v>
      </c>
    </row>
    <row r="87" spans="1:3" x14ac:dyDescent="0.25">
      <c r="A87" s="81" t="s">
        <v>242</v>
      </c>
      <c r="B87" s="61">
        <v>-10000</v>
      </c>
      <c r="C87" s="61">
        <v>170000</v>
      </c>
    </row>
    <row r="88" spans="1:3" x14ac:dyDescent="0.25">
      <c r="B88" s="61"/>
      <c r="C88" s="61"/>
    </row>
    <row r="89" spans="1:3" ht="17.25" x14ac:dyDescent="0.4">
      <c r="B89" s="83">
        <f>SUM(B63:B88)</f>
        <v>252633.6000005668</v>
      </c>
      <c r="C89" s="61"/>
    </row>
    <row r="90" spans="1:3" ht="17.25" x14ac:dyDescent="0.4">
      <c r="B90" s="83"/>
      <c r="C90" s="61"/>
    </row>
    <row r="91" spans="1:3" x14ac:dyDescent="0.25">
      <c r="B91" s="61">
        <f>B89</f>
        <v>252633.6000005668</v>
      </c>
      <c r="C91" s="61"/>
    </row>
    <row r="92" spans="1:3" x14ac:dyDescent="0.25">
      <c r="A92" s="81" t="s">
        <v>243</v>
      </c>
      <c r="B92" s="61">
        <v>-20000</v>
      </c>
      <c r="C92" s="61"/>
    </row>
    <row r="93" spans="1:3" x14ac:dyDescent="0.25">
      <c r="A93" s="81" t="s">
        <v>244</v>
      </c>
      <c r="B93" s="61">
        <v>-8500</v>
      </c>
      <c r="C93" s="61"/>
    </row>
    <row r="94" spans="1:3" x14ac:dyDescent="0.25">
      <c r="A94" s="81" t="s">
        <v>245</v>
      </c>
      <c r="B94" s="61">
        <v>-16000</v>
      </c>
      <c r="C94" s="61"/>
    </row>
    <row r="95" spans="1:3" x14ac:dyDescent="0.25">
      <c r="A95" s="81" t="s">
        <v>246</v>
      </c>
      <c r="B95" s="61">
        <v>-16000</v>
      </c>
      <c r="C95" s="61"/>
    </row>
    <row r="96" spans="1:3" x14ac:dyDescent="0.25">
      <c r="A96" s="81" t="s">
        <v>247</v>
      </c>
      <c r="B96" s="61">
        <v>-5000</v>
      </c>
      <c r="C96" s="61"/>
    </row>
    <row r="97" spans="1:3" x14ac:dyDescent="0.25">
      <c r="A97" s="81" t="s">
        <v>248</v>
      </c>
      <c r="B97" s="61">
        <v>-3000</v>
      </c>
      <c r="C97" s="61"/>
    </row>
    <row r="98" spans="1:3" x14ac:dyDescent="0.25">
      <c r="A98" s="81" t="s">
        <v>249</v>
      </c>
      <c r="B98" s="61">
        <v>-3000</v>
      </c>
      <c r="C98" s="61"/>
    </row>
    <row r="99" spans="1:3" x14ac:dyDescent="0.25">
      <c r="A99" s="81" t="s">
        <v>250</v>
      </c>
      <c r="B99" s="61">
        <v>-3500</v>
      </c>
      <c r="C99" s="61"/>
    </row>
    <row r="100" spans="1:3" x14ac:dyDescent="0.25">
      <c r="A100" s="81" t="s">
        <v>251</v>
      </c>
      <c r="B100" s="61">
        <v>-6000</v>
      </c>
      <c r="C100" s="61"/>
    </row>
    <row r="101" spans="1:3" x14ac:dyDescent="0.25">
      <c r="A101" s="81" t="s">
        <v>252</v>
      </c>
      <c r="B101" s="61">
        <v>-3500</v>
      </c>
      <c r="C101" s="61"/>
    </row>
    <row r="102" spans="1:3" x14ac:dyDescent="0.25">
      <c r="A102" s="81" t="s">
        <v>253</v>
      </c>
      <c r="B102" s="61">
        <v>-3000</v>
      </c>
      <c r="C102" s="61"/>
    </row>
    <row r="103" spans="1:3" x14ac:dyDescent="0.25">
      <c r="A103" s="81" t="s">
        <v>254</v>
      </c>
      <c r="B103" s="61">
        <v>-2800</v>
      </c>
      <c r="C103" s="61"/>
    </row>
    <row r="104" spans="1:3" x14ac:dyDescent="0.25">
      <c r="A104" s="81" t="s">
        <v>255</v>
      </c>
      <c r="B104" s="61">
        <v>-2800</v>
      </c>
      <c r="C104" s="61"/>
    </row>
    <row r="105" spans="1:3" x14ac:dyDescent="0.25">
      <c r="A105" s="81" t="s">
        <v>266</v>
      </c>
      <c r="B105" s="61">
        <v>-20000</v>
      </c>
      <c r="C105" s="61"/>
    </row>
    <row r="106" spans="1:3" x14ac:dyDescent="0.25">
      <c r="A106" s="81"/>
      <c r="B106" s="61"/>
      <c r="C106" s="61"/>
    </row>
    <row r="107" spans="1:3" x14ac:dyDescent="0.25">
      <c r="B107" s="61">
        <f>SUM(B91:B105)</f>
        <v>139533.6000005668</v>
      </c>
      <c r="C107" s="61" t="s">
        <v>256</v>
      </c>
    </row>
    <row r="108" spans="1:3" x14ac:dyDescent="0.25">
      <c r="B108" s="61"/>
      <c r="C108" s="61"/>
    </row>
    <row r="109" spans="1:3" x14ac:dyDescent="0.25">
      <c r="B109" s="61"/>
      <c r="C109" s="61"/>
    </row>
    <row r="110" spans="1:3" x14ac:dyDescent="0.25">
      <c r="B110" s="61"/>
      <c r="C110" s="61"/>
    </row>
    <row r="111" spans="1:3" x14ac:dyDescent="0.25">
      <c r="B111" s="61"/>
      <c r="C111" s="61"/>
    </row>
    <row r="112" spans="1:3" x14ac:dyDescent="0.25">
      <c r="B112" s="61"/>
      <c r="C112" s="61"/>
    </row>
    <row r="113" spans="2:3" x14ac:dyDescent="0.25">
      <c r="B113" s="61"/>
      <c r="C113" s="61"/>
    </row>
    <row r="114" spans="2:3" x14ac:dyDescent="0.25">
      <c r="B114" s="61"/>
      <c r="C114" s="61"/>
    </row>
    <row r="115" spans="2:3" x14ac:dyDescent="0.25">
      <c r="B115" s="61"/>
      <c r="C115" s="61"/>
    </row>
    <row r="116" spans="2:3" x14ac:dyDescent="0.25">
      <c r="B116" s="61"/>
      <c r="C116" s="61"/>
    </row>
    <row r="117" spans="2:3" x14ac:dyDescent="0.25">
      <c r="B117" s="61"/>
      <c r="C117" s="61"/>
    </row>
    <row r="118" spans="2:3" x14ac:dyDescent="0.25">
      <c r="B118" s="61"/>
      <c r="C118" s="61"/>
    </row>
    <row r="119" spans="2:3" x14ac:dyDescent="0.25">
      <c r="B119" s="61"/>
      <c r="C119" s="61"/>
    </row>
    <row r="120" spans="2:3" x14ac:dyDescent="0.25">
      <c r="B120" s="61"/>
      <c r="C120" s="61"/>
    </row>
    <row r="121" spans="2:3" x14ac:dyDescent="0.25">
      <c r="B121" s="61"/>
      <c r="C121" s="61"/>
    </row>
    <row r="122" spans="2:3" x14ac:dyDescent="0.25">
      <c r="B122" s="61"/>
      <c r="C122" s="61"/>
    </row>
    <row r="123" spans="2:3" x14ac:dyDescent="0.25">
      <c r="B123" s="61"/>
      <c r="C123" s="61"/>
    </row>
    <row r="124" spans="2:3" x14ac:dyDescent="0.25">
      <c r="B124" s="61"/>
      <c r="C124" s="61"/>
    </row>
    <row r="125" spans="2:3" x14ac:dyDescent="0.25">
      <c r="B125" s="61"/>
      <c r="C125" s="61"/>
    </row>
    <row r="126" spans="2:3" x14ac:dyDescent="0.25">
      <c r="B126" s="61"/>
      <c r="C126" s="61"/>
    </row>
    <row r="127" spans="2:3" x14ac:dyDescent="0.25">
      <c r="B127" s="61"/>
      <c r="C127" s="61"/>
    </row>
    <row r="128" spans="2:3" x14ac:dyDescent="0.25">
      <c r="B128" s="61"/>
      <c r="C128" s="61"/>
    </row>
    <row r="129" spans="2:3" x14ac:dyDescent="0.25">
      <c r="B129" s="61"/>
      <c r="C129" s="61"/>
    </row>
    <row r="130" spans="2:3" x14ac:dyDescent="0.25">
      <c r="B130" s="61"/>
      <c r="C130" s="61"/>
    </row>
    <row r="131" spans="2:3" x14ac:dyDescent="0.25">
      <c r="B131" s="61"/>
      <c r="C131" s="61"/>
    </row>
    <row r="132" spans="2:3" x14ac:dyDescent="0.25">
      <c r="B132" s="61"/>
      <c r="C132" s="61"/>
    </row>
    <row r="133" spans="2:3" x14ac:dyDescent="0.25">
      <c r="B133" s="61"/>
      <c r="C133" s="61"/>
    </row>
    <row r="134" spans="2:3" x14ac:dyDescent="0.25">
      <c r="B134" s="61"/>
      <c r="C134" s="61"/>
    </row>
    <row r="135" spans="2:3" x14ac:dyDescent="0.25">
      <c r="B135" s="61"/>
      <c r="C135" s="61"/>
    </row>
    <row r="136" spans="2:3" x14ac:dyDescent="0.25">
      <c r="B136" s="61"/>
      <c r="C136" s="61"/>
    </row>
    <row r="137" spans="2:3" x14ac:dyDescent="0.25">
      <c r="B137" s="61"/>
      <c r="C137" s="61"/>
    </row>
    <row r="138" spans="2:3" x14ac:dyDescent="0.25">
      <c r="B138" s="61"/>
      <c r="C138" s="61"/>
    </row>
    <row r="139" spans="2:3" x14ac:dyDescent="0.25">
      <c r="B139" s="61"/>
      <c r="C139" s="61"/>
    </row>
    <row r="140" spans="2:3" x14ac:dyDescent="0.25">
      <c r="B140" s="61"/>
      <c r="C140" s="61"/>
    </row>
    <row r="141" spans="2:3" x14ac:dyDescent="0.25">
      <c r="B141" s="61"/>
      <c r="C141" s="61"/>
    </row>
    <row r="142" spans="2:3" x14ac:dyDescent="0.25">
      <c r="B142" s="61"/>
      <c r="C142" s="61"/>
    </row>
    <row r="143" spans="2:3" x14ac:dyDescent="0.25">
      <c r="B143" s="61"/>
      <c r="C143" s="61"/>
    </row>
    <row r="144" spans="2:3" x14ac:dyDescent="0.25">
      <c r="B144" s="61"/>
      <c r="C144" s="61"/>
    </row>
    <row r="145" spans="2:3" x14ac:dyDescent="0.25">
      <c r="B145" s="61"/>
      <c r="C145" s="61"/>
    </row>
    <row r="146" spans="2:3" x14ac:dyDescent="0.25">
      <c r="B146" s="61"/>
      <c r="C146" s="61"/>
    </row>
    <row r="147" spans="2:3" x14ac:dyDescent="0.25">
      <c r="B147" s="61"/>
      <c r="C147" s="61"/>
    </row>
    <row r="148" spans="2:3" x14ac:dyDescent="0.25">
      <c r="B148" s="61"/>
      <c r="C148" s="61"/>
    </row>
    <row r="149" spans="2:3" x14ac:dyDescent="0.25">
      <c r="B149" s="61"/>
      <c r="C149" s="61"/>
    </row>
    <row r="150" spans="2:3" x14ac:dyDescent="0.25">
      <c r="B150" s="61"/>
      <c r="C150" s="61"/>
    </row>
    <row r="151" spans="2:3" x14ac:dyDescent="0.25">
      <c r="B151" s="61"/>
      <c r="C151" s="61"/>
    </row>
    <row r="152" spans="2:3" x14ac:dyDescent="0.25">
      <c r="B152" s="61"/>
      <c r="C152" s="61"/>
    </row>
    <row r="153" spans="2:3" x14ac:dyDescent="0.25">
      <c r="B153" s="61"/>
      <c r="C153" s="61"/>
    </row>
    <row r="154" spans="2:3" x14ac:dyDescent="0.25">
      <c r="B154" s="61"/>
      <c r="C154" s="61"/>
    </row>
    <row r="155" spans="2:3" x14ac:dyDescent="0.25">
      <c r="B155" s="61"/>
      <c r="C155" s="61"/>
    </row>
    <row r="156" spans="2:3" x14ac:dyDescent="0.25">
      <c r="B156" s="61"/>
      <c r="C156" s="61"/>
    </row>
    <row r="157" spans="2:3" x14ac:dyDescent="0.25">
      <c r="B157" s="61"/>
      <c r="C157" s="61"/>
    </row>
    <row r="158" spans="2:3" x14ac:dyDescent="0.25">
      <c r="B158" s="61"/>
      <c r="C158" s="61"/>
    </row>
    <row r="159" spans="2:3" x14ac:dyDescent="0.25">
      <c r="B159" s="61"/>
      <c r="C159" s="61"/>
    </row>
    <row r="160" spans="2:3" x14ac:dyDescent="0.25">
      <c r="B160" s="61"/>
      <c r="C160" s="61"/>
    </row>
    <row r="161" spans="2:3" x14ac:dyDescent="0.25">
      <c r="B161" s="61"/>
      <c r="C161" s="61"/>
    </row>
    <row r="162" spans="2:3" x14ac:dyDescent="0.25">
      <c r="B162" s="61"/>
      <c r="C162" s="61"/>
    </row>
    <row r="163" spans="2:3" x14ac:dyDescent="0.25">
      <c r="B163" s="61"/>
      <c r="C163" s="61"/>
    </row>
    <row r="164" spans="2:3" x14ac:dyDescent="0.25">
      <c r="B164" s="61"/>
      <c r="C164" s="61"/>
    </row>
    <row r="165" spans="2:3" x14ac:dyDescent="0.25">
      <c r="B165" s="61"/>
      <c r="C165" s="61"/>
    </row>
    <row r="166" spans="2:3" x14ac:dyDescent="0.25">
      <c r="B166" s="61"/>
      <c r="C166" s="61"/>
    </row>
    <row r="167" spans="2:3" x14ac:dyDescent="0.25">
      <c r="B167" s="61"/>
      <c r="C167" s="61"/>
    </row>
    <row r="168" spans="2:3" x14ac:dyDescent="0.25">
      <c r="B168" s="61"/>
      <c r="C168" s="61"/>
    </row>
    <row r="169" spans="2:3" x14ac:dyDescent="0.25">
      <c r="B169" s="61"/>
      <c r="C169" s="61"/>
    </row>
    <row r="170" spans="2:3" x14ac:dyDescent="0.25">
      <c r="B170" s="61"/>
      <c r="C170" s="61"/>
    </row>
    <row r="171" spans="2:3" x14ac:dyDescent="0.25">
      <c r="B171" s="61"/>
      <c r="C171" s="61"/>
    </row>
    <row r="172" spans="2:3" x14ac:dyDescent="0.25">
      <c r="B172" s="61"/>
      <c r="C172" s="61"/>
    </row>
    <row r="173" spans="2:3" x14ac:dyDescent="0.25">
      <c r="B173" s="61"/>
      <c r="C173" s="61"/>
    </row>
    <row r="174" spans="2:3" x14ac:dyDescent="0.25">
      <c r="B174" s="61"/>
      <c r="C174" s="61"/>
    </row>
    <row r="175" spans="2:3" x14ac:dyDescent="0.25">
      <c r="B175" s="61"/>
      <c r="C175" s="61"/>
    </row>
    <row r="176" spans="2:3" x14ac:dyDescent="0.25">
      <c r="B176" s="61"/>
      <c r="C176" s="61"/>
    </row>
    <row r="177" spans="2:3" x14ac:dyDescent="0.25">
      <c r="B177" s="61"/>
      <c r="C177" s="61"/>
    </row>
    <row r="178" spans="2:3" x14ac:dyDescent="0.25">
      <c r="B178" s="61"/>
      <c r="C178" s="61"/>
    </row>
    <row r="179" spans="2:3" x14ac:dyDescent="0.25">
      <c r="B179" s="61"/>
      <c r="C179" s="61"/>
    </row>
    <row r="180" spans="2:3" x14ac:dyDescent="0.25">
      <c r="B180" s="61"/>
      <c r="C180" s="61"/>
    </row>
    <row r="181" spans="2:3" x14ac:dyDescent="0.25">
      <c r="B181" s="61"/>
      <c r="C181" s="61"/>
    </row>
    <row r="182" spans="2:3" x14ac:dyDescent="0.25">
      <c r="B182" s="61"/>
      <c r="C182" s="61"/>
    </row>
    <row r="183" spans="2:3" x14ac:dyDescent="0.25">
      <c r="B183" s="61"/>
      <c r="C183" s="61"/>
    </row>
    <row r="184" spans="2:3" x14ac:dyDescent="0.25">
      <c r="B184" s="61"/>
      <c r="C184" s="61"/>
    </row>
    <row r="185" spans="2:3" x14ac:dyDescent="0.25">
      <c r="B185" s="61"/>
      <c r="C185" s="61"/>
    </row>
    <row r="186" spans="2:3" x14ac:dyDescent="0.25">
      <c r="B186" s="61"/>
      <c r="C186" s="61"/>
    </row>
    <row r="187" spans="2:3" x14ac:dyDescent="0.25">
      <c r="B187" s="61"/>
      <c r="C187" s="61"/>
    </row>
    <row r="188" spans="2:3" x14ac:dyDescent="0.25">
      <c r="B188" s="61"/>
      <c r="C188" s="61"/>
    </row>
    <row r="189" spans="2:3" x14ac:dyDescent="0.25">
      <c r="B189" s="61"/>
      <c r="C189" s="61"/>
    </row>
    <row r="190" spans="2:3" x14ac:dyDescent="0.25">
      <c r="B190" s="61"/>
      <c r="C190" s="61"/>
    </row>
    <row r="191" spans="2:3" x14ac:dyDescent="0.25">
      <c r="B191" s="61"/>
      <c r="C191" s="61"/>
    </row>
    <row r="192" spans="2:3" x14ac:dyDescent="0.25">
      <c r="B192" s="61"/>
      <c r="C192" s="61"/>
    </row>
    <row r="193" spans="2:3" x14ac:dyDescent="0.25">
      <c r="B193" s="61"/>
      <c r="C193" s="61"/>
    </row>
    <row r="194" spans="2:3" x14ac:dyDescent="0.25">
      <c r="B194" s="61"/>
      <c r="C194" s="61"/>
    </row>
    <row r="195" spans="2:3" x14ac:dyDescent="0.25">
      <c r="B195" s="61"/>
      <c r="C195" s="61"/>
    </row>
    <row r="196" spans="2:3" x14ac:dyDescent="0.25">
      <c r="B196" s="61"/>
      <c r="C196" s="61"/>
    </row>
    <row r="197" spans="2:3" x14ac:dyDescent="0.25">
      <c r="B197" s="61"/>
      <c r="C197" s="61"/>
    </row>
    <row r="198" spans="2:3" x14ac:dyDescent="0.25">
      <c r="B198" s="61"/>
      <c r="C198" s="61"/>
    </row>
    <row r="199" spans="2:3" x14ac:dyDescent="0.25">
      <c r="B199" s="61"/>
      <c r="C199" s="61"/>
    </row>
    <row r="200" spans="2:3" x14ac:dyDescent="0.25">
      <c r="B200" s="61"/>
      <c r="C200" s="61"/>
    </row>
    <row r="201" spans="2:3" x14ac:dyDescent="0.25">
      <c r="B201" s="61"/>
      <c r="C201" s="61"/>
    </row>
    <row r="202" spans="2:3" x14ac:dyDescent="0.25">
      <c r="B202" s="61"/>
      <c r="C202" s="61"/>
    </row>
    <row r="203" spans="2:3" x14ac:dyDescent="0.25">
      <c r="B203" s="61"/>
      <c r="C203" s="61"/>
    </row>
    <row r="204" spans="2:3" x14ac:dyDescent="0.25">
      <c r="B204" s="61"/>
      <c r="C204" s="61"/>
    </row>
    <row r="205" spans="2:3" x14ac:dyDescent="0.25">
      <c r="B205" s="61"/>
      <c r="C205" s="61"/>
    </row>
    <row r="206" spans="2:3" x14ac:dyDescent="0.25">
      <c r="B206" s="61"/>
      <c r="C206" s="61"/>
    </row>
    <row r="207" spans="2:3" x14ac:dyDescent="0.25">
      <c r="B207" s="61"/>
      <c r="C207" s="61"/>
    </row>
    <row r="208" spans="2:3" x14ac:dyDescent="0.25">
      <c r="B208" s="61"/>
      <c r="C208" s="61"/>
    </row>
    <row r="209" spans="2:3" x14ac:dyDescent="0.25">
      <c r="B209" s="61"/>
      <c r="C209" s="61"/>
    </row>
    <row r="210" spans="2:3" x14ac:dyDescent="0.25">
      <c r="B210" s="61"/>
      <c r="C210" s="61"/>
    </row>
    <row r="211" spans="2:3" x14ac:dyDescent="0.25">
      <c r="B211" s="61"/>
      <c r="C211" s="61"/>
    </row>
    <row r="212" spans="2:3" x14ac:dyDescent="0.25">
      <c r="B212" s="61"/>
      <c r="C212" s="61"/>
    </row>
    <row r="213" spans="2:3" x14ac:dyDescent="0.25">
      <c r="B213" s="61"/>
      <c r="C213" s="61"/>
    </row>
    <row r="214" spans="2:3" x14ac:dyDescent="0.25">
      <c r="B214" s="61"/>
      <c r="C214" s="61"/>
    </row>
    <row r="215" spans="2:3" x14ac:dyDescent="0.25">
      <c r="B215" s="61"/>
      <c r="C215" s="61"/>
    </row>
    <row r="216" spans="2:3" x14ac:dyDescent="0.25">
      <c r="B216" s="61"/>
      <c r="C216" s="61"/>
    </row>
    <row r="217" spans="2:3" x14ac:dyDescent="0.25">
      <c r="B217" s="61"/>
      <c r="C217" s="61"/>
    </row>
    <row r="218" spans="2:3" x14ac:dyDescent="0.25">
      <c r="B218" s="61"/>
      <c r="C218" s="61"/>
    </row>
    <row r="219" spans="2:3" x14ac:dyDescent="0.25">
      <c r="B219" s="61"/>
      <c r="C219" s="61"/>
    </row>
    <row r="220" spans="2:3" x14ac:dyDescent="0.25">
      <c r="B220" s="61"/>
      <c r="C220" s="61"/>
    </row>
    <row r="221" spans="2:3" x14ac:dyDescent="0.25">
      <c r="B221" s="61"/>
      <c r="C221" s="61"/>
    </row>
    <row r="222" spans="2:3" x14ac:dyDescent="0.25">
      <c r="B222" s="61"/>
      <c r="C222" s="61"/>
    </row>
    <row r="223" spans="2:3" x14ac:dyDescent="0.25">
      <c r="B223" s="61"/>
      <c r="C223" s="61"/>
    </row>
    <row r="224" spans="2:3" x14ac:dyDescent="0.25">
      <c r="B224" s="61"/>
      <c r="C224" s="61"/>
    </row>
    <row r="225" spans="2:3" x14ac:dyDescent="0.25">
      <c r="B225" s="61"/>
      <c r="C225" s="61"/>
    </row>
    <row r="226" spans="2:3" x14ac:dyDescent="0.25">
      <c r="B226" s="61"/>
      <c r="C226" s="61"/>
    </row>
    <row r="227" spans="2:3" x14ac:dyDescent="0.25">
      <c r="B227" s="61"/>
      <c r="C227" s="61"/>
    </row>
    <row r="228" spans="2:3" x14ac:dyDescent="0.25">
      <c r="B228" s="61"/>
      <c r="C228" s="61"/>
    </row>
    <row r="229" spans="2:3" x14ac:dyDescent="0.25">
      <c r="B229" s="61"/>
      <c r="C229" s="61"/>
    </row>
    <row r="230" spans="2:3" x14ac:dyDescent="0.25">
      <c r="B230" s="61"/>
      <c r="C230" s="61"/>
    </row>
    <row r="231" spans="2:3" x14ac:dyDescent="0.25">
      <c r="B231" s="61"/>
      <c r="C231" s="61"/>
    </row>
    <row r="232" spans="2:3" x14ac:dyDescent="0.25">
      <c r="B232" s="61"/>
      <c r="C232" s="61"/>
    </row>
    <row r="233" spans="2:3" x14ac:dyDescent="0.25">
      <c r="B233" s="61"/>
      <c r="C233" s="61"/>
    </row>
    <row r="234" spans="2:3" x14ac:dyDescent="0.25">
      <c r="B234" s="61"/>
      <c r="C234" s="61"/>
    </row>
    <row r="235" spans="2:3" x14ac:dyDescent="0.25">
      <c r="B235" s="61"/>
      <c r="C235" s="61"/>
    </row>
    <row r="236" spans="2:3" x14ac:dyDescent="0.25">
      <c r="B236" s="61"/>
      <c r="C236" s="61"/>
    </row>
    <row r="237" spans="2:3" x14ac:dyDescent="0.25">
      <c r="B237" s="61"/>
      <c r="C237" s="61"/>
    </row>
    <row r="238" spans="2:3" x14ac:dyDescent="0.25">
      <c r="B238" s="61"/>
      <c r="C238" s="61"/>
    </row>
    <row r="239" spans="2:3" x14ac:dyDescent="0.25">
      <c r="B239" s="61"/>
      <c r="C239" s="61"/>
    </row>
    <row r="240" spans="2:3" x14ac:dyDescent="0.25">
      <c r="B240" s="61"/>
      <c r="C240" s="61"/>
    </row>
    <row r="241" spans="2:3" x14ac:dyDescent="0.25">
      <c r="B241" s="61"/>
      <c r="C241" s="61"/>
    </row>
    <row r="242" spans="2:3" x14ac:dyDescent="0.25">
      <c r="B242" s="61"/>
      <c r="C242" s="61"/>
    </row>
    <row r="243" spans="2:3" x14ac:dyDescent="0.25">
      <c r="B243" s="61"/>
      <c r="C243" s="61"/>
    </row>
    <row r="244" spans="2:3" x14ac:dyDescent="0.25">
      <c r="B244" s="61"/>
      <c r="C244" s="61"/>
    </row>
    <row r="245" spans="2:3" x14ac:dyDescent="0.25">
      <c r="B245" s="61"/>
      <c r="C245" s="61"/>
    </row>
    <row r="246" spans="2:3" x14ac:dyDescent="0.25">
      <c r="B246" s="61"/>
      <c r="C246" s="61"/>
    </row>
    <row r="247" spans="2:3" x14ac:dyDescent="0.25">
      <c r="B247" s="61"/>
      <c r="C247" s="61"/>
    </row>
    <row r="248" spans="2:3" x14ac:dyDescent="0.25">
      <c r="B248" s="61"/>
      <c r="C248" s="61"/>
    </row>
    <row r="249" spans="2:3" x14ac:dyDescent="0.25">
      <c r="B249" s="61"/>
      <c r="C249" s="61"/>
    </row>
    <row r="250" spans="2:3" x14ac:dyDescent="0.25">
      <c r="B250" s="61"/>
      <c r="C250" s="61"/>
    </row>
    <row r="251" spans="2:3" x14ac:dyDescent="0.25">
      <c r="B251" s="61"/>
      <c r="C251" s="61"/>
    </row>
    <row r="252" spans="2:3" x14ac:dyDescent="0.25">
      <c r="B252" s="61"/>
      <c r="C252" s="61"/>
    </row>
    <row r="253" spans="2:3" x14ac:dyDescent="0.25">
      <c r="B253" s="61"/>
      <c r="C253" s="61"/>
    </row>
    <row r="254" spans="2:3" x14ac:dyDescent="0.25">
      <c r="B254" s="61"/>
      <c r="C254" s="61"/>
    </row>
    <row r="255" spans="2:3" x14ac:dyDescent="0.25">
      <c r="B255" s="61"/>
      <c r="C255" s="61"/>
    </row>
    <row r="256" spans="2:3" x14ac:dyDescent="0.25">
      <c r="B256" s="61"/>
      <c r="C256" s="61"/>
    </row>
    <row r="257" spans="2:3" x14ac:dyDescent="0.25">
      <c r="B257" s="61"/>
      <c r="C257" s="61"/>
    </row>
    <row r="258" spans="2:3" x14ac:dyDescent="0.25">
      <c r="B258" s="61"/>
      <c r="C258" s="61"/>
    </row>
    <row r="259" spans="2:3" x14ac:dyDescent="0.25">
      <c r="B259" s="61"/>
      <c r="C259" s="61"/>
    </row>
    <row r="260" spans="2:3" x14ac:dyDescent="0.25">
      <c r="B260" s="61"/>
      <c r="C260" s="61"/>
    </row>
    <row r="261" spans="2:3" x14ac:dyDescent="0.25">
      <c r="B261" s="61"/>
      <c r="C261" s="61"/>
    </row>
    <row r="262" spans="2:3" x14ac:dyDescent="0.25">
      <c r="B262" s="61"/>
      <c r="C262" s="61"/>
    </row>
    <row r="263" spans="2:3" x14ac:dyDescent="0.25">
      <c r="B263" s="61"/>
      <c r="C263" s="61"/>
    </row>
    <row r="264" spans="2:3" x14ac:dyDescent="0.25">
      <c r="B264" s="61"/>
      <c r="C264" s="61"/>
    </row>
    <row r="265" spans="2:3" x14ac:dyDescent="0.25">
      <c r="B265" s="61"/>
      <c r="C265" s="61"/>
    </row>
    <row r="266" spans="2:3" x14ac:dyDescent="0.25">
      <c r="B266" s="61"/>
      <c r="C266" s="61"/>
    </row>
    <row r="267" spans="2:3" x14ac:dyDescent="0.25">
      <c r="B267" s="61"/>
      <c r="C267" s="61"/>
    </row>
    <row r="268" spans="2:3" x14ac:dyDescent="0.25">
      <c r="B268" s="61"/>
      <c r="C268" s="61"/>
    </row>
    <row r="269" spans="2:3" x14ac:dyDescent="0.25">
      <c r="B269" s="61"/>
      <c r="C269" s="61"/>
    </row>
    <row r="270" spans="2:3" x14ac:dyDescent="0.25">
      <c r="B270" s="61"/>
      <c r="C270" s="61"/>
    </row>
    <row r="271" spans="2:3" x14ac:dyDescent="0.25">
      <c r="B271" s="61"/>
      <c r="C271" s="61"/>
    </row>
    <row r="272" spans="2:3" x14ac:dyDescent="0.25">
      <c r="B272" s="61"/>
      <c r="C272" s="61"/>
    </row>
    <row r="273" spans="2:3" x14ac:dyDescent="0.25">
      <c r="B273" s="61"/>
      <c r="C273" s="61"/>
    </row>
    <row r="274" spans="2:3" x14ac:dyDescent="0.25">
      <c r="B274" s="61"/>
      <c r="C274" s="61"/>
    </row>
    <row r="275" spans="2:3" x14ac:dyDescent="0.25">
      <c r="B275" s="61"/>
      <c r="C275" s="61"/>
    </row>
    <row r="276" spans="2:3" x14ac:dyDescent="0.25">
      <c r="B276" s="61"/>
      <c r="C276" s="61"/>
    </row>
    <row r="277" spans="2:3" x14ac:dyDescent="0.25">
      <c r="B277" s="61"/>
      <c r="C277" s="61"/>
    </row>
    <row r="278" spans="2:3" x14ac:dyDescent="0.25">
      <c r="B278" s="61"/>
      <c r="C278" s="61"/>
    </row>
    <row r="279" spans="2:3" x14ac:dyDescent="0.25">
      <c r="B279" s="61"/>
      <c r="C279" s="61"/>
    </row>
    <row r="280" spans="2:3" x14ac:dyDescent="0.25">
      <c r="B280" s="61"/>
      <c r="C280" s="61"/>
    </row>
    <row r="281" spans="2:3" x14ac:dyDescent="0.25">
      <c r="B281" s="61"/>
      <c r="C281" s="61"/>
    </row>
    <row r="282" spans="2:3" x14ac:dyDescent="0.25">
      <c r="B282" s="61"/>
      <c r="C282" s="61"/>
    </row>
    <row r="283" spans="2:3" x14ac:dyDescent="0.25">
      <c r="B283" s="61"/>
      <c r="C283" s="61"/>
    </row>
    <row r="284" spans="2:3" x14ac:dyDescent="0.25">
      <c r="B284" s="61"/>
      <c r="C284" s="61"/>
    </row>
    <row r="285" spans="2:3" x14ac:dyDescent="0.25">
      <c r="B285" s="61"/>
      <c r="C285" s="61"/>
    </row>
    <row r="286" spans="2:3" x14ac:dyDescent="0.25">
      <c r="B286" s="61"/>
      <c r="C286" s="61"/>
    </row>
    <row r="287" spans="2:3" x14ac:dyDescent="0.25">
      <c r="B287" s="61"/>
      <c r="C287" s="61"/>
    </row>
    <row r="288" spans="2:3" x14ac:dyDescent="0.25">
      <c r="B288" s="61"/>
      <c r="C288" s="61"/>
    </row>
    <row r="289" spans="2:3" x14ac:dyDescent="0.25">
      <c r="B289" s="61"/>
      <c r="C289" s="61"/>
    </row>
    <row r="290" spans="2:3" x14ac:dyDescent="0.25">
      <c r="B290" s="61"/>
      <c r="C290" s="61"/>
    </row>
    <row r="291" spans="2:3" x14ac:dyDescent="0.25">
      <c r="B291" s="61"/>
      <c r="C291" s="61"/>
    </row>
    <row r="292" spans="2:3" x14ac:dyDescent="0.25">
      <c r="B292" s="61"/>
      <c r="C292" s="61"/>
    </row>
    <row r="293" spans="2:3" x14ac:dyDescent="0.25">
      <c r="B293" s="61"/>
      <c r="C293" s="61"/>
    </row>
    <row r="294" spans="2:3" x14ac:dyDescent="0.25">
      <c r="B294" s="61"/>
      <c r="C294" s="61"/>
    </row>
    <row r="295" spans="2:3" x14ac:dyDescent="0.25">
      <c r="B295" s="61"/>
      <c r="C295" s="61"/>
    </row>
    <row r="296" spans="2:3" x14ac:dyDescent="0.25">
      <c r="B296" s="61"/>
      <c r="C296" s="61"/>
    </row>
    <row r="297" spans="2:3" x14ac:dyDescent="0.25">
      <c r="B297" s="61"/>
      <c r="C297" s="61"/>
    </row>
    <row r="298" spans="2:3" x14ac:dyDescent="0.25">
      <c r="B298" s="61"/>
      <c r="C298" s="61"/>
    </row>
    <row r="299" spans="2:3" x14ac:dyDescent="0.25">
      <c r="B299" s="61"/>
      <c r="C299" s="61"/>
    </row>
    <row r="300" spans="2:3" x14ac:dyDescent="0.25">
      <c r="B300" s="61"/>
      <c r="C300" s="61"/>
    </row>
    <row r="301" spans="2:3" x14ac:dyDescent="0.25">
      <c r="B301" s="61"/>
      <c r="C301" s="61"/>
    </row>
    <row r="302" spans="2:3" x14ac:dyDescent="0.25">
      <c r="B302" s="61"/>
      <c r="C302" s="61"/>
    </row>
    <row r="303" spans="2:3" x14ac:dyDescent="0.25">
      <c r="B303" s="61"/>
      <c r="C303" s="61"/>
    </row>
    <row r="304" spans="2:3" x14ac:dyDescent="0.25">
      <c r="B304" s="61"/>
      <c r="C304" s="61"/>
    </row>
    <row r="305" spans="2:3" x14ac:dyDescent="0.25">
      <c r="B305" s="61"/>
      <c r="C305" s="61"/>
    </row>
    <row r="306" spans="2:3" x14ac:dyDescent="0.25">
      <c r="B306" s="61"/>
      <c r="C306" s="61"/>
    </row>
    <row r="307" spans="2:3" x14ac:dyDescent="0.25">
      <c r="B307" s="61"/>
      <c r="C307" s="61"/>
    </row>
    <row r="308" spans="2:3" x14ac:dyDescent="0.25">
      <c r="B308" s="61"/>
      <c r="C308" s="61"/>
    </row>
    <row r="309" spans="2:3" x14ac:dyDescent="0.25">
      <c r="B309" s="61"/>
      <c r="C309" s="61"/>
    </row>
    <row r="310" spans="2:3" x14ac:dyDescent="0.25">
      <c r="B310" s="61"/>
      <c r="C310" s="61"/>
    </row>
    <row r="311" spans="2:3" x14ac:dyDescent="0.25">
      <c r="B311" s="61"/>
      <c r="C311" s="61"/>
    </row>
    <row r="312" spans="2:3" x14ac:dyDescent="0.25">
      <c r="B312" s="61"/>
      <c r="C312" s="61"/>
    </row>
    <row r="313" spans="2:3" x14ac:dyDescent="0.25">
      <c r="B313" s="61"/>
      <c r="C313" s="61"/>
    </row>
    <row r="314" spans="2:3" x14ac:dyDescent="0.25">
      <c r="B314" s="61"/>
      <c r="C314" s="61"/>
    </row>
    <row r="315" spans="2:3" x14ac:dyDescent="0.25">
      <c r="B315" s="61"/>
      <c r="C315" s="61"/>
    </row>
    <row r="316" spans="2:3" x14ac:dyDescent="0.25">
      <c r="B316" s="61"/>
      <c r="C316" s="61"/>
    </row>
    <row r="317" spans="2:3" x14ac:dyDescent="0.25">
      <c r="B317" s="61"/>
      <c r="C317" s="61"/>
    </row>
    <row r="318" spans="2:3" x14ac:dyDescent="0.25">
      <c r="B318" s="61"/>
      <c r="C318" s="61"/>
    </row>
    <row r="319" spans="2:3" x14ac:dyDescent="0.25">
      <c r="B319" s="61"/>
      <c r="C319" s="61"/>
    </row>
    <row r="320" spans="2:3" x14ac:dyDescent="0.25">
      <c r="B320" s="61"/>
      <c r="C320" s="61"/>
    </row>
    <row r="321" spans="2:3" x14ac:dyDescent="0.25">
      <c r="B321" s="61"/>
      <c r="C321" s="61"/>
    </row>
    <row r="322" spans="2:3" x14ac:dyDescent="0.25">
      <c r="B322" s="61"/>
      <c r="C322" s="61"/>
    </row>
    <row r="323" spans="2:3" x14ac:dyDescent="0.25">
      <c r="B323" s="61"/>
      <c r="C323" s="61"/>
    </row>
    <row r="324" spans="2:3" x14ac:dyDescent="0.25">
      <c r="B324" s="61"/>
      <c r="C324" s="61"/>
    </row>
    <row r="325" spans="2:3" x14ac:dyDescent="0.25">
      <c r="B325" s="61"/>
      <c r="C325" s="61"/>
    </row>
    <row r="326" spans="2:3" x14ac:dyDescent="0.25">
      <c r="B326" s="61"/>
      <c r="C326" s="61"/>
    </row>
    <row r="327" spans="2:3" x14ac:dyDescent="0.25">
      <c r="B327" s="61"/>
      <c r="C327" s="61"/>
    </row>
    <row r="328" spans="2:3" x14ac:dyDescent="0.25">
      <c r="B328" s="61"/>
      <c r="C328" s="61"/>
    </row>
    <row r="329" spans="2:3" x14ac:dyDescent="0.25">
      <c r="B329" s="61"/>
      <c r="C329" s="61"/>
    </row>
    <row r="330" spans="2:3" x14ac:dyDescent="0.25">
      <c r="B330" s="61"/>
      <c r="C330" s="61"/>
    </row>
    <row r="331" spans="2:3" x14ac:dyDescent="0.25">
      <c r="B331" s="61"/>
      <c r="C331" s="61"/>
    </row>
    <row r="332" spans="2:3" x14ac:dyDescent="0.25">
      <c r="B332" s="61"/>
      <c r="C332" s="61"/>
    </row>
    <row r="333" spans="2:3" x14ac:dyDescent="0.25">
      <c r="B333" s="61"/>
      <c r="C333" s="61"/>
    </row>
    <row r="334" spans="2:3" x14ac:dyDescent="0.25">
      <c r="B334" s="61"/>
      <c r="C334" s="61"/>
    </row>
    <row r="335" spans="2:3" x14ac:dyDescent="0.25">
      <c r="B335" s="61"/>
      <c r="C335" s="61"/>
    </row>
    <row r="336" spans="2:3" x14ac:dyDescent="0.25">
      <c r="B336" s="61"/>
      <c r="C336" s="61"/>
    </row>
    <row r="337" spans="2:3" x14ac:dyDescent="0.25">
      <c r="B337" s="61"/>
      <c r="C337" s="61"/>
    </row>
    <row r="338" spans="2:3" x14ac:dyDescent="0.25">
      <c r="B338" s="61"/>
      <c r="C338" s="61"/>
    </row>
    <row r="339" spans="2:3" x14ac:dyDescent="0.25">
      <c r="B339" s="61"/>
      <c r="C339" s="61"/>
    </row>
    <row r="340" spans="2:3" x14ac:dyDescent="0.25">
      <c r="B340" s="61"/>
      <c r="C340" s="61"/>
    </row>
    <row r="341" spans="2:3" x14ac:dyDescent="0.25">
      <c r="B341" s="61"/>
      <c r="C341" s="61"/>
    </row>
    <row r="342" spans="2:3" x14ac:dyDescent="0.25">
      <c r="B342" s="61"/>
      <c r="C342" s="61"/>
    </row>
    <row r="343" spans="2:3" x14ac:dyDescent="0.25">
      <c r="B343" s="61"/>
      <c r="C343" s="61"/>
    </row>
    <row r="344" spans="2:3" x14ac:dyDescent="0.25">
      <c r="B344" s="61"/>
      <c r="C344" s="61"/>
    </row>
    <row r="345" spans="2:3" x14ac:dyDescent="0.25">
      <c r="B345" s="61"/>
      <c r="C345" s="61"/>
    </row>
    <row r="346" spans="2:3" x14ac:dyDescent="0.25">
      <c r="B346" s="61"/>
      <c r="C346" s="61"/>
    </row>
    <row r="347" spans="2:3" x14ac:dyDescent="0.25">
      <c r="B347" s="61"/>
      <c r="C347" s="61"/>
    </row>
    <row r="348" spans="2:3" x14ac:dyDescent="0.25">
      <c r="B348" s="61"/>
      <c r="C348" s="61"/>
    </row>
    <row r="349" spans="2:3" x14ac:dyDescent="0.25">
      <c r="B349" s="61"/>
      <c r="C349" s="61"/>
    </row>
    <row r="350" spans="2:3" x14ac:dyDescent="0.25">
      <c r="B350" s="61"/>
      <c r="C350" s="61"/>
    </row>
    <row r="351" spans="2:3" x14ac:dyDescent="0.25">
      <c r="B351" s="61"/>
      <c r="C351" s="61"/>
    </row>
    <row r="352" spans="2:3" x14ac:dyDescent="0.25">
      <c r="B352" s="61"/>
      <c r="C352" s="61"/>
    </row>
    <row r="353" spans="2:3" x14ac:dyDescent="0.25">
      <c r="B353" s="61"/>
      <c r="C353" s="61"/>
    </row>
    <row r="354" spans="2:3" x14ac:dyDescent="0.25">
      <c r="B354" s="61"/>
      <c r="C354" s="61"/>
    </row>
    <row r="355" spans="2:3" x14ac:dyDescent="0.25">
      <c r="B355" s="61"/>
      <c r="C355" s="61"/>
    </row>
    <row r="356" spans="2:3" x14ac:dyDescent="0.25">
      <c r="B356" s="61"/>
      <c r="C356" s="61"/>
    </row>
    <row r="357" spans="2:3" x14ac:dyDescent="0.25">
      <c r="B357" s="61"/>
      <c r="C357" s="61"/>
    </row>
    <row r="358" spans="2:3" x14ac:dyDescent="0.25">
      <c r="B358" s="61"/>
      <c r="C358" s="61"/>
    </row>
    <row r="359" spans="2:3" x14ac:dyDescent="0.25">
      <c r="B359" s="61"/>
      <c r="C359" s="61"/>
    </row>
    <row r="360" spans="2:3" x14ac:dyDescent="0.25">
      <c r="B360" s="61"/>
      <c r="C360" s="61"/>
    </row>
    <row r="361" spans="2:3" x14ac:dyDescent="0.25">
      <c r="B361" s="61"/>
      <c r="C361" s="61"/>
    </row>
    <row r="362" spans="2:3" x14ac:dyDescent="0.25">
      <c r="B362" s="61"/>
      <c r="C362" s="61"/>
    </row>
    <row r="363" spans="2:3" x14ac:dyDescent="0.25">
      <c r="B363" s="61"/>
      <c r="C363" s="61"/>
    </row>
    <row r="364" spans="2:3" x14ac:dyDescent="0.25">
      <c r="B364" s="61"/>
      <c r="C364" s="61"/>
    </row>
    <row r="365" spans="2:3" x14ac:dyDescent="0.25">
      <c r="B365" s="61"/>
      <c r="C365" s="61"/>
    </row>
    <row r="366" spans="2:3" x14ac:dyDescent="0.25">
      <c r="B366" s="61"/>
      <c r="C366" s="61"/>
    </row>
    <row r="367" spans="2:3" x14ac:dyDescent="0.25">
      <c r="B367" s="61"/>
      <c r="C367" s="61"/>
    </row>
    <row r="368" spans="2:3" x14ac:dyDescent="0.25">
      <c r="B368" s="61"/>
      <c r="C368" s="61"/>
    </row>
    <row r="369" spans="2:3" x14ac:dyDescent="0.25">
      <c r="B369" s="61"/>
      <c r="C369" s="61"/>
    </row>
    <row r="370" spans="2:3" x14ac:dyDescent="0.25">
      <c r="B370" s="61"/>
      <c r="C370" s="61"/>
    </row>
    <row r="371" spans="2:3" x14ac:dyDescent="0.25">
      <c r="B371" s="61"/>
      <c r="C371" s="61"/>
    </row>
    <row r="372" spans="2:3" x14ac:dyDescent="0.25">
      <c r="B372" s="61"/>
      <c r="C372" s="61"/>
    </row>
    <row r="373" spans="2:3" x14ac:dyDescent="0.25">
      <c r="B373" s="61"/>
      <c r="C373" s="61"/>
    </row>
    <row r="374" spans="2:3" x14ac:dyDescent="0.25">
      <c r="B374" s="61"/>
      <c r="C374" s="61"/>
    </row>
    <row r="375" spans="2:3" x14ac:dyDescent="0.25">
      <c r="B375" s="61"/>
      <c r="C375" s="61"/>
    </row>
    <row r="376" spans="2:3" x14ac:dyDescent="0.25">
      <c r="B376" s="61"/>
      <c r="C376" s="61"/>
    </row>
    <row r="377" spans="2:3" x14ac:dyDescent="0.25">
      <c r="B377" s="61"/>
      <c r="C377" s="61"/>
    </row>
    <row r="378" spans="2:3" x14ac:dyDescent="0.25">
      <c r="B378" s="61"/>
      <c r="C378" s="61"/>
    </row>
    <row r="379" spans="2:3" x14ac:dyDescent="0.25">
      <c r="B379" s="61"/>
      <c r="C379" s="61"/>
    </row>
    <row r="380" spans="2:3" x14ac:dyDescent="0.25">
      <c r="B380" s="61"/>
      <c r="C380" s="61"/>
    </row>
    <row r="381" spans="2:3" x14ac:dyDescent="0.25">
      <c r="B381" s="61"/>
      <c r="C381" s="61"/>
    </row>
    <row r="382" spans="2:3" x14ac:dyDescent="0.25">
      <c r="B382" s="61"/>
      <c r="C382" s="61"/>
    </row>
    <row r="383" spans="2:3" x14ac:dyDescent="0.25">
      <c r="B383" s="61"/>
      <c r="C383" s="61"/>
    </row>
    <row r="384" spans="2:3" x14ac:dyDescent="0.25">
      <c r="B384" s="61"/>
      <c r="C384" s="61"/>
    </row>
    <row r="385" spans="2:3" x14ac:dyDescent="0.25">
      <c r="B385" s="61"/>
      <c r="C385" s="61"/>
    </row>
    <row r="386" spans="2:3" x14ac:dyDescent="0.25">
      <c r="B386" s="61"/>
      <c r="C386" s="61"/>
    </row>
    <row r="387" spans="2:3" x14ac:dyDescent="0.25">
      <c r="B387" s="61"/>
      <c r="C387" s="61"/>
    </row>
    <row r="388" spans="2:3" x14ac:dyDescent="0.25">
      <c r="B388" s="61"/>
      <c r="C388" s="61"/>
    </row>
    <row r="389" spans="2:3" x14ac:dyDescent="0.25">
      <c r="B389" s="61"/>
      <c r="C389" s="61"/>
    </row>
    <row r="390" spans="2:3" x14ac:dyDescent="0.25">
      <c r="B390" s="61"/>
      <c r="C390" s="61"/>
    </row>
    <row r="391" spans="2:3" x14ac:dyDescent="0.25">
      <c r="B391" s="61"/>
      <c r="C391" s="61"/>
    </row>
    <row r="392" spans="2:3" x14ac:dyDescent="0.25">
      <c r="B392" s="61"/>
      <c r="C392" s="61"/>
    </row>
    <row r="393" spans="2:3" x14ac:dyDescent="0.25">
      <c r="B393" s="61"/>
      <c r="C393" s="61"/>
    </row>
    <row r="394" spans="2:3" x14ac:dyDescent="0.25">
      <c r="B394" s="61"/>
      <c r="C394" s="61"/>
    </row>
    <row r="395" spans="2:3" x14ac:dyDescent="0.25">
      <c r="B395" s="61"/>
      <c r="C395" s="61"/>
    </row>
    <row r="396" spans="2:3" x14ac:dyDescent="0.25">
      <c r="B396" s="61"/>
      <c r="C396" s="61"/>
    </row>
    <row r="397" spans="2:3" x14ac:dyDescent="0.25">
      <c r="B397" s="61"/>
      <c r="C397" s="61"/>
    </row>
    <row r="398" spans="2:3" x14ac:dyDescent="0.25">
      <c r="B398" s="61"/>
      <c r="C398" s="61"/>
    </row>
    <row r="399" spans="2:3" x14ac:dyDescent="0.25">
      <c r="B399" s="61"/>
      <c r="C399" s="61"/>
    </row>
    <row r="400" spans="2:3" x14ac:dyDescent="0.25">
      <c r="B400" s="61"/>
      <c r="C400" s="61"/>
    </row>
    <row r="401" spans="2:3" x14ac:dyDescent="0.25">
      <c r="B401" s="61"/>
      <c r="C401" s="61"/>
    </row>
    <row r="402" spans="2:3" x14ac:dyDescent="0.25">
      <c r="B402" s="61"/>
      <c r="C402" s="61"/>
    </row>
    <row r="403" spans="2:3" x14ac:dyDescent="0.25">
      <c r="B403" s="61"/>
      <c r="C403" s="61"/>
    </row>
    <row r="404" spans="2:3" x14ac:dyDescent="0.25">
      <c r="B404" s="61"/>
      <c r="C404" s="61"/>
    </row>
    <row r="405" spans="2:3" x14ac:dyDescent="0.25">
      <c r="B405" s="61"/>
      <c r="C405" s="61"/>
    </row>
    <row r="406" spans="2:3" x14ac:dyDescent="0.25">
      <c r="B406" s="61"/>
      <c r="C406" s="61"/>
    </row>
    <row r="407" spans="2:3" x14ac:dyDescent="0.25">
      <c r="B407" s="61"/>
      <c r="C407" s="61"/>
    </row>
    <row r="408" spans="2:3" x14ac:dyDescent="0.25">
      <c r="B408" s="61"/>
      <c r="C408" s="61"/>
    </row>
    <row r="409" spans="2:3" x14ac:dyDescent="0.25">
      <c r="B409" s="61"/>
      <c r="C409" s="61"/>
    </row>
    <row r="410" spans="2:3" x14ac:dyDescent="0.25">
      <c r="B410" s="61"/>
      <c r="C410" s="61"/>
    </row>
    <row r="411" spans="2:3" x14ac:dyDescent="0.25">
      <c r="B411" s="61"/>
      <c r="C411" s="61"/>
    </row>
    <row r="412" spans="2:3" x14ac:dyDescent="0.25">
      <c r="B412" s="61"/>
      <c r="C412" s="61"/>
    </row>
    <row r="413" spans="2:3" x14ac:dyDescent="0.25">
      <c r="B413" s="61"/>
      <c r="C413" s="61"/>
    </row>
    <row r="414" spans="2:3" x14ac:dyDescent="0.25">
      <c r="B414" s="61"/>
      <c r="C414" s="61"/>
    </row>
    <row r="415" spans="2:3" x14ac:dyDescent="0.25">
      <c r="B415" s="61"/>
      <c r="C415" s="61"/>
    </row>
    <row r="416" spans="2:3" x14ac:dyDescent="0.25">
      <c r="B416" s="61"/>
      <c r="C416" s="61"/>
    </row>
    <row r="417" spans="2:3" x14ac:dyDescent="0.25">
      <c r="B417" s="61"/>
      <c r="C417" s="61"/>
    </row>
    <row r="418" spans="2:3" x14ac:dyDescent="0.25">
      <c r="B418" s="61"/>
      <c r="C418" s="61"/>
    </row>
    <row r="419" spans="2:3" x14ac:dyDescent="0.25">
      <c r="B419" s="61"/>
      <c r="C419" s="61"/>
    </row>
    <row r="420" spans="2:3" x14ac:dyDescent="0.25">
      <c r="B420" s="61"/>
      <c r="C420" s="61"/>
    </row>
    <row r="421" spans="2:3" x14ac:dyDescent="0.25">
      <c r="B421" s="61"/>
      <c r="C421" s="61"/>
    </row>
    <row r="422" spans="2:3" x14ac:dyDescent="0.25">
      <c r="B422" s="61"/>
      <c r="C422" s="61"/>
    </row>
    <row r="423" spans="2:3" x14ac:dyDescent="0.25">
      <c r="B423" s="61"/>
      <c r="C423" s="61"/>
    </row>
    <row r="424" spans="2:3" x14ac:dyDescent="0.25">
      <c r="B424" s="61"/>
      <c r="C424" s="61"/>
    </row>
    <row r="425" spans="2:3" x14ac:dyDescent="0.25">
      <c r="B425" s="61"/>
      <c r="C425" s="61"/>
    </row>
    <row r="426" spans="2:3" x14ac:dyDescent="0.25">
      <c r="B426" s="61"/>
      <c r="C426" s="61"/>
    </row>
    <row r="427" spans="2:3" x14ac:dyDescent="0.25">
      <c r="B427" s="61"/>
      <c r="C427" s="61"/>
    </row>
    <row r="428" spans="2:3" x14ac:dyDescent="0.25">
      <c r="B428" s="61"/>
      <c r="C428" s="61"/>
    </row>
    <row r="429" spans="2:3" x14ac:dyDescent="0.25">
      <c r="B429" s="61"/>
      <c r="C429" s="61"/>
    </row>
    <row r="430" spans="2:3" x14ac:dyDescent="0.25">
      <c r="B430" s="61"/>
      <c r="C430" s="61"/>
    </row>
    <row r="431" spans="2:3" x14ac:dyDescent="0.25">
      <c r="B431" s="61"/>
      <c r="C431" s="61"/>
    </row>
    <row r="432" spans="2:3" x14ac:dyDescent="0.25">
      <c r="B432" s="61"/>
      <c r="C432" s="61"/>
    </row>
    <row r="433" spans="2:3" x14ac:dyDescent="0.25">
      <c r="B433" s="61"/>
      <c r="C433" s="61"/>
    </row>
    <row r="434" spans="2:3" x14ac:dyDescent="0.25">
      <c r="B434" s="61"/>
      <c r="C434" s="61"/>
    </row>
    <row r="435" spans="2:3" x14ac:dyDescent="0.25">
      <c r="B435" s="61"/>
      <c r="C435" s="61"/>
    </row>
    <row r="436" spans="2:3" x14ac:dyDescent="0.25">
      <c r="B436" s="61"/>
      <c r="C436" s="61"/>
    </row>
    <row r="437" spans="2:3" x14ac:dyDescent="0.25">
      <c r="B437" s="61"/>
      <c r="C437" s="61"/>
    </row>
    <row r="438" spans="2:3" x14ac:dyDescent="0.25">
      <c r="B438" s="61"/>
      <c r="C438" s="61"/>
    </row>
    <row r="439" spans="2:3" x14ac:dyDescent="0.25">
      <c r="B439" s="61"/>
      <c r="C439" s="61"/>
    </row>
    <row r="440" spans="2:3" x14ac:dyDescent="0.25">
      <c r="B440" s="61"/>
      <c r="C440" s="61"/>
    </row>
    <row r="441" spans="2:3" x14ac:dyDescent="0.25">
      <c r="B441" s="61"/>
      <c r="C441" s="61"/>
    </row>
    <row r="442" spans="2:3" x14ac:dyDescent="0.25">
      <c r="B442" s="61"/>
      <c r="C442" s="61"/>
    </row>
    <row r="443" spans="2:3" x14ac:dyDescent="0.25">
      <c r="B443" s="61"/>
      <c r="C443" s="61"/>
    </row>
    <row r="444" spans="2:3" x14ac:dyDescent="0.25">
      <c r="B444" s="61"/>
      <c r="C444" s="61"/>
    </row>
    <row r="445" spans="2:3" x14ac:dyDescent="0.25">
      <c r="B445" s="61"/>
      <c r="C445" s="61"/>
    </row>
    <row r="446" spans="2:3" x14ac:dyDescent="0.25">
      <c r="B446" s="61"/>
      <c r="C446" s="61"/>
    </row>
    <row r="447" spans="2:3" x14ac:dyDescent="0.25">
      <c r="B447" s="61"/>
      <c r="C447" s="61"/>
    </row>
    <row r="448" spans="2:3" x14ac:dyDescent="0.25">
      <c r="B448" s="61"/>
      <c r="C448" s="61"/>
    </row>
    <row r="449" spans="2:3" x14ac:dyDescent="0.25">
      <c r="B449" s="61"/>
      <c r="C449" s="61"/>
    </row>
    <row r="450" spans="2:3" x14ac:dyDescent="0.25">
      <c r="B450" s="61"/>
      <c r="C450" s="61"/>
    </row>
    <row r="451" spans="2:3" x14ac:dyDescent="0.25">
      <c r="B451" s="61"/>
      <c r="C451" s="61"/>
    </row>
    <row r="452" spans="2:3" x14ac:dyDescent="0.25">
      <c r="B452" s="61"/>
      <c r="C452" s="61"/>
    </row>
    <row r="453" spans="2:3" x14ac:dyDescent="0.25">
      <c r="B453" s="61"/>
      <c r="C453" s="61"/>
    </row>
    <row r="454" spans="2:3" x14ac:dyDescent="0.25">
      <c r="B454" s="61"/>
      <c r="C454" s="61"/>
    </row>
    <row r="455" spans="2:3" x14ac:dyDescent="0.25">
      <c r="B455" s="61"/>
      <c r="C455" s="61"/>
    </row>
    <row r="456" spans="2:3" x14ac:dyDescent="0.25">
      <c r="B456" s="61"/>
      <c r="C456" s="61"/>
    </row>
    <row r="457" spans="2:3" x14ac:dyDescent="0.25">
      <c r="B457" s="61"/>
      <c r="C457" s="61"/>
    </row>
    <row r="458" spans="2:3" x14ac:dyDescent="0.25">
      <c r="B458" s="61"/>
      <c r="C458" s="61"/>
    </row>
    <row r="459" spans="2:3" x14ac:dyDescent="0.25">
      <c r="B459" s="61"/>
      <c r="C459" s="61"/>
    </row>
    <row r="460" spans="2:3" x14ac:dyDescent="0.25">
      <c r="B460" s="61"/>
      <c r="C460" s="61"/>
    </row>
    <row r="461" spans="2:3" x14ac:dyDescent="0.25">
      <c r="B461" s="61"/>
      <c r="C461" s="61"/>
    </row>
    <row r="462" spans="2:3" x14ac:dyDescent="0.25">
      <c r="B462" s="61"/>
      <c r="C462" s="61"/>
    </row>
    <row r="463" spans="2:3" x14ac:dyDescent="0.25">
      <c r="B463" s="61"/>
      <c r="C463" s="61"/>
    </row>
    <row r="464" spans="2:3" x14ac:dyDescent="0.25">
      <c r="B464" s="61"/>
      <c r="C464" s="61"/>
    </row>
    <row r="465" spans="2:3" x14ac:dyDescent="0.25">
      <c r="B465" s="61"/>
      <c r="C465" s="61"/>
    </row>
    <row r="466" spans="2:3" x14ac:dyDescent="0.25">
      <c r="B466" s="61"/>
      <c r="C466" s="61"/>
    </row>
    <row r="467" spans="2:3" x14ac:dyDescent="0.25">
      <c r="B467" s="61"/>
      <c r="C467" s="61"/>
    </row>
    <row r="468" spans="2:3" x14ac:dyDescent="0.25">
      <c r="B468" s="61"/>
      <c r="C468" s="61"/>
    </row>
    <row r="469" spans="2:3" x14ac:dyDescent="0.25">
      <c r="B469" s="61"/>
      <c r="C469" s="61"/>
    </row>
    <row r="470" spans="2:3" x14ac:dyDescent="0.25">
      <c r="B470" s="61"/>
      <c r="C470" s="61"/>
    </row>
    <row r="471" spans="2:3" x14ac:dyDescent="0.25">
      <c r="B471" s="61"/>
      <c r="C471" s="61"/>
    </row>
    <row r="472" spans="2:3" x14ac:dyDescent="0.25">
      <c r="B472" s="61"/>
      <c r="C472" s="61"/>
    </row>
    <row r="473" spans="2:3" x14ac:dyDescent="0.25">
      <c r="B473" s="61"/>
      <c r="C473" s="61"/>
    </row>
    <row r="474" spans="2:3" x14ac:dyDescent="0.25">
      <c r="B474" s="61"/>
      <c r="C474" s="61"/>
    </row>
    <row r="475" spans="2:3" x14ac:dyDescent="0.25">
      <c r="B475" s="61"/>
      <c r="C475" s="61"/>
    </row>
    <row r="476" spans="2:3" x14ac:dyDescent="0.25">
      <c r="B476" s="61"/>
      <c r="C476" s="61"/>
    </row>
    <row r="477" spans="2:3" x14ac:dyDescent="0.25">
      <c r="B477" s="61"/>
      <c r="C477" s="61"/>
    </row>
    <row r="478" spans="2:3" x14ac:dyDescent="0.25">
      <c r="B478" s="61"/>
      <c r="C478" s="61"/>
    </row>
    <row r="479" spans="2:3" x14ac:dyDescent="0.25">
      <c r="B479" s="61"/>
      <c r="C479" s="61"/>
    </row>
    <row r="480" spans="2:3" x14ac:dyDescent="0.25">
      <c r="B480" s="61"/>
      <c r="C480" s="61"/>
    </row>
    <row r="481" spans="2:3" x14ac:dyDescent="0.25">
      <c r="B481" s="61"/>
      <c r="C481" s="61"/>
    </row>
    <row r="482" spans="2:3" x14ac:dyDescent="0.25">
      <c r="B482" s="61"/>
      <c r="C482" s="61"/>
    </row>
    <row r="483" spans="2:3" x14ac:dyDescent="0.25">
      <c r="B483" s="61"/>
      <c r="C483" s="61"/>
    </row>
    <row r="484" spans="2:3" x14ac:dyDescent="0.25">
      <c r="B484" s="61"/>
      <c r="C484" s="61"/>
    </row>
    <row r="485" spans="2:3" x14ac:dyDescent="0.25">
      <c r="B485" s="61"/>
      <c r="C485" s="61"/>
    </row>
    <row r="486" spans="2:3" x14ac:dyDescent="0.25">
      <c r="B486" s="61"/>
      <c r="C486" s="61"/>
    </row>
    <row r="487" spans="2:3" x14ac:dyDescent="0.25">
      <c r="B487" s="61"/>
      <c r="C487" s="61"/>
    </row>
    <row r="488" spans="2:3" x14ac:dyDescent="0.25">
      <c r="B488" s="61"/>
      <c r="C488" s="61"/>
    </row>
    <row r="489" spans="2:3" x14ac:dyDescent="0.25">
      <c r="B489" s="61"/>
      <c r="C489" s="61"/>
    </row>
    <row r="490" spans="2:3" x14ac:dyDescent="0.25">
      <c r="B490" s="61"/>
      <c r="C490" s="61"/>
    </row>
    <row r="491" spans="2:3" x14ac:dyDescent="0.25">
      <c r="B491" s="61"/>
      <c r="C491" s="61"/>
    </row>
    <row r="492" spans="2:3" x14ac:dyDescent="0.25">
      <c r="B492" s="61"/>
      <c r="C492" s="61"/>
    </row>
    <row r="493" spans="2:3" x14ac:dyDescent="0.25">
      <c r="B493" s="61"/>
      <c r="C493" s="61"/>
    </row>
    <row r="494" spans="2:3" x14ac:dyDescent="0.25">
      <c r="B494" s="61"/>
      <c r="C494" s="61"/>
    </row>
    <row r="495" spans="2:3" x14ac:dyDescent="0.25">
      <c r="B495" s="61"/>
      <c r="C495" s="61"/>
    </row>
    <row r="496" spans="2:3" x14ac:dyDescent="0.25">
      <c r="B496" s="61"/>
      <c r="C496" s="61"/>
    </row>
    <row r="497" spans="2:3" x14ac:dyDescent="0.25">
      <c r="B497" s="61"/>
      <c r="C497" s="61"/>
    </row>
    <row r="498" spans="2:3" x14ac:dyDescent="0.25">
      <c r="B498" s="61"/>
      <c r="C498" s="61"/>
    </row>
    <row r="499" spans="2:3" x14ac:dyDescent="0.25">
      <c r="B499" s="61"/>
      <c r="C499" s="61"/>
    </row>
    <row r="500" spans="2:3" x14ac:dyDescent="0.25">
      <c r="B500" s="61"/>
      <c r="C500" s="61"/>
    </row>
    <row r="501" spans="2:3" x14ac:dyDescent="0.25">
      <c r="B501" s="61"/>
      <c r="C501" s="61"/>
    </row>
    <row r="502" spans="2:3" x14ac:dyDescent="0.25">
      <c r="B502" s="61"/>
      <c r="C502" s="61"/>
    </row>
    <row r="503" spans="2:3" x14ac:dyDescent="0.25">
      <c r="B503" s="61"/>
      <c r="C503" s="61"/>
    </row>
    <row r="504" spans="2:3" x14ac:dyDescent="0.25">
      <c r="B504" s="61"/>
      <c r="C504" s="61"/>
    </row>
    <row r="505" spans="2:3" x14ac:dyDescent="0.25">
      <c r="B505" s="61"/>
      <c r="C505" s="61"/>
    </row>
    <row r="506" spans="2:3" x14ac:dyDescent="0.25">
      <c r="B506" s="61"/>
      <c r="C506" s="61"/>
    </row>
    <row r="507" spans="2:3" x14ac:dyDescent="0.25">
      <c r="B507" s="61"/>
      <c r="C507" s="61"/>
    </row>
    <row r="508" spans="2:3" x14ac:dyDescent="0.25">
      <c r="B508" s="61"/>
      <c r="C508" s="61"/>
    </row>
    <row r="509" spans="2:3" x14ac:dyDescent="0.25">
      <c r="B509" s="61"/>
      <c r="C509" s="61"/>
    </row>
    <row r="510" spans="2:3" x14ac:dyDescent="0.25">
      <c r="B510" s="61"/>
      <c r="C510" s="61"/>
    </row>
    <row r="511" spans="2:3" x14ac:dyDescent="0.25">
      <c r="B511" s="61"/>
      <c r="C511" s="61"/>
    </row>
    <row r="512" spans="2:3" x14ac:dyDescent="0.25">
      <c r="B512" s="61"/>
      <c r="C512" s="61"/>
    </row>
    <row r="513" spans="2:3" x14ac:dyDescent="0.25">
      <c r="B513" s="61"/>
      <c r="C513" s="61"/>
    </row>
    <row r="514" spans="2:3" x14ac:dyDescent="0.25">
      <c r="B514" s="61"/>
      <c r="C514" s="61"/>
    </row>
    <row r="515" spans="2:3" x14ac:dyDescent="0.25">
      <c r="B515" s="61"/>
      <c r="C515" s="61"/>
    </row>
    <row r="516" spans="2:3" x14ac:dyDescent="0.25">
      <c r="B516" s="61"/>
      <c r="C516" s="61"/>
    </row>
    <row r="517" spans="2:3" x14ac:dyDescent="0.25">
      <c r="B517" s="61"/>
      <c r="C517" s="61"/>
    </row>
    <row r="518" spans="2:3" x14ac:dyDescent="0.25">
      <c r="B518" s="61"/>
      <c r="C518" s="61"/>
    </row>
    <row r="519" spans="2:3" x14ac:dyDescent="0.25">
      <c r="B519" s="61"/>
      <c r="C519" s="61"/>
    </row>
    <row r="520" spans="2:3" x14ac:dyDescent="0.25">
      <c r="B520" s="61"/>
      <c r="C520" s="61"/>
    </row>
    <row r="521" spans="2:3" x14ac:dyDescent="0.25">
      <c r="B521" s="61"/>
      <c r="C521" s="61"/>
    </row>
    <row r="522" spans="2:3" x14ac:dyDescent="0.25">
      <c r="B522" s="61"/>
      <c r="C522" s="61"/>
    </row>
    <row r="523" spans="2:3" x14ac:dyDescent="0.25">
      <c r="B523" s="61"/>
      <c r="C523" s="61"/>
    </row>
    <row r="524" spans="2:3" x14ac:dyDescent="0.25">
      <c r="B524" s="61"/>
      <c r="C524" s="61"/>
    </row>
    <row r="525" spans="2:3" x14ac:dyDescent="0.25">
      <c r="B525" s="61"/>
      <c r="C525" s="61"/>
    </row>
    <row r="526" spans="2:3" x14ac:dyDescent="0.25">
      <c r="B526" s="61"/>
      <c r="C526" s="61"/>
    </row>
    <row r="527" spans="2:3" x14ac:dyDescent="0.25">
      <c r="B527" s="61"/>
      <c r="C527" s="61"/>
    </row>
    <row r="528" spans="2:3" x14ac:dyDescent="0.25">
      <c r="B528" s="61"/>
      <c r="C528" s="61"/>
    </row>
    <row r="529" spans="2:3" x14ac:dyDescent="0.25">
      <c r="B529" s="61"/>
      <c r="C529" s="61"/>
    </row>
    <row r="530" spans="2:3" x14ac:dyDescent="0.25">
      <c r="B530" s="61"/>
      <c r="C530" s="61"/>
    </row>
    <row r="531" spans="2:3" x14ac:dyDescent="0.25">
      <c r="B531" s="61"/>
      <c r="C531" s="61"/>
    </row>
    <row r="532" spans="2:3" x14ac:dyDescent="0.25">
      <c r="B532" s="61"/>
      <c r="C532" s="61"/>
    </row>
    <row r="533" spans="2:3" x14ac:dyDescent="0.25">
      <c r="B533" s="61"/>
      <c r="C533" s="61"/>
    </row>
    <row r="534" spans="2:3" x14ac:dyDescent="0.25">
      <c r="B534" s="61"/>
      <c r="C534" s="61"/>
    </row>
    <row r="535" spans="2:3" x14ac:dyDescent="0.25">
      <c r="B535" s="61"/>
      <c r="C535" s="61"/>
    </row>
    <row r="536" spans="2:3" x14ac:dyDescent="0.25">
      <c r="B536" s="61"/>
      <c r="C536" s="61"/>
    </row>
    <row r="537" spans="2:3" x14ac:dyDescent="0.25">
      <c r="B537" s="61"/>
      <c r="C537" s="61"/>
    </row>
    <row r="538" spans="2:3" x14ac:dyDescent="0.25">
      <c r="B538" s="61"/>
      <c r="C538" s="61"/>
    </row>
    <row r="539" spans="2:3" x14ac:dyDescent="0.25">
      <c r="B539" s="61"/>
      <c r="C539" s="61"/>
    </row>
    <row r="540" spans="2:3" x14ac:dyDescent="0.25">
      <c r="B540" s="61"/>
      <c r="C540" s="61"/>
    </row>
    <row r="541" spans="2:3" x14ac:dyDescent="0.25">
      <c r="B541" s="61"/>
      <c r="C541" s="61"/>
    </row>
    <row r="542" spans="2:3" x14ac:dyDescent="0.25">
      <c r="B542" s="61"/>
      <c r="C542" s="61"/>
    </row>
    <row r="543" spans="2:3" x14ac:dyDescent="0.25">
      <c r="B543" s="61"/>
      <c r="C543" s="61"/>
    </row>
    <row r="544" spans="2:3" x14ac:dyDescent="0.25">
      <c r="B544" s="61"/>
      <c r="C544" s="61"/>
    </row>
    <row r="545" spans="2:3" x14ac:dyDescent="0.25">
      <c r="B545" s="61"/>
      <c r="C545" s="61"/>
    </row>
    <row r="546" spans="2:3" x14ac:dyDescent="0.25">
      <c r="B546" s="61"/>
      <c r="C546" s="61"/>
    </row>
    <row r="547" spans="2:3" x14ac:dyDescent="0.25">
      <c r="B547" s="61"/>
      <c r="C547" s="61"/>
    </row>
    <row r="548" spans="2:3" x14ac:dyDescent="0.25">
      <c r="B548" s="61"/>
      <c r="C548" s="61"/>
    </row>
    <row r="549" spans="2:3" x14ac:dyDescent="0.25">
      <c r="B549" s="61"/>
      <c r="C549" s="61"/>
    </row>
    <row r="550" spans="2:3" x14ac:dyDescent="0.25">
      <c r="B550" s="61"/>
      <c r="C550" s="61"/>
    </row>
    <row r="551" spans="2:3" x14ac:dyDescent="0.25">
      <c r="B551" s="61"/>
      <c r="C551" s="61"/>
    </row>
    <row r="552" spans="2:3" x14ac:dyDescent="0.25">
      <c r="B552" s="61"/>
      <c r="C552" s="61"/>
    </row>
    <row r="553" spans="2:3" x14ac:dyDescent="0.25">
      <c r="B553" s="61"/>
      <c r="C553" s="61"/>
    </row>
    <row r="554" spans="2:3" x14ac:dyDescent="0.25">
      <c r="B554" s="61"/>
      <c r="C554" s="61"/>
    </row>
    <row r="555" spans="2:3" x14ac:dyDescent="0.25">
      <c r="B555" s="61"/>
      <c r="C555" s="61"/>
    </row>
    <row r="556" spans="2:3" x14ac:dyDescent="0.25">
      <c r="B556" s="61"/>
      <c r="C556" s="61"/>
    </row>
    <row r="557" spans="2:3" x14ac:dyDescent="0.25">
      <c r="B557" s="61"/>
      <c r="C557" s="61"/>
    </row>
    <row r="558" spans="2:3" x14ac:dyDescent="0.25">
      <c r="B558" s="61"/>
      <c r="C558" s="61"/>
    </row>
    <row r="559" spans="2:3" x14ac:dyDescent="0.25">
      <c r="B559" s="61"/>
      <c r="C559" s="61"/>
    </row>
    <row r="560" spans="2:3" x14ac:dyDescent="0.25">
      <c r="B560" s="61"/>
      <c r="C560" s="61"/>
    </row>
    <row r="561" spans="2:3" x14ac:dyDescent="0.25">
      <c r="B561" s="61"/>
      <c r="C561" s="61"/>
    </row>
    <row r="562" spans="2:3" x14ac:dyDescent="0.25">
      <c r="B562" s="61"/>
      <c r="C562" s="61"/>
    </row>
    <row r="563" spans="2:3" x14ac:dyDescent="0.25">
      <c r="B563" s="61"/>
      <c r="C563" s="61"/>
    </row>
    <row r="564" spans="2:3" x14ac:dyDescent="0.25">
      <c r="B564" s="61"/>
      <c r="C564" s="61"/>
    </row>
    <row r="565" spans="2:3" x14ac:dyDescent="0.25">
      <c r="B565" s="61"/>
      <c r="C565" s="61"/>
    </row>
    <row r="566" spans="2:3" x14ac:dyDescent="0.25">
      <c r="B566" s="61"/>
      <c r="C566" s="61"/>
    </row>
    <row r="567" spans="2:3" x14ac:dyDescent="0.25">
      <c r="B567" s="61"/>
      <c r="C567" s="61"/>
    </row>
    <row r="568" spans="2:3" x14ac:dyDescent="0.25">
      <c r="B568" s="61"/>
      <c r="C568" s="61"/>
    </row>
    <row r="569" spans="2:3" x14ac:dyDescent="0.25">
      <c r="B569" s="61"/>
      <c r="C569" s="61"/>
    </row>
    <row r="570" spans="2:3" x14ac:dyDescent="0.25">
      <c r="B570" s="61"/>
      <c r="C570" s="61"/>
    </row>
    <row r="571" spans="2:3" x14ac:dyDescent="0.25">
      <c r="B571" s="61"/>
      <c r="C571" s="61"/>
    </row>
    <row r="572" spans="2:3" x14ac:dyDescent="0.25">
      <c r="B572" s="61"/>
      <c r="C572" s="61"/>
    </row>
    <row r="573" spans="2:3" x14ac:dyDescent="0.25">
      <c r="B573" s="61"/>
      <c r="C573" s="61"/>
    </row>
    <row r="574" spans="2:3" x14ac:dyDescent="0.25">
      <c r="B574" s="61"/>
      <c r="C574" s="61"/>
    </row>
    <row r="575" spans="2:3" x14ac:dyDescent="0.25">
      <c r="B575" s="61"/>
      <c r="C575" s="61"/>
    </row>
    <row r="576" spans="2:3" x14ac:dyDescent="0.25">
      <c r="B576" s="61"/>
      <c r="C576" s="61"/>
    </row>
    <row r="577" spans="2:3" x14ac:dyDescent="0.25">
      <c r="B577" s="61"/>
      <c r="C577" s="61"/>
    </row>
    <row r="578" spans="2:3" x14ac:dyDescent="0.25">
      <c r="B578" s="61"/>
      <c r="C578" s="61"/>
    </row>
    <row r="579" spans="2:3" x14ac:dyDescent="0.25">
      <c r="B579" s="61"/>
      <c r="C579" s="61"/>
    </row>
    <row r="580" spans="2:3" x14ac:dyDescent="0.25">
      <c r="B580" s="61"/>
      <c r="C580" s="61"/>
    </row>
    <row r="581" spans="2:3" x14ac:dyDescent="0.25">
      <c r="B581" s="61"/>
      <c r="C581" s="61"/>
    </row>
    <row r="582" spans="2:3" x14ac:dyDescent="0.25">
      <c r="B582" s="61"/>
      <c r="C582" s="61"/>
    </row>
    <row r="583" spans="2:3" x14ac:dyDescent="0.25">
      <c r="B583" s="61"/>
      <c r="C583" s="61"/>
    </row>
    <row r="584" spans="2:3" x14ac:dyDescent="0.25">
      <c r="B584" s="61"/>
      <c r="C584" s="61"/>
    </row>
    <row r="585" spans="2:3" x14ac:dyDescent="0.25">
      <c r="B585" s="61"/>
      <c r="C585" s="61"/>
    </row>
    <row r="586" spans="2:3" x14ac:dyDescent="0.25">
      <c r="B586" s="61"/>
      <c r="C586" s="61"/>
    </row>
    <row r="587" spans="2:3" x14ac:dyDescent="0.25">
      <c r="B587" s="61"/>
      <c r="C587" s="61"/>
    </row>
    <row r="588" spans="2:3" x14ac:dyDescent="0.25">
      <c r="B588" s="61"/>
      <c r="C588" s="61"/>
    </row>
    <row r="589" spans="2:3" x14ac:dyDescent="0.25">
      <c r="B589" s="61"/>
      <c r="C589" s="61"/>
    </row>
    <row r="590" spans="2:3" x14ac:dyDescent="0.25">
      <c r="B590" s="61"/>
      <c r="C590" s="61"/>
    </row>
    <row r="591" spans="2:3" x14ac:dyDescent="0.25">
      <c r="B591" s="61"/>
      <c r="C591" s="61"/>
    </row>
    <row r="592" spans="2:3" x14ac:dyDescent="0.25">
      <c r="B592" s="61"/>
      <c r="C592" s="61"/>
    </row>
    <row r="593" spans="2:3" x14ac:dyDescent="0.25">
      <c r="B593" s="61"/>
      <c r="C593" s="61"/>
    </row>
    <row r="594" spans="2:3" x14ac:dyDescent="0.25">
      <c r="B594" s="61"/>
      <c r="C594" s="61"/>
    </row>
    <row r="595" spans="2:3" x14ac:dyDescent="0.25">
      <c r="B595" s="61"/>
      <c r="C595" s="61"/>
    </row>
    <row r="596" spans="2:3" x14ac:dyDescent="0.25">
      <c r="B596" s="61"/>
      <c r="C596" s="61"/>
    </row>
    <row r="597" spans="2:3" x14ac:dyDescent="0.25">
      <c r="B597" s="61"/>
      <c r="C597" s="61"/>
    </row>
    <row r="598" spans="2:3" x14ac:dyDescent="0.25">
      <c r="B598" s="61"/>
      <c r="C598" s="61"/>
    </row>
    <row r="599" spans="2:3" x14ac:dyDescent="0.25">
      <c r="B599" s="61"/>
      <c r="C599" s="61"/>
    </row>
    <row r="600" spans="2:3" x14ac:dyDescent="0.25">
      <c r="B600" s="61"/>
      <c r="C600" s="61"/>
    </row>
    <row r="601" spans="2:3" x14ac:dyDescent="0.25">
      <c r="B601" s="61"/>
      <c r="C601" s="61"/>
    </row>
    <row r="602" spans="2:3" x14ac:dyDescent="0.25">
      <c r="B602" s="61"/>
      <c r="C602" s="61"/>
    </row>
    <row r="603" spans="2:3" x14ac:dyDescent="0.25">
      <c r="B603" s="61"/>
      <c r="C603" s="61"/>
    </row>
    <row r="604" spans="2:3" x14ac:dyDescent="0.25">
      <c r="B604" s="61"/>
      <c r="C604" s="61"/>
    </row>
    <row r="605" spans="2:3" x14ac:dyDescent="0.25">
      <c r="B605" s="61"/>
      <c r="C605" s="61"/>
    </row>
    <row r="606" spans="2:3" x14ac:dyDescent="0.25">
      <c r="B606" s="61"/>
      <c r="C606" s="61"/>
    </row>
    <row r="607" spans="2:3" x14ac:dyDescent="0.25">
      <c r="B607" s="61"/>
      <c r="C607" s="61"/>
    </row>
    <row r="608" spans="2:3" x14ac:dyDescent="0.25">
      <c r="B608" s="61"/>
      <c r="C608" s="61"/>
    </row>
    <row r="609" spans="2:3" x14ac:dyDescent="0.25">
      <c r="B609" s="61"/>
      <c r="C609" s="61"/>
    </row>
    <row r="610" spans="2:3" x14ac:dyDescent="0.25">
      <c r="B610" s="61"/>
      <c r="C610" s="61"/>
    </row>
    <row r="611" spans="2:3" x14ac:dyDescent="0.25">
      <c r="B611" s="61"/>
      <c r="C611" s="61"/>
    </row>
    <row r="612" spans="2:3" x14ac:dyDescent="0.25">
      <c r="B612" s="61"/>
      <c r="C612" s="61"/>
    </row>
    <row r="613" spans="2:3" x14ac:dyDescent="0.25">
      <c r="B613" s="61"/>
      <c r="C613" s="61"/>
    </row>
    <row r="614" spans="2:3" x14ac:dyDescent="0.25">
      <c r="B614" s="61"/>
      <c r="C614" s="61"/>
    </row>
    <row r="615" spans="2:3" x14ac:dyDescent="0.25">
      <c r="B615" s="61"/>
      <c r="C615" s="61"/>
    </row>
    <row r="616" spans="2:3" x14ac:dyDescent="0.25">
      <c r="B616" s="61"/>
      <c r="C616" s="61"/>
    </row>
    <row r="617" spans="2:3" x14ac:dyDescent="0.25">
      <c r="B617" s="61"/>
      <c r="C617" s="61"/>
    </row>
    <row r="618" spans="2:3" x14ac:dyDescent="0.25">
      <c r="B618" s="61"/>
      <c r="C618" s="61"/>
    </row>
    <row r="619" spans="2:3" x14ac:dyDescent="0.25">
      <c r="B619" s="61"/>
      <c r="C619" s="61"/>
    </row>
    <row r="620" spans="2:3" x14ac:dyDescent="0.25">
      <c r="B620" s="61"/>
      <c r="C620" s="61"/>
    </row>
    <row r="621" spans="2:3" x14ac:dyDescent="0.25">
      <c r="B621" s="61"/>
      <c r="C621" s="61"/>
    </row>
    <row r="622" spans="2:3" x14ac:dyDescent="0.25">
      <c r="B622" s="61"/>
      <c r="C622" s="61"/>
    </row>
    <row r="623" spans="2:3" x14ac:dyDescent="0.25">
      <c r="B623" s="61"/>
      <c r="C623" s="61"/>
    </row>
    <row r="624" spans="2:3" x14ac:dyDescent="0.25">
      <c r="B624" s="61"/>
      <c r="C624" s="61"/>
    </row>
    <row r="625" spans="2:3" x14ac:dyDescent="0.25">
      <c r="B625" s="61"/>
      <c r="C625" s="61"/>
    </row>
    <row r="626" spans="2:3" x14ac:dyDescent="0.25">
      <c r="B626" s="61"/>
      <c r="C626" s="61"/>
    </row>
    <row r="627" spans="2:3" x14ac:dyDescent="0.25">
      <c r="B627" s="61"/>
      <c r="C627" s="61"/>
    </row>
    <row r="628" spans="2:3" x14ac:dyDescent="0.25">
      <c r="B628" s="61"/>
      <c r="C628" s="61"/>
    </row>
    <row r="629" spans="2:3" x14ac:dyDescent="0.25">
      <c r="B629" s="61"/>
      <c r="C629" s="61"/>
    </row>
    <row r="630" spans="2:3" x14ac:dyDescent="0.25">
      <c r="B630" s="61"/>
      <c r="C630" s="61"/>
    </row>
    <row r="631" spans="2:3" x14ac:dyDescent="0.25">
      <c r="B631" s="61"/>
      <c r="C631" s="61"/>
    </row>
    <row r="632" spans="2:3" x14ac:dyDescent="0.25">
      <c r="B632" s="61"/>
      <c r="C632" s="61"/>
    </row>
    <row r="633" spans="2:3" x14ac:dyDescent="0.25">
      <c r="B633" s="61"/>
      <c r="C633" s="61"/>
    </row>
    <row r="634" spans="2:3" x14ac:dyDescent="0.25">
      <c r="B634" s="61"/>
      <c r="C634" s="61"/>
    </row>
    <row r="635" spans="2:3" x14ac:dyDescent="0.25">
      <c r="B635" s="61"/>
      <c r="C635" s="61"/>
    </row>
    <row r="636" spans="2:3" x14ac:dyDescent="0.25">
      <c r="B636" s="61"/>
      <c r="C636" s="61"/>
    </row>
    <row r="637" spans="2:3" x14ac:dyDescent="0.25">
      <c r="B637" s="61"/>
      <c r="C637" s="61"/>
    </row>
    <row r="638" spans="2:3" x14ac:dyDescent="0.25">
      <c r="B638" s="61"/>
      <c r="C638" s="61"/>
    </row>
    <row r="639" spans="2:3" x14ac:dyDescent="0.25">
      <c r="B639" s="61"/>
      <c r="C639" s="61"/>
    </row>
    <row r="640" spans="2:3" x14ac:dyDescent="0.25">
      <c r="B640" s="61"/>
      <c r="C640" s="61"/>
    </row>
    <row r="641" spans="2:3" x14ac:dyDescent="0.25">
      <c r="B641" s="61"/>
      <c r="C641" s="61"/>
    </row>
    <row r="642" spans="2:3" x14ac:dyDescent="0.25">
      <c r="B642" s="61"/>
      <c r="C642" s="61"/>
    </row>
    <row r="643" spans="2:3" x14ac:dyDescent="0.25">
      <c r="B643" s="61"/>
      <c r="C643" s="61"/>
    </row>
    <row r="644" spans="2:3" x14ac:dyDescent="0.25">
      <c r="B644" s="61"/>
      <c r="C644" s="61"/>
    </row>
    <row r="645" spans="2:3" x14ac:dyDescent="0.25">
      <c r="B645" s="61"/>
      <c r="C645" s="61"/>
    </row>
    <row r="646" spans="2:3" x14ac:dyDescent="0.25">
      <c r="B646" s="61"/>
      <c r="C646" s="61"/>
    </row>
    <row r="647" spans="2:3" x14ac:dyDescent="0.25">
      <c r="B647" s="61"/>
      <c r="C647" s="61"/>
    </row>
    <row r="648" spans="2:3" x14ac:dyDescent="0.25">
      <c r="B648" s="61"/>
      <c r="C648" s="61"/>
    </row>
    <row r="649" spans="2:3" x14ac:dyDescent="0.25">
      <c r="B649" s="61"/>
      <c r="C649" s="61"/>
    </row>
    <row r="650" spans="2:3" x14ac:dyDescent="0.25">
      <c r="B650" s="61"/>
      <c r="C650" s="61"/>
    </row>
    <row r="651" spans="2:3" x14ac:dyDescent="0.25">
      <c r="B651" s="61"/>
      <c r="C651" s="61"/>
    </row>
    <row r="652" spans="2:3" x14ac:dyDescent="0.25">
      <c r="B652" s="61"/>
      <c r="C652" s="61"/>
    </row>
    <row r="653" spans="2:3" x14ac:dyDescent="0.25">
      <c r="B653" s="61"/>
      <c r="C653" s="61"/>
    </row>
    <row r="654" spans="2:3" x14ac:dyDescent="0.25">
      <c r="B654" s="61"/>
      <c r="C654" s="61"/>
    </row>
    <row r="655" spans="2:3" x14ac:dyDescent="0.25">
      <c r="B655" s="61"/>
      <c r="C655" s="61"/>
    </row>
    <row r="656" spans="2:3" x14ac:dyDescent="0.25">
      <c r="B656" s="61"/>
      <c r="C656" s="61"/>
    </row>
    <row r="657" spans="2:3" x14ac:dyDescent="0.25">
      <c r="B657" s="61"/>
      <c r="C657" s="61"/>
    </row>
    <row r="658" spans="2:3" x14ac:dyDescent="0.25">
      <c r="B658" s="61"/>
      <c r="C658" s="61"/>
    </row>
    <row r="659" spans="2:3" x14ac:dyDescent="0.25">
      <c r="B659" s="61"/>
      <c r="C659" s="61"/>
    </row>
    <row r="660" spans="2:3" x14ac:dyDescent="0.25">
      <c r="B660" s="61"/>
      <c r="C660" s="61"/>
    </row>
    <row r="661" spans="2:3" x14ac:dyDescent="0.25">
      <c r="B661" s="61"/>
      <c r="C661" s="61"/>
    </row>
    <row r="662" spans="2:3" x14ac:dyDescent="0.25">
      <c r="B662" s="61"/>
      <c r="C662" s="61"/>
    </row>
    <row r="663" spans="2:3" x14ac:dyDescent="0.25">
      <c r="B663" s="61"/>
      <c r="C663" s="61"/>
    </row>
    <row r="664" spans="2:3" x14ac:dyDescent="0.25">
      <c r="B664" s="61"/>
      <c r="C664" s="61"/>
    </row>
    <row r="665" spans="2:3" x14ac:dyDescent="0.25">
      <c r="B665" s="61"/>
      <c r="C665" s="61"/>
    </row>
    <row r="666" spans="2:3" x14ac:dyDescent="0.25">
      <c r="B666" s="61"/>
      <c r="C666" s="61"/>
    </row>
    <row r="667" spans="2:3" x14ac:dyDescent="0.25">
      <c r="B667" s="61"/>
      <c r="C667" s="61"/>
    </row>
    <row r="668" spans="2:3" x14ac:dyDescent="0.25">
      <c r="B668" s="61"/>
      <c r="C668" s="61"/>
    </row>
    <row r="669" spans="2:3" x14ac:dyDescent="0.25">
      <c r="B669" s="61"/>
      <c r="C669" s="61"/>
    </row>
    <row r="670" spans="2:3" x14ac:dyDescent="0.25">
      <c r="B670" s="61"/>
      <c r="C670" s="61"/>
    </row>
    <row r="671" spans="2:3" x14ac:dyDescent="0.25">
      <c r="B671" s="61"/>
      <c r="C671" s="61"/>
    </row>
    <row r="672" spans="2:3" x14ac:dyDescent="0.25">
      <c r="B672" s="61"/>
      <c r="C672" s="61"/>
    </row>
    <row r="673" spans="2:3" x14ac:dyDescent="0.25">
      <c r="B673" s="61"/>
      <c r="C673" s="61"/>
    </row>
    <row r="674" spans="2:3" x14ac:dyDescent="0.25">
      <c r="B674" s="61"/>
      <c r="C674" s="61"/>
    </row>
    <row r="675" spans="2:3" x14ac:dyDescent="0.25">
      <c r="B675" s="61"/>
      <c r="C675" s="61"/>
    </row>
    <row r="676" spans="2:3" x14ac:dyDescent="0.25">
      <c r="B676" s="61"/>
      <c r="C676" s="61"/>
    </row>
    <row r="677" spans="2:3" x14ac:dyDescent="0.25">
      <c r="B677" s="61"/>
      <c r="C677" s="61"/>
    </row>
    <row r="678" spans="2:3" x14ac:dyDescent="0.25">
      <c r="B678" s="61"/>
      <c r="C678" s="61"/>
    </row>
    <row r="679" spans="2:3" x14ac:dyDescent="0.25">
      <c r="B679" s="61"/>
      <c r="C679" s="61"/>
    </row>
    <row r="680" spans="2:3" x14ac:dyDescent="0.25">
      <c r="B680" s="61"/>
      <c r="C680" s="61"/>
    </row>
    <row r="681" spans="2:3" x14ac:dyDescent="0.25">
      <c r="B681" s="61"/>
      <c r="C681" s="61"/>
    </row>
    <row r="682" spans="2:3" x14ac:dyDescent="0.25">
      <c r="B682" s="61"/>
      <c r="C682" s="61"/>
    </row>
    <row r="683" spans="2:3" x14ac:dyDescent="0.25">
      <c r="B683" s="61"/>
      <c r="C683" s="61"/>
    </row>
    <row r="684" spans="2:3" x14ac:dyDescent="0.25">
      <c r="B684" s="61"/>
      <c r="C684" s="61"/>
    </row>
    <row r="685" spans="2:3" x14ac:dyDescent="0.25">
      <c r="B685" s="61"/>
      <c r="C685" s="61"/>
    </row>
    <row r="686" spans="2:3" x14ac:dyDescent="0.25">
      <c r="B686" s="61"/>
      <c r="C686" s="61"/>
    </row>
    <row r="687" spans="2:3" x14ac:dyDescent="0.25">
      <c r="B687" s="61"/>
      <c r="C687" s="61"/>
    </row>
    <row r="688" spans="2:3" x14ac:dyDescent="0.25">
      <c r="B688" s="61"/>
      <c r="C688" s="61"/>
    </row>
    <row r="689" spans="2:3" x14ac:dyDescent="0.25">
      <c r="B689" s="61"/>
      <c r="C689" s="61"/>
    </row>
    <row r="690" spans="2:3" x14ac:dyDescent="0.25">
      <c r="B690" s="61"/>
      <c r="C690" s="61"/>
    </row>
    <row r="691" spans="2:3" x14ac:dyDescent="0.25">
      <c r="B691" s="61"/>
      <c r="C691" s="61"/>
    </row>
    <row r="692" spans="2:3" x14ac:dyDescent="0.25">
      <c r="B692" s="61"/>
      <c r="C692" s="61"/>
    </row>
    <row r="693" spans="2:3" x14ac:dyDescent="0.25">
      <c r="B693" s="61"/>
      <c r="C693" s="61"/>
    </row>
    <row r="694" spans="2:3" x14ac:dyDescent="0.25">
      <c r="B694" s="61"/>
      <c r="C694" s="61"/>
    </row>
    <row r="695" spans="2:3" x14ac:dyDescent="0.25">
      <c r="B695" s="61"/>
      <c r="C695" s="61"/>
    </row>
    <row r="696" spans="2:3" x14ac:dyDescent="0.25">
      <c r="B696" s="61"/>
      <c r="C696" s="61"/>
    </row>
    <row r="697" spans="2:3" x14ac:dyDescent="0.25">
      <c r="B697" s="61"/>
      <c r="C697" s="61"/>
    </row>
    <row r="698" spans="2:3" x14ac:dyDescent="0.25">
      <c r="B698" s="61"/>
      <c r="C698" s="61"/>
    </row>
    <row r="699" spans="2:3" x14ac:dyDescent="0.25">
      <c r="B699" s="61"/>
      <c r="C699" s="61"/>
    </row>
    <row r="700" spans="2:3" x14ac:dyDescent="0.25">
      <c r="B700" s="61"/>
      <c r="C700" s="61"/>
    </row>
    <row r="701" spans="2:3" x14ac:dyDescent="0.25">
      <c r="B701" s="61"/>
      <c r="C701" s="61"/>
    </row>
    <row r="702" spans="2:3" x14ac:dyDescent="0.25">
      <c r="B702" s="61"/>
      <c r="C702" s="61"/>
    </row>
    <row r="703" spans="2:3" x14ac:dyDescent="0.25">
      <c r="B703" s="61"/>
      <c r="C703" s="61"/>
    </row>
    <row r="704" spans="2:3" x14ac:dyDescent="0.25">
      <c r="B704" s="61"/>
      <c r="C704" s="61"/>
    </row>
    <row r="705" spans="2:3" x14ac:dyDescent="0.25">
      <c r="B705" s="61"/>
      <c r="C705" s="61"/>
    </row>
    <row r="706" spans="2:3" x14ac:dyDescent="0.25">
      <c r="B706" s="61"/>
      <c r="C706" s="61"/>
    </row>
    <row r="707" spans="2:3" x14ac:dyDescent="0.25">
      <c r="B707" s="61"/>
      <c r="C707" s="61"/>
    </row>
    <row r="708" spans="2:3" x14ac:dyDescent="0.25">
      <c r="B708" s="61"/>
      <c r="C708" s="61"/>
    </row>
    <row r="709" spans="2:3" x14ac:dyDescent="0.25">
      <c r="B709" s="61"/>
      <c r="C709" s="61"/>
    </row>
    <row r="710" spans="2:3" x14ac:dyDescent="0.25">
      <c r="B710" s="61"/>
      <c r="C710" s="61"/>
    </row>
    <row r="711" spans="2:3" x14ac:dyDescent="0.25">
      <c r="B711" s="61"/>
      <c r="C711" s="61"/>
    </row>
    <row r="712" spans="2:3" x14ac:dyDescent="0.25">
      <c r="B712" s="61"/>
      <c r="C712" s="61"/>
    </row>
    <row r="713" spans="2:3" x14ac:dyDescent="0.25">
      <c r="B713" s="61"/>
      <c r="C713" s="61"/>
    </row>
    <row r="714" spans="2:3" x14ac:dyDescent="0.25">
      <c r="B714" s="61"/>
      <c r="C714" s="61"/>
    </row>
    <row r="715" spans="2:3" x14ac:dyDescent="0.25">
      <c r="B715" s="61"/>
      <c r="C715" s="61"/>
    </row>
    <row r="716" spans="2:3" x14ac:dyDescent="0.25">
      <c r="B716" s="61"/>
      <c r="C716" s="61"/>
    </row>
    <row r="717" spans="2:3" x14ac:dyDescent="0.25">
      <c r="B717" s="61"/>
      <c r="C717" s="61"/>
    </row>
    <row r="718" spans="2:3" x14ac:dyDescent="0.25">
      <c r="B718" s="61"/>
      <c r="C718" s="61"/>
    </row>
    <row r="719" spans="2:3" x14ac:dyDescent="0.25">
      <c r="B719" s="61"/>
      <c r="C719" s="61"/>
    </row>
    <row r="720" spans="2:3" x14ac:dyDescent="0.25">
      <c r="B720" s="61"/>
      <c r="C720" s="61"/>
    </row>
    <row r="721" spans="2:3" x14ac:dyDescent="0.25">
      <c r="B721" s="61"/>
      <c r="C721" s="61"/>
    </row>
    <row r="722" spans="2:3" x14ac:dyDescent="0.25">
      <c r="B722" s="61"/>
      <c r="C722" s="61"/>
    </row>
    <row r="723" spans="2:3" x14ac:dyDescent="0.25">
      <c r="B723" s="61"/>
      <c r="C723" s="61"/>
    </row>
    <row r="724" spans="2:3" x14ac:dyDescent="0.25">
      <c r="B724" s="61"/>
      <c r="C724" s="61"/>
    </row>
    <row r="725" spans="2:3" x14ac:dyDescent="0.25">
      <c r="B725" s="61"/>
      <c r="C725" s="61"/>
    </row>
    <row r="726" spans="2:3" x14ac:dyDescent="0.25">
      <c r="B726" s="61"/>
      <c r="C726" s="61"/>
    </row>
    <row r="727" spans="2:3" x14ac:dyDescent="0.25">
      <c r="B727" s="61"/>
      <c r="C727" s="61"/>
    </row>
    <row r="728" spans="2:3" x14ac:dyDescent="0.25">
      <c r="B728" s="61"/>
      <c r="C728" s="61"/>
    </row>
    <row r="729" spans="2:3" x14ac:dyDescent="0.25">
      <c r="B729" s="61"/>
      <c r="C729" s="61"/>
    </row>
    <row r="730" spans="2:3" x14ac:dyDescent="0.25">
      <c r="B730" s="61"/>
      <c r="C730" s="61"/>
    </row>
    <row r="731" spans="2:3" x14ac:dyDescent="0.25">
      <c r="B731" s="61"/>
      <c r="C731" s="61"/>
    </row>
    <row r="732" spans="2:3" x14ac:dyDescent="0.25">
      <c r="B732" s="61"/>
      <c r="C732" s="61"/>
    </row>
    <row r="733" spans="2:3" x14ac:dyDescent="0.25">
      <c r="B733" s="61"/>
      <c r="C733" s="61"/>
    </row>
    <row r="734" spans="2:3" x14ac:dyDescent="0.25">
      <c r="B734" s="61"/>
      <c r="C734" s="61"/>
    </row>
    <row r="735" spans="2:3" x14ac:dyDescent="0.25">
      <c r="B735" s="61"/>
      <c r="C735" s="61"/>
    </row>
    <row r="736" spans="2:3" x14ac:dyDescent="0.25">
      <c r="B736" s="61"/>
      <c r="C736" s="61"/>
    </row>
    <row r="737" spans="2:3" x14ac:dyDescent="0.25">
      <c r="B737" s="61"/>
      <c r="C737" s="61"/>
    </row>
    <row r="738" spans="2:3" x14ac:dyDescent="0.25">
      <c r="B738" s="61"/>
      <c r="C738" s="61"/>
    </row>
    <row r="739" spans="2:3" x14ac:dyDescent="0.25">
      <c r="B739" s="61"/>
      <c r="C739" s="61"/>
    </row>
    <row r="740" spans="2:3" x14ac:dyDescent="0.25">
      <c r="B740" s="61"/>
      <c r="C740" s="61"/>
    </row>
    <row r="741" spans="2:3" x14ac:dyDescent="0.25">
      <c r="B741" s="61"/>
      <c r="C741" s="61"/>
    </row>
    <row r="742" spans="2:3" x14ac:dyDescent="0.25">
      <c r="B742" s="61"/>
      <c r="C742" s="61"/>
    </row>
    <row r="743" spans="2:3" x14ac:dyDescent="0.25">
      <c r="B743" s="61"/>
      <c r="C743" s="61"/>
    </row>
    <row r="744" spans="2:3" x14ac:dyDescent="0.25">
      <c r="B744" s="61"/>
      <c r="C744" s="61"/>
    </row>
    <row r="745" spans="2:3" x14ac:dyDescent="0.25">
      <c r="B745" s="61"/>
      <c r="C745" s="61"/>
    </row>
    <row r="746" spans="2:3" x14ac:dyDescent="0.25">
      <c r="B746" s="61"/>
      <c r="C746" s="61"/>
    </row>
    <row r="747" spans="2:3" x14ac:dyDescent="0.25">
      <c r="B747" s="61"/>
      <c r="C747" s="61"/>
    </row>
    <row r="748" spans="2:3" x14ac:dyDescent="0.25">
      <c r="B748" s="61"/>
      <c r="C748" s="61"/>
    </row>
    <row r="749" spans="2:3" x14ac:dyDescent="0.25">
      <c r="B749" s="61"/>
      <c r="C749" s="61"/>
    </row>
    <row r="750" spans="2:3" x14ac:dyDescent="0.25">
      <c r="B750" s="61"/>
      <c r="C750" s="61"/>
    </row>
    <row r="751" spans="2:3" x14ac:dyDescent="0.25">
      <c r="B751" s="61"/>
      <c r="C751" s="61"/>
    </row>
    <row r="752" spans="2:3" x14ac:dyDescent="0.25">
      <c r="B752" s="61"/>
      <c r="C752" s="61"/>
    </row>
    <row r="753" spans="2:3" x14ac:dyDescent="0.25">
      <c r="B753" s="61"/>
      <c r="C753" s="61"/>
    </row>
    <row r="754" spans="2:3" x14ac:dyDescent="0.25">
      <c r="B754" s="61"/>
      <c r="C754" s="61"/>
    </row>
    <row r="755" spans="2:3" x14ac:dyDescent="0.25">
      <c r="B755" s="61"/>
      <c r="C755" s="61"/>
    </row>
    <row r="756" spans="2:3" x14ac:dyDescent="0.25">
      <c r="B756" s="61"/>
      <c r="C756" s="61"/>
    </row>
    <row r="757" spans="2:3" x14ac:dyDescent="0.25">
      <c r="B757" s="61"/>
      <c r="C757" s="61"/>
    </row>
    <row r="758" spans="2:3" x14ac:dyDescent="0.25">
      <c r="B758" s="61"/>
      <c r="C758" s="61"/>
    </row>
    <row r="759" spans="2:3" x14ac:dyDescent="0.25">
      <c r="B759" s="61"/>
      <c r="C759" s="61"/>
    </row>
    <row r="760" spans="2:3" x14ac:dyDescent="0.25">
      <c r="B760" s="61"/>
      <c r="C760" s="61"/>
    </row>
    <row r="761" spans="2:3" x14ac:dyDescent="0.25">
      <c r="B761" s="61"/>
      <c r="C761" s="61"/>
    </row>
    <row r="762" spans="2:3" x14ac:dyDescent="0.25">
      <c r="B762" s="61"/>
      <c r="C762" s="61"/>
    </row>
    <row r="763" spans="2:3" x14ac:dyDescent="0.25">
      <c r="B763" s="61"/>
      <c r="C763" s="61"/>
    </row>
    <row r="764" spans="2:3" x14ac:dyDescent="0.25">
      <c r="B764" s="61"/>
      <c r="C764" s="61"/>
    </row>
    <row r="765" spans="2:3" x14ac:dyDescent="0.25">
      <c r="B765" s="61"/>
      <c r="C765" s="61"/>
    </row>
    <row r="766" spans="2:3" x14ac:dyDescent="0.25">
      <c r="B766" s="61"/>
      <c r="C766" s="61"/>
    </row>
    <row r="767" spans="2:3" x14ac:dyDescent="0.25">
      <c r="B767" s="61"/>
      <c r="C767" s="61"/>
    </row>
    <row r="768" spans="2:3" x14ac:dyDescent="0.25">
      <c r="B768" s="61"/>
      <c r="C768" s="61"/>
    </row>
    <row r="769" spans="2:3" x14ac:dyDescent="0.25">
      <c r="B769" s="61"/>
      <c r="C769" s="61"/>
    </row>
    <row r="770" spans="2:3" x14ac:dyDescent="0.25">
      <c r="B770" s="61"/>
      <c r="C770" s="61"/>
    </row>
    <row r="771" spans="2:3" x14ac:dyDescent="0.25">
      <c r="B771" s="61"/>
      <c r="C771" s="61"/>
    </row>
    <row r="772" spans="2:3" x14ac:dyDescent="0.25">
      <c r="B772" s="61"/>
      <c r="C772" s="61"/>
    </row>
    <row r="773" spans="2:3" x14ac:dyDescent="0.25">
      <c r="B773" s="61"/>
      <c r="C773" s="61"/>
    </row>
    <row r="774" spans="2:3" x14ac:dyDescent="0.25">
      <c r="B774" s="61"/>
      <c r="C774" s="61"/>
    </row>
    <row r="775" spans="2:3" x14ac:dyDescent="0.25">
      <c r="B775" s="61"/>
      <c r="C775" s="61"/>
    </row>
    <row r="776" spans="2:3" x14ac:dyDescent="0.25">
      <c r="B776" s="61"/>
      <c r="C776" s="61"/>
    </row>
    <row r="777" spans="2:3" x14ac:dyDescent="0.25">
      <c r="B777" s="61"/>
      <c r="C777" s="61"/>
    </row>
    <row r="778" spans="2:3" x14ac:dyDescent="0.25">
      <c r="B778" s="61"/>
      <c r="C778" s="61"/>
    </row>
    <row r="779" spans="2:3" x14ac:dyDescent="0.25">
      <c r="B779" s="61"/>
      <c r="C779" s="61"/>
    </row>
    <row r="780" spans="2:3" x14ac:dyDescent="0.25">
      <c r="B780" s="61"/>
      <c r="C780" s="61"/>
    </row>
    <row r="781" spans="2:3" x14ac:dyDescent="0.25">
      <c r="B781" s="61"/>
      <c r="C781" s="61"/>
    </row>
    <row r="782" spans="2:3" x14ac:dyDescent="0.25">
      <c r="B782" s="61"/>
      <c r="C782" s="61"/>
    </row>
    <row r="783" spans="2:3" x14ac:dyDescent="0.25">
      <c r="B783" s="61"/>
      <c r="C783" s="61"/>
    </row>
    <row r="784" spans="2:3" x14ac:dyDescent="0.25">
      <c r="B784" s="61"/>
      <c r="C784" s="61"/>
    </row>
    <row r="785" spans="2:3" x14ac:dyDescent="0.25">
      <c r="B785" s="61"/>
      <c r="C785" s="61"/>
    </row>
    <row r="786" spans="2:3" x14ac:dyDescent="0.25">
      <c r="B786" s="61"/>
      <c r="C786" s="61"/>
    </row>
    <row r="787" spans="2:3" x14ac:dyDescent="0.25">
      <c r="B787" s="61"/>
      <c r="C787" s="61"/>
    </row>
    <row r="788" spans="2:3" x14ac:dyDescent="0.25">
      <c r="B788" s="61"/>
      <c r="C788" s="61"/>
    </row>
    <row r="789" spans="2:3" x14ac:dyDescent="0.25">
      <c r="B789" s="61"/>
      <c r="C789" s="61"/>
    </row>
    <row r="790" spans="2:3" x14ac:dyDescent="0.25">
      <c r="B790" s="61"/>
      <c r="C790" s="61"/>
    </row>
    <row r="791" spans="2:3" x14ac:dyDescent="0.25">
      <c r="B791" s="61"/>
      <c r="C791" s="61"/>
    </row>
    <row r="792" spans="2:3" x14ac:dyDescent="0.25">
      <c r="B792" s="61"/>
      <c r="C792" s="61"/>
    </row>
    <row r="793" spans="2:3" x14ac:dyDescent="0.25">
      <c r="B793" s="61"/>
      <c r="C793" s="61"/>
    </row>
    <row r="794" spans="2:3" x14ac:dyDescent="0.25">
      <c r="B794" s="61"/>
      <c r="C794" s="61"/>
    </row>
    <row r="795" spans="2:3" x14ac:dyDescent="0.25">
      <c r="B795" s="61"/>
      <c r="C795" s="61"/>
    </row>
    <row r="796" spans="2:3" x14ac:dyDescent="0.25">
      <c r="B796" s="61"/>
      <c r="C796" s="61"/>
    </row>
    <row r="797" spans="2:3" x14ac:dyDescent="0.25">
      <c r="B797" s="61"/>
      <c r="C797" s="61"/>
    </row>
    <row r="798" spans="2:3" x14ac:dyDescent="0.25">
      <c r="B798" s="61"/>
      <c r="C798" s="61"/>
    </row>
    <row r="799" spans="2:3" x14ac:dyDescent="0.25">
      <c r="B799" s="61"/>
      <c r="C799" s="61"/>
    </row>
    <row r="800" spans="2:3" x14ac:dyDescent="0.25">
      <c r="B800" s="61"/>
      <c r="C800" s="61"/>
    </row>
    <row r="801" spans="2:3" x14ac:dyDescent="0.25">
      <c r="B801" s="61"/>
      <c r="C801" s="61"/>
    </row>
    <row r="802" spans="2:3" x14ac:dyDescent="0.25">
      <c r="B802" s="61"/>
      <c r="C802" s="61"/>
    </row>
    <row r="803" spans="2:3" x14ac:dyDescent="0.25">
      <c r="B803" s="61"/>
      <c r="C803" s="61"/>
    </row>
    <row r="804" spans="2:3" x14ac:dyDescent="0.25">
      <c r="B804" s="61"/>
      <c r="C804" s="61"/>
    </row>
    <row r="805" spans="2:3" x14ac:dyDescent="0.25">
      <c r="B805" s="61"/>
      <c r="C805" s="61"/>
    </row>
    <row r="806" spans="2:3" x14ac:dyDescent="0.25">
      <c r="B806" s="61"/>
      <c r="C806" s="61"/>
    </row>
    <row r="807" spans="2:3" x14ac:dyDescent="0.25">
      <c r="B807" s="61"/>
      <c r="C807" s="61"/>
    </row>
    <row r="808" spans="2:3" x14ac:dyDescent="0.25">
      <c r="B808" s="61"/>
      <c r="C808" s="61"/>
    </row>
    <row r="809" spans="2:3" x14ac:dyDescent="0.25">
      <c r="B809" s="61"/>
      <c r="C809" s="61"/>
    </row>
    <row r="810" spans="2:3" x14ac:dyDescent="0.25">
      <c r="B810" s="61"/>
      <c r="C810" s="61"/>
    </row>
    <row r="811" spans="2:3" x14ac:dyDescent="0.25">
      <c r="B811" s="61"/>
      <c r="C811" s="61"/>
    </row>
    <row r="812" spans="2:3" x14ac:dyDescent="0.25">
      <c r="B812" s="61"/>
      <c r="C812" s="61"/>
    </row>
    <row r="813" spans="2:3" x14ac:dyDescent="0.25">
      <c r="B813" s="61"/>
      <c r="C813" s="61"/>
    </row>
    <row r="814" spans="2:3" x14ac:dyDescent="0.25">
      <c r="B814" s="61"/>
      <c r="C814" s="61"/>
    </row>
    <row r="815" spans="2:3" x14ac:dyDescent="0.25">
      <c r="B815" s="61"/>
      <c r="C815" s="61"/>
    </row>
    <row r="816" spans="2:3" x14ac:dyDescent="0.25">
      <c r="B816" s="61"/>
      <c r="C816" s="61"/>
    </row>
    <row r="817" spans="2:3" x14ac:dyDescent="0.25">
      <c r="B817" s="61"/>
      <c r="C817" s="61"/>
    </row>
    <row r="818" spans="2:3" x14ac:dyDescent="0.25">
      <c r="B818" s="61"/>
      <c r="C818" s="61"/>
    </row>
    <row r="819" spans="2:3" x14ac:dyDescent="0.25">
      <c r="B819" s="61"/>
      <c r="C819" s="61"/>
    </row>
    <row r="820" spans="2:3" x14ac:dyDescent="0.25">
      <c r="B820" s="61"/>
      <c r="C820" s="61"/>
    </row>
    <row r="821" spans="2:3" x14ac:dyDescent="0.25">
      <c r="B821" s="61"/>
      <c r="C821" s="61"/>
    </row>
    <row r="822" spans="2:3" x14ac:dyDescent="0.25">
      <c r="B822" s="61"/>
      <c r="C822" s="61"/>
    </row>
    <row r="823" spans="2:3" x14ac:dyDescent="0.25">
      <c r="B823" s="61"/>
      <c r="C823" s="61"/>
    </row>
    <row r="824" spans="2:3" x14ac:dyDescent="0.25">
      <c r="B824" s="61"/>
      <c r="C824" s="61"/>
    </row>
    <row r="825" spans="2:3" x14ac:dyDescent="0.25">
      <c r="B825" s="61"/>
      <c r="C825" s="61"/>
    </row>
    <row r="826" spans="2:3" x14ac:dyDescent="0.25">
      <c r="B826" s="61"/>
      <c r="C826" s="61"/>
    </row>
    <row r="827" spans="2:3" x14ac:dyDescent="0.25">
      <c r="B827" s="61"/>
      <c r="C827" s="61"/>
    </row>
    <row r="828" spans="2:3" x14ac:dyDescent="0.25">
      <c r="B828" s="61"/>
      <c r="C828" s="61"/>
    </row>
    <row r="829" spans="2:3" x14ac:dyDescent="0.25">
      <c r="B829" s="61"/>
      <c r="C829" s="61"/>
    </row>
    <row r="830" spans="2:3" x14ac:dyDescent="0.25">
      <c r="B830" s="61"/>
      <c r="C830" s="61"/>
    </row>
    <row r="831" spans="2:3" x14ac:dyDescent="0.25">
      <c r="B831" s="61"/>
      <c r="C831" s="61"/>
    </row>
    <row r="832" spans="2:3" x14ac:dyDescent="0.25">
      <c r="B832" s="61"/>
      <c r="C832" s="61"/>
    </row>
    <row r="833" spans="2:3" x14ac:dyDescent="0.25">
      <c r="B833" s="61"/>
      <c r="C833" s="61"/>
    </row>
    <row r="834" spans="2:3" x14ac:dyDescent="0.25">
      <c r="B834" s="61"/>
      <c r="C834" s="61"/>
    </row>
    <row r="835" spans="2:3" x14ac:dyDescent="0.25">
      <c r="B835" s="61"/>
      <c r="C835" s="61"/>
    </row>
    <row r="836" spans="2:3" x14ac:dyDescent="0.25">
      <c r="B836" s="61"/>
      <c r="C836" s="61"/>
    </row>
    <row r="837" spans="2:3" x14ac:dyDescent="0.25">
      <c r="B837" s="61"/>
      <c r="C837" s="61"/>
    </row>
    <row r="838" spans="2:3" x14ac:dyDescent="0.25">
      <c r="B838" s="61"/>
      <c r="C838" s="61"/>
    </row>
    <row r="839" spans="2:3" x14ac:dyDescent="0.25">
      <c r="B839" s="61"/>
      <c r="C839" s="61"/>
    </row>
    <row r="840" spans="2:3" x14ac:dyDescent="0.25">
      <c r="B840" s="61"/>
      <c r="C840" s="61"/>
    </row>
    <row r="841" spans="2:3" x14ac:dyDescent="0.25">
      <c r="B841" s="61"/>
      <c r="C841" s="61"/>
    </row>
    <row r="842" spans="2:3" x14ac:dyDescent="0.25">
      <c r="B842" s="61"/>
      <c r="C842" s="61"/>
    </row>
    <row r="843" spans="2:3" x14ac:dyDescent="0.25">
      <c r="B843" s="61"/>
      <c r="C843" s="61"/>
    </row>
    <row r="844" spans="2:3" x14ac:dyDescent="0.25">
      <c r="B844" s="61"/>
      <c r="C844" s="61"/>
    </row>
    <row r="845" spans="2:3" x14ac:dyDescent="0.25">
      <c r="B845" s="61"/>
      <c r="C845" s="61"/>
    </row>
    <row r="846" spans="2:3" x14ac:dyDescent="0.25">
      <c r="B846" s="61"/>
      <c r="C846" s="61"/>
    </row>
    <row r="847" spans="2:3" x14ac:dyDescent="0.25">
      <c r="B847" s="61"/>
      <c r="C847" s="61"/>
    </row>
    <row r="848" spans="2:3" x14ac:dyDescent="0.25">
      <c r="B848" s="61"/>
      <c r="C848" s="61"/>
    </row>
    <row r="849" spans="2:3" x14ac:dyDescent="0.25">
      <c r="B849" s="61"/>
      <c r="C849" s="61"/>
    </row>
    <row r="850" spans="2:3" x14ac:dyDescent="0.25">
      <c r="B850" s="61"/>
      <c r="C850" s="61"/>
    </row>
    <row r="851" spans="2:3" x14ac:dyDescent="0.25">
      <c r="B851" s="61"/>
      <c r="C851" s="61"/>
    </row>
    <row r="852" spans="2:3" x14ac:dyDescent="0.25">
      <c r="B852" s="61"/>
      <c r="C852" s="61"/>
    </row>
    <row r="853" spans="2:3" x14ac:dyDescent="0.25">
      <c r="B853" s="61"/>
      <c r="C853" s="61"/>
    </row>
    <row r="854" spans="2:3" x14ac:dyDescent="0.25">
      <c r="B854" s="61"/>
      <c r="C854" s="61"/>
    </row>
    <row r="855" spans="2:3" x14ac:dyDescent="0.25">
      <c r="B855" s="61"/>
      <c r="C855" s="61"/>
    </row>
    <row r="856" spans="2:3" x14ac:dyDescent="0.25">
      <c r="B856" s="61"/>
      <c r="C856" s="61"/>
    </row>
    <row r="857" spans="2:3" x14ac:dyDescent="0.25">
      <c r="B857" s="61"/>
      <c r="C857" s="61"/>
    </row>
    <row r="858" spans="2:3" x14ac:dyDescent="0.25">
      <c r="B858" s="61"/>
      <c r="C858" s="61"/>
    </row>
    <row r="859" spans="2:3" x14ac:dyDescent="0.25">
      <c r="B859" s="61"/>
      <c r="C859" s="61"/>
    </row>
    <row r="860" spans="2:3" x14ac:dyDescent="0.25">
      <c r="B860" s="61"/>
      <c r="C860" s="61"/>
    </row>
    <row r="861" spans="2:3" x14ac:dyDescent="0.25">
      <c r="B861" s="61"/>
      <c r="C861" s="61"/>
    </row>
    <row r="862" spans="2:3" x14ac:dyDescent="0.25">
      <c r="B862" s="61"/>
      <c r="C862" s="61"/>
    </row>
    <row r="863" spans="2:3" x14ac:dyDescent="0.25">
      <c r="B863" s="61"/>
      <c r="C863" s="61"/>
    </row>
    <row r="864" spans="2:3" x14ac:dyDescent="0.25">
      <c r="B864" s="61"/>
      <c r="C864" s="61"/>
    </row>
    <row r="865" spans="2:3" x14ac:dyDescent="0.25">
      <c r="B865" s="61"/>
      <c r="C865" s="61"/>
    </row>
    <row r="866" spans="2:3" x14ac:dyDescent="0.25">
      <c r="B866" s="61"/>
      <c r="C866" s="61"/>
    </row>
    <row r="867" spans="2:3" x14ac:dyDescent="0.25">
      <c r="B867" s="61"/>
      <c r="C867" s="61"/>
    </row>
    <row r="868" spans="2:3" x14ac:dyDescent="0.25">
      <c r="B868" s="61"/>
      <c r="C868" s="61"/>
    </row>
    <row r="869" spans="2:3" x14ac:dyDescent="0.25">
      <c r="B869" s="61"/>
      <c r="C869" s="61"/>
    </row>
    <row r="870" spans="2:3" x14ac:dyDescent="0.25">
      <c r="B870" s="61"/>
      <c r="C870" s="61"/>
    </row>
    <row r="871" spans="2:3" x14ac:dyDescent="0.25">
      <c r="B871" s="61"/>
      <c r="C871" s="61"/>
    </row>
    <row r="872" spans="2:3" x14ac:dyDescent="0.25">
      <c r="B872" s="61"/>
      <c r="C872" s="61"/>
    </row>
    <row r="873" spans="2:3" x14ac:dyDescent="0.25">
      <c r="B873" s="61"/>
      <c r="C873" s="61"/>
    </row>
    <row r="874" spans="2:3" x14ac:dyDescent="0.25">
      <c r="B874" s="61"/>
      <c r="C874" s="61"/>
    </row>
    <row r="875" spans="2:3" x14ac:dyDescent="0.25">
      <c r="B875" s="61"/>
      <c r="C875" s="61"/>
    </row>
    <row r="876" spans="2:3" x14ac:dyDescent="0.25">
      <c r="B876" s="61"/>
      <c r="C876" s="61"/>
    </row>
    <row r="877" spans="2:3" x14ac:dyDescent="0.25">
      <c r="B877" s="61"/>
      <c r="C877" s="61"/>
    </row>
    <row r="878" spans="2:3" x14ac:dyDescent="0.25">
      <c r="B878" s="61"/>
      <c r="C878" s="61"/>
    </row>
    <row r="879" spans="2:3" x14ac:dyDescent="0.25">
      <c r="B879" s="61"/>
      <c r="C879" s="61"/>
    </row>
    <row r="880" spans="2:3" x14ac:dyDescent="0.25">
      <c r="B880" s="61"/>
      <c r="C880" s="61"/>
    </row>
    <row r="881" spans="2:3" x14ac:dyDescent="0.25">
      <c r="B881" s="61"/>
      <c r="C881" s="61"/>
    </row>
    <row r="882" spans="2:3" x14ac:dyDescent="0.25">
      <c r="B882" s="61"/>
      <c r="C882" s="61"/>
    </row>
    <row r="883" spans="2:3" x14ac:dyDescent="0.25">
      <c r="B883" s="61"/>
      <c r="C883" s="61"/>
    </row>
    <row r="884" spans="2:3" x14ac:dyDescent="0.25">
      <c r="B884" s="61"/>
      <c r="C884" s="61"/>
    </row>
    <row r="885" spans="2:3" x14ac:dyDescent="0.25">
      <c r="B885" s="61"/>
      <c r="C885" s="61"/>
    </row>
    <row r="886" spans="2:3" x14ac:dyDescent="0.25">
      <c r="B886" s="61"/>
      <c r="C886" s="61"/>
    </row>
    <row r="887" spans="2:3" x14ac:dyDescent="0.25">
      <c r="B887" s="61"/>
      <c r="C887" s="61"/>
    </row>
    <row r="888" spans="2:3" x14ac:dyDescent="0.25">
      <c r="B888" s="61"/>
      <c r="C888" s="61"/>
    </row>
    <row r="889" spans="2:3" x14ac:dyDescent="0.25">
      <c r="B889" s="61"/>
      <c r="C889" s="61"/>
    </row>
    <row r="890" spans="2:3" x14ac:dyDescent="0.25">
      <c r="B890" s="61"/>
      <c r="C890" s="61"/>
    </row>
    <row r="891" spans="2:3" x14ac:dyDescent="0.25">
      <c r="B891" s="61"/>
      <c r="C891" s="61"/>
    </row>
    <row r="892" spans="2:3" x14ac:dyDescent="0.25">
      <c r="B892" s="61"/>
      <c r="C892" s="61"/>
    </row>
    <row r="893" spans="2:3" x14ac:dyDescent="0.25">
      <c r="B893" s="61"/>
      <c r="C893" s="61"/>
    </row>
    <row r="894" spans="2:3" x14ac:dyDescent="0.25">
      <c r="B894" s="61"/>
      <c r="C894" s="61"/>
    </row>
    <row r="895" spans="2:3" x14ac:dyDescent="0.25">
      <c r="B895" s="61"/>
      <c r="C895" s="61"/>
    </row>
    <row r="896" spans="2:3" x14ac:dyDescent="0.25">
      <c r="B896" s="61"/>
      <c r="C896" s="61"/>
    </row>
    <row r="897" spans="2:3" x14ac:dyDescent="0.25">
      <c r="B897" s="61"/>
      <c r="C897" s="61"/>
    </row>
    <row r="898" spans="2:3" x14ac:dyDescent="0.25">
      <c r="B898" s="61"/>
      <c r="C898" s="61"/>
    </row>
    <row r="899" spans="2:3" x14ac:dyDescent="0.25">
      <c r="B899" s="61"/>
      <c r="C899" s="61"/>
    </row>
    <row r="900" spans="2:3" x14ac:dyDescent="0.25">
      <c r="B900" s="61"/>
      <c r="C900" s="61"/>
    </row>
    <row r="901" spans="2:3" x14ac:dyDescent="0.25">
      <c r="B901" s="61"/>
      <c r="C901" s="61"/>
    </row>
    <row r="902" spans="2:3" x14ac:dyDescent="0.25">
      <c r="B902" s="61"/>
      <c r="C902" s="61"/>
    </row>
    <row r="903" spans="2:3" x14ac:dyDescent="0.25">
      <c r="B903" s="61"/>
      <c r="C903" s="61"/>
    </row>
    <row r="904" spans="2:3" x14ac:dyDescent="0.25">
      <c r="B904" s="61"/>
      <c r="C904" s="61"/>
    </row>
    <row r="905" spans="2:3" x14ac:dyDescent="0.25">
      <c r="B905" s="61"/>
      <c r="C905" s="61"/>
    </row>
    <row r="906" spans="2:3" x14ac:dyDescent="0.25">
      <c r="B906" s="61"/>
      <c r="C906" s="61"/>
    </row>
    <row r="907" spans="2:3" x14ac:dyDescent="0.25">
      <c r="B907" s="61"/>
      <c r="C907" s="61"/>
    </row>
    <row r="908" spans="2:3" x14ac:dyDescent="0.25">
      <c r="B908" s="61"/>
      <c r="C908" s="61"/>
    </row>
    <row r="909" spans="2:3" x14ac:dyDescent="0.25">
      <c r="B909" s="61"/>
      <c r="C909" s="61"/>
    </row>
    <row r="910" spans="2:3" x14ac:dyDescent="0.25">
      <c r="B910" s="61"/>
      <c r="C910" s="61"/>
    </row>
    <row r="911" spans="2:3" x14ac:dyDescent="0.25">
      <c r="B911" s="61"/>
      <c r="C911" s="61"/>
    </row>
    <row r="912" spans="2:3" x14ac:dyDescent="0.25">
      <c r="B912" s="61"/>
      <c r="C912" s="61"/>
    </row>
    <row r="913" spans="2:3" x14ac:dyDescent="0.25">
      <c r="B913" s="61"/>
      <c r="C913" s="61"/>
    </row>
    <row r="914" spans="2:3" x14ac:dyDescent="0.25">
      <c r="B914" s="61"/>
      <c r="C914" s="61"/>
    </row>
    <row r="915" spans="2:3" x14ac:dyDescent="0.25">
      <c r="B915" s="61"/>
      <c r="C915" s="61"/>
    </row>
    <row r="916" spans="2:3" x14ac:dyDescent="0.25">
      <c r="B916" s="61"/>
      <c r="C916" s="61"/>
    </row>
    <row r="917" spans="2:3" x14ac:dyDescent="0.25">
      <c r="B917" s="61"/>
      <c r="C917" s="61"/>
    </row>
    <row r="918" spans="2:3" x14ac:dyDescent="0.25">
      <c r="B918" s="61"/>
      <c r="C918" s="61"/>
    </row>
    <row r="919" spans="2:3" x14ac:dyDescent="0.25">
      <c r="B919" s="61"/>
      <c r="C919" s="61"/>
    </row>
    <row r="920" spans="2:3" x14ac:dyDescent="0.25">
      <c r="B920" s="61"/>
      <c r="C920" s="61"/>
    </row>
    <row r="921" spans="2:3" x14ac:dyDescent="0.25">
      <c r="B921" s="61"/>
      <c r="C921" s="61"/>
    </row>
    <row r="922" spans="2:3" x14ac:dyDescent="0.25">
      <c r="B922" s="61"/>
      <c r="C922" s="61"/>
    </row>
    <row r="923" spans="2:3" x14ac:dyDescent="0.25">
      <c r="B923" s="61"/>
      <c r="C923" s="61"/>
    </row>
    <row r="924" spans="2:3" x14ac:dyDescent="0.25">
      <c r="B924" s="61"/>
      <c r="C924" s="61"/>
    </row>
    <row r="925" spans="2:3" x14ac:dyDescent="0.25">
      <c r="B925" s="61"/>
      <c r="C925" s="61"/>
    </row>
    <row r="926" spans="2:3" x14ac:dyDescent="0.25">
      <c r="B926" s="61"/>
      <c r="C926" s="61"/>
    </row>
    <row r="927" spans="2:3" x14ac:dyDescent="0.25">
      <c r="B927" s="61"/>
      <c r="C927" s="61"/>
    </row>
    <row r="928" spans="2:3" x14ac:dyDescent="0.25">
      <c r="B928" s="61"/>
      <c r="C928" s="61"/>
    </row>
    <row r="929" spans="2:3" x14ac:dyDescent="0.25">
      <c r="B929" s="61"/>
      <c r="C929" s="61"/>
    </row>
    <row r="930" spans="2:3" x14ac:dyDescent="0.25">
      <c r="B930" s="61"/>
      <c r="C930" s="61"/>
    </row>
    <row r="931" spans="2:3" x14ac:dyDescent="0.25">
      <c r="B931" s="61"/>
      <c r="C931" s="61"/>
    </row>
    <row r="932" spans="2:3" x14ac:dyDescent="0.25">
      <c r="B932" s="61"/>
      <c r="C932" s="61"/>
    </row>
    <row r="933" spans="2:3" x14ac:dyDescent="0.25">
      <c r="B933" s="61"/>
      <c r="C933" s="61"/>
    </row>
    <row r="934" spans="2:3" x14ac:dyDescent="0.25">
      <c r="B934" s="61"/>
      <c r="C934" s="61"/>
    </row>
    <row r="935" spans="2:3" x14ac:dyDescent="0.25">
      <c r="B935" s="61"/>
      <c r="C935" s="61"/>
    </row>
    <row r="936" spans="2:3" x14ac:dyDescent="0.25">
      <c r="B936" s="61"/>
      <c r="C936" s="61"/>
    </row>
    <row r="937" spans="2:3" x14ac:dyDescent="0.25">
      <c r="B937" s="61"/>
      <c r="C937" s="61"/>
    </row>
    <row r="938" spans="2:3" x14ac:dyDescent="0.25">
      <c r="B938" s="61"/>
      <c r="C938" s="61"/>
    </row>
    <row r="939" spans="2:3" x14ac:dyDescent="0.25">
      <c r="B939" s="61"/>
      <c r="C939" s="61"/>
    </row>
    <row r="940" spans="2:3" x14ac:dyDescent="0.25">
      <c r="B940" s="61"/>
      <c r="C940" s="61"/>
    </row>
    <row r="941" spans="2:3" x14ac:dyDescent="0.25">
      <c r="B941" s="61"/>
      <c r="C941" s="61"/>
    </row>
    <row r="942" spans="2:3" x14ac:dyDescent="0.25">
      <c r="B942" s="61"/>
      <c r="C942" s="61"/>
    </row>
    <row r="943" spans="2:3" x14ac:dyDescent="0.25">
      <c r="B943" s="61"/>
      <c r="C943" s="61"/>
    </row>
    <row r="944" spans="2:3" x14ac:dyDescent="0.25">
      <c r="B944" s="61"/>
      <c r="C944" s="61"/>
    </row>
    <row r="945" spans="2:3" x14ac:dyDescent="0.25">
      <c r="B945" s="61"/>
      <c r="C945" s="61"/>
    </row>
    <row r="946" spans="2:3" x14ac:dyDescent="0.25">
      <c r="B946" s="61"/>
      <c r="C946" s="61"/>
    </row>
    <row r="947" spans="2:3" x14ac:dyDescent="0.25">
      <c r="B947" s="61"/>
      <c r="C947" s="61"/>
    </row>
    <row r="948" spans="2:3" x14ac:dyDescent="0.25">
      <c r="B948" s="61"/>
      <c r="C948" s="61"/>
    </row>
    <row r="949" spans="2:3" x14ac:dyDescent="0.25">
      <c r="B949" s="61"/>
      <c r="C949" s="61"/>
    </row>
    <row r="950" spans="2:3" x14ac:dyDescent="0.25">
      <c r="B950" s="61"/>
      <c r="C950" s="61"/>
    </row>
    <row r="951" spans="2:3" x14ac:dyDescent="0.25">
      <c r="B951" s="61"/>
      <c r="C951" s="61"/>
    </row>
    <row r="952" spans="2:3" x14ac:dyDescent="0.25">
      <c r="B952" s="61"/>
      <c r="C952" s="61"/>
    </row>
    <row r="953" spans="2:3" x14ac:dyDescent="0.25">
      <c r="B953" s="61"/>
      <c r="C953" s="61"/>
    </row>
    <row r="954" spans="2:3" x14ac:dyDescent="0.25">
      <c r="B954" s="61"/>
      <c r="C954" s="61"/>
    </row>
    <row r="955" spans="2:3" x14ac:dyDescent="0.25">
      <c r="B955" s="61"/>
      <c r="C955" s="61"/>
    </row>
    <row r="956" spans="2:3" x14ac:dyDescent="0.25">
      <c r="B956" s="61"/>
      <c r="C956" s="61"/>
    </row>
    <row r="957" spans="2:3" x14ac:dyDescent="0.25">
      <c r="B957" s="61"/>
      <c r="C957" s="61"/>
    </row>
    <row r="958" spans="2:3" x14ac:dyDescent="0.25">
      <c r="B958" s="61"/>
      <c r="C958" s="61"/>
    </row>
    <row r="959" spans="2:3" x14ac:dyDescent="0.25">
      <c r="B959" s="61"/>
      <c r="C959" s="61"/>
    </row>
    <row r="960" spans="2:3" x14ac:dyDescent="0.25">
      <c r="B960" s="61"/>
      <c r="C960" s="61"/>
    </row>
    <row r="961" spans="2:3" x14ac:dyDescent="0.25">
      <c r="B961" s="61"/>
      <c r="C961" s="61"/>
    </row>
    <row r="962" spans="2:3" x14ac:dyDescent="0.25">
      <c r="B962" s="61"/>
      <c r="C962" s="61"/>
    </row>
    <row r="963" spans="2:3" x14ac:dyDescent="0.25">
      <c r="B963" s="61"/>
      <c r="C963" s="61"/>
    </row>
    <row r="964" spans="2:3" x14ac:dyDescent="0.25">
      <c r="B964" s="61"/>
      <c r="C964" s="61"/>
    </row>
    <row r="965" spans="2:3" x14ac:dyDescent="0.25">
      <c r="B965" s="61"/>
      <c r="C965" s="61"/>
    </row>
    <row r="966" spans="2:3" x14ac:dyDescent="0.25">
      <c r="B966" s="61"/>
      <c r="C966" s="61"/>
    </row>
    <row r="967" spans="2:3" x14ac:dyDescent="0.25">
      <c r="B967" s="61"/>
      <c r="C967" s="61"/>
    </row>
    <row r="968" spans="2:3" x14ac:dyDescent="0.25">
      <c r="B968" s="61"/>
      <c r="C968" s="61"/>
    </row>
    <row r="969" spans="2:3" x14ac:dyDescent="0.25">
      <c r="B969" s="61"/>
      <c r="C969" s="61"/>
    </row>
    <row r="970" spans="2:3" x14ac:dyDescent="0.25">
      <c r="B970" s="61"/>
      <c r="C970" s="61"/>
    </row>
    <row r="971" spans="2:3" x14ac:dyDescent="0.25">
      <c r="B971" s="61"/>
      <c r="C971" s="61"/>
    </row>
    <row r="972" spans="2:3" x14ac:dyDescent="0.25">
      <c r="B972" s="61"/>
      <c r="C972" s="61"/>
    </row>
    <row r="973" spans="2:3" x14ac:dyDescent="0.25">
      <c r="B973" s="61"/>
      <c r="C973" s="61"/>
    </row>
    <row r="974" spans="2:3" x14ac:dyDescent="0.25">
      <c r="B974" s="61"/>
      <c r="C974" s="61"/>
    </row>
    <row r="975" spans="2:3" x14ac:dyDescent="0.25">
      <c r="B975" s="61"/>
      <c r="C975" s="61"/>
    </row>
    <row r="976" spans="2:3" x14ac:dyDescent="0.25">
      <c r="B976" s="61"/>
      <c r="C976" s="61"/>
    </row>
    <row r="977" spans="2:3" x14ac:dyDescent="0.25">
      <c r="B977" s="61"/>
      <c r="C977" s="61"/>
    </row>
    <row r="978" spans="2:3" x14ac:dyDescent="0.25">
      <c r="B978" s="61"/>
      <c r="C978" s="61"/>
    </row>
    <row r="979" spans="2:3" x14ac:dyDescent="0.25">
      <c r="B979" s="61"/>
      <c r="C979" s="61"/>
    </row>
    <row r="980" spans="2:3" x14ac:dyDescent="0.25">
      <c r="B980" s="61"/>
      <c r="C980" s="61"/>
    </row>
    <row r="981" spans="2:3" x14ac:dyDescent="0.25">
      <c r="B981" s="61"/>
      <c r="C981" s="61"/>
    </row>
    <row r="982" spans="2:3" x14ac:dyDescent="0.25">
      <c r="B982" s="61"/>
      <c r="C982" s="61"/>
    </row>
    <row r="983" spans="2:3" x14ac:dyDescent="0.25">
      <c r="B983" s="61"/>
      <c r="C983" s="61"/>
    </row>
    <row r="984" spans="2:3" x14ac:dyDescent="0.25">
      <c r="B984" s="61"/>
      <c r="C984" s="61"/>
    </row>
    <row r="985" spans="2:3" x14ac:dyDescent="0.25">
      <c r="B985" s="61"/>
      <c r="C985" s="61"/>
    </row>
    <row r="986" spans="2:3" x14ac:dyDescent="0.25">
      <c r="B986" s="61"/>
      <c r="C986" s="61"/>
    </row>
    <row r="987" spans="2:3" x14ac:dyDescent="0.25">
      <c r="B987" s="61"/>
      <c r="C987" s="61"/>
    </row>
    <row r="988" spans="2:3" x14ac:dyDescent="0.25">
      <c r="B988" s="61"/>
      <c r="C988" s="61"/>
    </row>
    <row r="989" spans="2:3" x14ac:dyDescent="0.25">
      <c r="B989" s="61"/>
      <c r="C989" s="61"/>
    </row>
    <row r="990" spans="2:3" x14ac:dyDescent="0.25">
      <c r="B990" s="61"/>
      <c r="C990" s="61"/>
    </row>
    <row r="991" spans="2:3" x14ac:dyDescent="0.25">
      <c r="B991" s="61"/>
      <c r="C991" s="61"/>
    </row>
    <row r="992" spans="2:3" x14ac:dyDescent="0.25">
      <c r="B992" s="61"/>
      <c r="C992" s="61"/>
    </row>
    <row r="993" spans="2:3" x14ac:dyDescent="0.25">
      <c r="B993" s="61"/>
      <c r="C993" s="61"/>
    </row>
    <row r="994" spans="2:3" x14ac:dyDescent="0.25">
      <c r="B994" s="61"/>
      <c r="C994" s="61"/>
    </row>
    <row r="995" spans="2:3" x14ac:dyDescent="0.25">
      <c r="B995" s="61"/>
      <c r="C995" s="61"/>
    </row>
    <row r="996" spans="2:3" x14ac:dyDescent="0.25">
      <c r="B996" s="61"/>
      <c r="C996" s="61"/>
    </row>
    <row r="997" spans="2:3" x14ac:dyDescent="0.25">
      <c r="B997" s="61"/>
      <c r="C997" s="61"/>
    </row>
    <row r="998" spans="2:3" x14ac:dyDescent="0.25">
      <c r="B998" s="61"/>
      <c r="C998" s="61"/>
    </row>
    <row r="999" spans="2:3" x14ac:dyDescent="0.25">
      <c r="B999" s="61"/>
      <c r="C999" s="61"/>
    </row>
    <row r="1000" spans="2:3" x14ac:dyDescent="0.25">
      <c r="B1000" s="61"/>
      <c r="C1000" s="61"/>
    </row>
    <row r="1001" spans="2:3" x14ac:dyDescent="0.25">
      <c r="B1001" s="61"/>
      <c r="C1001" s="61"/>
    </row>
    <row r="1002" spans="2:3" x14ac:dyDescent="0.25">
      <c r="B1002" s="61"/>
      <c r="C1002" s="61"/>
    </row>
    <row r="1003" spans="2:3" x14ac:dyDescent="0.25">
      <c r="B1003" s="61"/>
      <c r="C1003" s="61"/>
    </row>
    <row r="1004" spans="2:3" x14ac:dyDescent="0.25">
      <c r="B1004" s="61"/>
      <c r="C1004" s="61"/>
    </row>
    <row r="1005" spans="2:3" x14ac:dyDescent="0.25">
      <c r="B1005" s="61"/>
      <c r="C1005" s="61"/>
    </row>
    <row r="1006" spans="2:3" x14ac:dyDescent="0.25">
      <c r="B1006" s="61"/>
      <c r="C1006" s="61"/>
    </row>
    <row r="1007" spans="2:3" x14ac:dyDescent="0.25">
      <c r="B1007" s="61"/>
      <c r="C1007" s="61"/>
    </row>
    <row r="1008" spans="2:3" x14ac:dyDescent="0.25">
      <c r="B1008" s="61"/>
      <c r="C1008" s="61"/>
    </row>
    <row r="1009" spans="2:3" x14ac:dyDescent="0.25">
      <c r="B1009" s="61"/>
      <c r="C1009" s="61"/>
    </row>
    <row r="1010" spans="2:3" x14ac:dyDescent="0.25">
      <c r="B1010" s="61"/>
      <c r="C1010" s="61"/>
    </row>
    <row r="1011" spans="2:3" x14ac:dyDescent="0.25">
      <c r="B1011" s="61"/>
      <c r="C1011" s="61"/>
    </row>
    <row r="1012" spans="2:3" x14ac:dyDescent="0.25">
      <c r="B1012" s="61"/>
      <c r="C1012" s="61"/>
    </row>
    <row r="1013" spans="2:3" x14ac:dyDescent="0.25">
      <c r="B1013" s="61"/>
      <c r="C1013" s="61"/>
    </row>
    <row r="1014" spans="2:3" x14ac:dyDescent="0.25">
      <c r="B1014" s="61"/>
      <c r="C1014" s="61"/>
    </row>
    <row r="1015" spans="2:3" x14ac:dyDescent="0.25">
      <c r="B1015" s="61"/>
      <c r="C1015" s="61"/>
    </row>
    <row r="1016" spans="2:3" x14ac:dyDescent="0.25">
      <c r="B1016" s="61"/>
      <c r="C1016" s="61"/>
    </row>
    <row r="1017" spans="2:3" x14ac:dyDescent="0.25">
      <c r="B1017" s="61"/>
      <c r="C1017" s="61"/>
    </row>
    <row r="1018" spans="2:3" x14ac:dyDescent="0.25">
      <c r="B1018" s="61"/>
      <c r="C1018" s="61"/>
    </row>
    <row r="1019" spans="2:3" x14ac:dyDescent="0.25">
      <c r="B1019" s="61"/>
      <c r="C1019" s="61"/>
    </row>
    <row r="1020" spans="2:3" x14ac:dyDescent="0.25">
      <c r="B1020" s="61"/>
      <c r="C1020" s="61"/>
    </row>
    <row r="1021" spans="2:3" x14ac:dyDescent="0.25">
      <c r="B1021" s="61"/>
      <c r="C1021" s="61"/>
    </row>
    <row r="1022" spans="2:3" x14ac:dyDescent="0.25">
      <c r="B1022" s="61"/>
      <c r="C1022" s="61"/>
    </row>
    <row r="1023" spans="2:3" x14ac:dyDescent="0.25">
      <c r="B1023" s="61"/>
      <c r="C1023" s="61"/>
    </row>
    <row r="1024" spans="2:3" x14ac:dyDescent="0.25">
      <c r="B1024" s="61"/>
      <c r="C1024" s="61"/>
    </row>
    <row r="1025" spans="2:3" x14ac:dyDescent="0.25">
      <c r="B1025" s="61"/>
      <c r="C1025" s="61"/>
    </row>
    <row r="1026" spans="2:3" x14ac:dyDescent="0.25">
      <c r="B1026" s="61"/>
      <c r="C1026" s="61"/>
    </row>
    <row r="1027" spans="2:3" x14ac:dyDescent="0.25">
      <c r="B1027" s="61"/>
      <c r="C1027" s="61"/>
    </row>
    <row r="1028" spans="2:3" x14ac:dyDescent="0.25">
      <c r="B1028" s="61"/>
      <c r="C1028" s="61"/>
    </row>
    <row r="1029" spans="2:3" x14ac:dyDescent="0.25">
      <c r="B1029" s="61"/>
      <c r="C1029" s="61"/>
    </row>
    <row r="1030" spans="2:3" x14ac:dyDescent="0.25">
      <c r="B1030" s="61"/>
      <c r="C1030" s="61"/>
    </row>
    <row r="1031" spans="2:3" x14ac:dyDescent="0.25">
      <c r="B1031" s="61"/>
      <c r="C1031" s="61"/>
    </row>
    <row r="1032" spans="2:3" x14ac:dyDescent="0.25">
      <c r="B1032" s="61"/>
      <c r="C1032" s="61"/>
    </row>
    <row r="1033" spans="2:3" x14ac:dyDescent="0.25">
      <c r="B1033" s="61"/>
      <c r="C1033" s="61"/>
    </row>
    <row r="1034" spans="2:3" x14ac:dyDescent="0.25">
      <c r="B1034" s="61"/>
      <c r="C1034" s="61"/>
    </row>
    <row r="1035" spans="2:3" x14ac:dyDescent="0.25">
      <c r="B1035" s="61"/>
      <c r="C1035" s="61"/>
    </row>
    <row r="1036" spans="2:3" x14ac:dyDescent="0.25">
      <c r="B1036" s="61"/>
      <c r="C1036" s="61"/>
    </row>
    <row r="1037" spans="2:3" x14ac:dyDescent="0.25">
      <c r="B1037" s="61"/>
      <c r="C1037" s="61"/>
    </row>
    <row r="1038" spans="2:3" x14ac:dyDescent="0.25">
      <c r="B1038" s="61"/>
      <c r="C1038" s="61"/>
    </row>
    <row r="1039" spans="2:3" x14ac:dyDescent="0.25">
      <c r="B1039" s="61"/>
      <c r="C1039" s="61"/>
    </row>
  </sheetData>
  <mergeCells count="7">
    <mergeCell ref="A46:C46"/>
    <mergeCell ref="A1:C1"/>
    <mergeCell ref="F1:H1"/>
    <mergeCell ref="A17:C17"/>
    <mergeCell ref="F17:H17"/>
    <mergeCell ref="A32:C32"/>
    <mergeCell ref="F32:H3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No 9</vt:lpstr>
      <vt:lpstr>No 3 Victor</vt:lpstr>
      <vt:lpstr>Inc&amp;Exp July 2022</vt:lpstr>
      <vt:lpstr>Inc&amp;Exp Aug 2022 plz do</vt:lpstr>
      <vt:lpstr>Inc&amp;Exp Sep 2022</vt:lpstr>
      <vt:lpstr>Inc&amp;Exp Nov 2022</vt:lpstr>
      <vt:lpstr>Inc&amp;Exp Dec 2022</vt:lpstr>
      <vt:lpstr>'No 3 Victor'!Print_Area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Zjondre Angermund</cp:lastModifiedBy>
  <cp:lastPrinted>2025-11-27T12:07:26Z</cp:lastPrinted>
  <dcterms:created xsi:type="dcterms:W3CDTF">2020-11-23T11:24:02Z</dcterms:created>
  <dcterms:modified xsi:type="dcterms:W3CDTF">2026-05-20T07:36:02Z</dcterms:modified>
</cp:coreProperties>
</file>